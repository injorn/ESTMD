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ttgrp-my.sharepoint.com/personal/kanlaya_r_pttdigital_com/Documents/PTTICT/_Cust/PTT/APPs/ส.ค.บกญ. ERecruit/Enhance 2026/BD/"/>
    </mc:Choice>
  </mc:AlternateContent>
  <xr:revisionPtr revIDLastSave="9" documentId="8_{B12ACBF0-5696-4322-9227-CD734A6AC38E}" xr6:coauthVersionLast="47" xr6:coauthVersionMax="47" xr10:uidLastSave="{2BC7044F-1101-4D5E-9F02-CC6018E13406}"/>
  <bookViews>
    <workbookView xWindow="-120" yWindow="-120" windowWidth="29040" windowHeight="15720" xr2:uid="{A59820EC-2255-4710-8EC3-74A151934F5A}"/>
  </bookViews>
  <sheets>
    <sheet name="E-Recruit adjust before EA" sheetId="1" r:id="rId1"/>
    <sheet name="Scope overview dblink cut scope" sheetId="5" r:id="rId2"/>
    <sheet name="plan (2)" sheetId="6" r:id="rId3"/>
  </sheets>
  <externalReferences>
    <externalReference r:id="rId4"/>
  </externalReferences>
  <definedNames>
    <definedName name="_xlnm._FilterDatabase" localSheetId="0" hidden="1">'E-Recruit adjust before EA'!$B$3:$E$100</definedName>
    <definedName name="LstLevel">'[1]999_MSRP'!$A$3:$A$10</definedName>
    <definedName name="LstStaffs">'[1]999_Loaded Rate 2016-Q1'!$F$2:$F$468</definedName>
    <definedName name="_xlnm.Print_Area" localSheetId="1">'Scope overview dblink cut scope'!$B$1:$C$104</definedName>
    <definedName name="_xlnm.Print_Titles" localSheetId="1">'Scope overview dblink cut scope'!$10:$11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5" l="1"/>
  <c r="AE114" i="1" l="1"/>
  <c r="F128" i="1" l="1"/>
  <c r="F117" i="1"/>
  <c r="AE115" i="1"/>
  <c r="F130" i="1" s="1"/>
  <c r="D5" i="5"/>
  <c r="E9" i="5"/>
  <c r="D9" i="5"/>
  <c r="E8" i="5"/>
  <c r="D8" i="5"/>
  <c r="E7" i="5"/>
  <c r="D7" i="5"/>
  <c r="D6" i="5"/>
  <c r="E5" i="5"/>
  <c r="E4" i="5"/>
  <c r="E10" i="5" s="1"/>
  <c r="D2" i="5"/>
  <c r="D10" i="5" l="1"/>
  <c r="F127" i="1" l="1"/>
  <c r="F126" i="1"/>
  <c r="F125" i="1"/>
  <c r="F124" i="1"/>
  <c r="F123" i="1"/>
  <c r="F122" i="1"/>
  <c r="F121" i="1"/>
  <c r="F120" i="1"/>
  <c r="F119" i="1"/>
  <c r="F118" i="1"/>
  <c r="F129" i="1" s="1"/>
  <c r="F132" i="1" s="1"/>
  <c r="AC108" i="1"/>
  <c r="AB108" i="1"/>
  <c r="AA108" i="1"/>
  <c r="Z108" i="1"/>
  <c r="Y108" i="1"/>
  <c r="X108" i="1"/>
  <c r="W108" i="1"/>
  <c r="V108" i="1"/>
  <c r="U108" i="1"/>
  <c r="T108" i="1"/>
  <c r="S108" i="1"/>
  <c r="R108" i="1"/>
  <c r="Q108" i="1"/>
  <c r="P108" i="1"/>
  <c r="O108" i="1"/>
  <c r="N108" i="1"/>
  <c r="M108" i="1"/>
  <c r="L108" i="1"/>
  <c r="I108" i="1"/>
  <c r="AC106" i="1"/>
  <c r="AB106" i="1"/>
  <c r="AA106" i="1"/>
  <c r="Z106" i="1"/>
  <c r="Y106" i="1"/>
  <c r="X106" i="1"/>
  <c r="W106" i="1"/>
  <c r="V106" i="1"/>
  <c r="U106" i="1"/>
  <c r="T106" i="1"/>
  <c r="S106" i="1"/>
  <c r="R106" i="1"/>
  <c r="Q106" i="1"/>
  <c r="P106" i="1"/>
  <c r="O106" i="1"/>
  <c r="N106" i="1"/>
  <c r="M106" i="1"/>
  <c r="L106" i="1"/>
  <c r="K106" i="1"/>
  <c r="K108" i="1" s="1"/>
  <c r="I106" i="1"/>
  <c r="AD105" i="1"/>
  <c r="AD104" i="1"/>
  <c r="AD103" i="1"/>
  <c r="AD102" i="1"/>
  <c r="AD101" i="1"/>
  <c r="AD100" i="1"/>
  <c r="AD99" i="1"/>
  <c r="AD98" i="1"/>
  <c r="AD97" i="1"/>
  <c r="AD96" i="1"/>
  <c r="AD95" i="1"/>
  <c r="AD94" i="1"/>
  <c r="AD93" i="1"/>
  <c r="AD92" i="1"/>
  <c r="AD91" i="1"/>
  <c r="AD90" i="1"/>
  <c r="AD89" i="1"/>
  <c r="AD88" i="1"/>
  <c r="AD87" i="1"/>
  <c r="AD86"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F35" i="1"/>
  <c r="AD35" i="1"/>
  <c r="AD34" i="1"/>
  <c r="AD33" i="1"/>
  <c r="AD32" i="1"/>
  <c r="AD31" i="1"/>
  <c r="AD30" i="1"/>
  <c r="AD29" i="1"/>
  <c r="AD28" i="1"/>
  <c r="AD27" i="1"/>
  <c r="AD26" i="1"/>
  <c r="AD25" i="1"/>
  <c r="AD24" i="1"/>
  <c r="AD23" i="1"/>
  <c r="AD22" i="1"/>
  <c r="AD20" i="1"/>
  <c r="AD19" i="1"/>
  <c r="AD18" i="1"/>
  <c r="AD17" i="1"/>
  <c r="AD16" i="1"/>
  <c r="AD15" i="1"/>
  <c r="AD14" i="1"/>
  <c r="AD13" i="1"/>
  <c r="AD12" i="1"/>
  <c r="AD11" i="1"/>
  <c r="AD10" i="1"/>
  <c r="AD9" i="1"/>
  <c r="AD8" i="1"/>
  <c r="AD7" i="1"/>
  <c r="AD6" i="1"/>
  <c r="AD5" i="1"/>
  <c r="J4" i="1"/>
  <c r="AD4" i="1" s="1"/>
  <c r="AF115" i="1" l="1"/>
  <c r="AF114" i="1"/>
  <c r="J106" i="1"/>
  <c r="AD106" i="1" l="1"/>
  <c r="J108" i="1"/>
  <c r="AC109" i="1" l="1"/>
  <c r="AE116" i="1" s="1"/>
</calcChain>
</file>

<file path=xl/sharedStrings.xml><?xml version="1.0" encoding="utf-8"?>
<sst xmlns="http://schemas.openxmlformats.org/spreadsheetml/2006/main" count="407" uniqueCount="282">
  <si>
    <t>Summary MD (For Customer)</t>
  </si>
  <si>
    <t>Lifecycle detail &lt;START&gt;</t>
  </si>
  <si>
    <t>Remark/Sub Task</t>
  </si>
  <si>
    <t>Deliverables</t>
  </si>
  <si>
    <t>Mandays</t>
  </si>
  <si>
    <t>Jr.PM</t>
  </si>
  <si>
    <t>Sr.PM</t>
  </si>
  <si>
    <t>Jr.BA</t>
  </si>
  <si>
    <t>Sr.BA</t>
  </si>
  <si>
    <t>Jr.SA</t>
  </si>
  <si>
    <t>Sr.SA</t>
  </si>
  <si>
    <t>Jr.Dev</t>
  </si>
  <si>
    <t>Sr.Dev
AOU/H</t>
  </si>
  <si>
    <t>Jr.Tester</t>
  </si>
  <si>
    <t>Sr.Tester</t>
  </si>
  <si>
    <t>CA&amp;A Support</t>
  </si>
  <si>
    <t>PIS</t>
  </si>
  <si>
    <t>SAP</t>
  </si>
  <si>
    <t>Basis</t>
  </si>
  <si>
    <t>Infra</t>
  </si>
  <si>
    <t>WSO2 Jr.</t>
  </si>
  <si>
    <t>WSO2 Sr.</t>
  </si>
  <si>
    <t>Security</t>
  </si>
  <si>
    <t>Risk Jr.</t>
  </si>
  <si>
    <t>Risk Sr.</t>
  </si>
  <si>
    <t>Total</t>
  </si>
  <si>
    <t>E-Recruit Vendor</t>
  </si>
  <si>
    <t>Coach Vendor</t>
  </si>
  <si>
    <t>Must</t>
  </si>
  <si>
    <t>Non SAP (Full) - Common Activities</t>
  </si>
  <si>
    <t>Related Documents (ใช้ Reference)</t>
  </si>
  <si>
    <t>Kanlaya.r</t>
  </si>
  <si>
    <t>Zaimon.d</t>
  </si>
  <si>
    <t>ศิรินทร์ทิพย์ คำละ</t>
  </si>
  <si>
    <t>Zprasopchok.k</t>
  </si>
  <si>
    <t>Zchophaka.w</t>
  </si>
  <si>
    <t>เกษรินทร์ กิจศิริเจริญชัย</t>
  </si>
  <si>
    <t>Others</t>
  </si>
  <si>
    <t>Project Management</t>
  </si>
  <si>
    <t xml:space="preserve">Project Resource and Cost Sheet
Project Proposal
Project Change Request
Project Progress Report (PowerPoint)
Minute of Meeting
Decision Support
Risk Log
Issue Log
Approved Server(กรณี New Server)
EA Process
QA Process
</t>
  </si>
  <si>
    <t>Data Conversion including Mock</t>
  </si>
  <si>
    <t xml:space="preserve">Data Migration </t>
  </si>
  <si>
    <t>Sign-off (Data Migration)</t>
  </si>
  <si>
    <t>Design &amp; Analysis</t>
  </si>
  <si>
    <t>Project Preparation</t>
  </si>
  <si>
    <t>Create Detail Project Plan</t>
  </si>
  <si>
    <t>Detailed Project Plan (Excel)</t>
  </si>
  <si>
    <t>Kick-off Project</t>
  </si>
  <si>
    <t>Project Kick-Off Presentation (PowerPoint)
Minute of Meeting</t>
  </si>
  <si>
    <t>Train Software Overview (Optional)</t>
  </si>
  <si>
    <t>Training Material</t>
  </si>
  <si>
    <t>Sign-off (Kick-Off)</t>
  </si>
  <si>
    <t>Requirement</t>
  </si>
  <si>
    <t>Gather/Analyze Requirement</t>
  </si>
  <si>
    <t>Requirement Specification</t>
  </si>
  <si>
    <t>Sign-off (Requirement)</t>
  </si>
  <si>
    <t>Design</t>
  </si>
  <si>
    <t>Build Prototype (Optional)</t>
  </si>
  <si>
    <t>Prototype</t>
  </si>
  <si>
    <t>Create System Diagram</t>
  </si>
  <si>
    <t>System Diagram</t>
  </si>
  <si>
    <t>Create/Confirm Design Specification</t>
  </si>
  <si>
    <t>Design Document/Business Blueprint/Fit-Gap Analysis</t>
  </si>
  <si>
    <t>Sign-off (Design)</t>
  </si>
  <si>
    <t>Config / Dev / Unit Test</t>
  </si>
  <si>
    <t>Build</t>
  </si>
  <si>
    <t>Create Technical Spec.</t>
  </si>
  <si>
    <t>Technical Specification</t>
  </si>
  <si>
    <t>E-Recruit:</t>
  </si>
  <si>
    <t>1. ปรับให้ระบบไปดึงวันหยุดประจำปีจากทาง PIS แทน</t>
  </si>
  <si>
    <t>Y</t>
  </si>
  <si>
    <t xml:space="preserve">3. ให้ระบบจัดการลบข้อมูลผู้สมัครภายนอกที่ไม่ Active เกิน 2 ปี นับจากวันที่อัพเดทล่าสุดแบบ Auto Delete ทุกวันที่เจอ </t>
  </si>
  <si>
    <t>4. แก้ไข Analytical Report รายงาน "สรุปพนักงานใหม่"</t>
  </si>
  <si>
    <t>9. เพิ่มการ interface probation result จาก coach มาแสดงที่ Recruit</t>
  </si>
  <si>
    <t>10. ปรับหน้า  web site ใหม่ตาม Policy ของ ปตท.</t>
  </si>
  <si>
    <t>11. ปรับหน้า Matching Board ให้เพิ่มข้อมูล Email และเบอร์โทร  และไฟล์ Export Excel ให้ออกข้อมูลทุก Column (รองรับกรณี BCM)</t>
  </si>
  <si>
    <t xml:space="preserve">13. Process สค. เตรียมคำสั่งย้ายฯ ภายใน ปรับเพิ่มกล่อง "ช่วยปฏิบัติงาน" หากมีข้อมูลให้ดึงไปแสดงใน "คำสั่งฯ" ด้วย </t>
  </si>
  <si>
    <t>14. เพิ่มข้อมูลวุฒิการศึกษาที่ประกาศรับในหน้าประกาศงานภายใน</t>
  </si>
  <si>
    <t xml:space="preserve">16. แก้ไขการตั้งค่าประกาศ Event วันที่คีย์ได้แต่ Realtime ต้องการให้ตั้งค่าล่วงหน้าได้ เพื่อประกาศให้ทางมหาวิทยาลัยทราบกำหนดการก่อน </t>
  </si>
  <si>
    <t>18. ปรับแก้ไขจากผล security scan (Acunetix)</t>
  </si>
  <si>
    <t>19. ปรับแก้ไขจากผล Source code scan (Converity &amp; Blackduck)</t>
  </si>
  <si>
    <t>20. ปรับ ขั้นตอนการ Login Azure AD &amp; Azure B2C และ ปรับขั้นตอนการจัดการสิทธิ์ ผ่านระบบกลาง CA&amp;A</t>
  </si>
  <si>
    <t>21. เพิ่ม function ตาม Security Requirement ขั้นต้น สำหรับพัฒนา website</t>
  </si>
  <si>
    <t xml:space="preserve">22. Coach: ปรับส่วน probation ให้สามารถกรอกวันที่ขยายทดลองงานเป็นแบบตัวเลขแทนการเลือก (แก้ UX/UI &amp; Logic)
- ปรับปรุงจาก Dropdown list เป็น TextBox
TextBox ให้มี Condition ดังนี้
- กรอกได้แค่เฉพาะตัวเลขจำนวนเต็มเท่านั้น  ไม่สามารถกรอกจุดทศนิยมได้
- ค่าที่กรอกได้แค่ 1-90
</t>
  </si>
  <si>
    <t>EA: ย้ายเครื่อง App server/DB server และ SQL server 2022</t>
  </si>
  <si>
    <t>EA: ปรับการอ่านข้อมูล สายงาน, กลุ่มความชำนาญ, สายอาชีพ ที่ใช้แสดงในหน้า BW ไปอ่านผ่านเส้น WSO2 ZCPIHRI004</t>
  </si>
  <si>
    <t>ปรับฟังก์ชั่น ZPIHRI039 เพิ่ม Config ZI</t>
  </si>
  <si>
    <t>Testing (SIT &amp; UAT)</t>
  </si>
  <si>
    <t>Test</t>
  </si>
  <si>
    <t>Create Detailed Test Plan</t>
  </si>
  <si>
    <t>Update</t>
  </si>
  <si>
    <t>Test Approach &amp; Plan
QA Traceability Matrix</t>
  </si>
  <si>
    <t>Create Test Scenario and Script</t>
  </si>
  <si>
    <t>SIT Scenario &amp; Plan 
System Integration Test Script</t>
  </si>
  <si>
    <t xml:space="preserve">Perform &amp; Verify Test </t>
  </si>
  <si>
    <t>System Integration Test Result</t>
  </si>
  <si>
    <t>Perform &amp; Verify UAT</t>
  </si>
  <si>
    <t>UAT Scenario &amp; Plan 
UAT Script
UAT Result</t>
  </si>
  <si>
    <t>Performance Test</t>
  </si>
  <si>
    <t>Performance Test Result</t>
  </si>
  <si>
    <t>Sign-off (UAT)</t>
  </si>
  <si>
    <t>Cut Over Exe. &amp; Prep.</t>
  </si>
  <si>
    <t>Deployment</t>
  </si>
  <si>
    <t>Manual Source Code Review</t>
  </si>
  <si>
    <t>new</t>
  </si>
  <si>
    <t>Manual Source Code Report (Internal Use)</t>
  </si>
  <si>
    <t>Web Scan</t>
  </si>
  <si>
    <t>Web Scan Report (Acunetix) (Internal Use)</t>
  </si>
  <si>
    <t>Source Code Scan &amp; Library Scan</t>
  </si>
  <si>
    <t>Source Code Scan - Coverity Report (Internal Use)
Library scan - Blackduc Report (Internal Use)</t>
  </si>
  <si>
    <t>QA Process</t>
  </si>
  <si>
    <t>QA Certificate
Security Test Result</t>
  </si>
  <si>
    <t>Change Process</t>
  </si>
  <si>
    <t>Change Assessment
Change Plan (Minor Change ขึ้นไป)
Change Request</t>
  </si>
  <si>
    <t>Perform Production Deployment</t>
  </si>
  <si>
    <t>Cutover/Deploy Plan
Deployment Step (from 3rd Party)</t>
  </si>
  <si>
    <t>Create Manual and Presentation</t>
  </si>
  <si>
    <t>Training Material
End-User Manual
Admin Manual
Technical Manual</t>
  </si>
  <si>
    <t>Go-Live</t>
  </si>
  <si>
    <t>Sign-off (Go-live)</t>
  </si>
  <si>
    <t>Support After Go-Live</t>
  </si>
  <si>
    <t>Handover Document to Support</t>
  </si>
  <si>
    <t>Sign-off (Closure)</t>
  </si>
  <si>
    <t>Perform Training and Transfer Knowledge</t>
  </si>
  <si>
    <t>Lifecycle detail &lt;END&gt;</t>
  </si>
  <si>
    <t>Total MDs</t>
  </si>
  <si>
    <t>Cost / Day</t>
  </si>
  <si>
    <t>Total Cost</t>
  </si>
  <si>
    <t>Total Price</t>
  </si>
  <si>
    <t>Total Vendor</t>
  </si>
  <si>
    <t>รวม</t>
  </si>
  <si>
    <t>Adjust PPS</t>
  </si>
  <si>
    <t>จำนวนวัน (Full-time Equivalent)</t>
  </si>
  <si>
    <t>ค่าบริการต่อวัน (บาท)</t>
  </si>
  <si>
    <t>ค่าบริการรวม (บาท)</t>
  </si>
  <si>
    <t>กัลยา โรจนวลี</t>
  </si>
  <si>
    <t>Project Manager</t>
  </si>
  <si>
    <t>ช่อผกา วรรณา</t>
  </si>
  <si>
    <t>Tester</t>
  </si>
  <si>
    <t>เอมอร ดาศรี</t>
  </si>
  <si>
    <t>Business Analyst</t>
  </si>
  <si>
    <t>ประสพโชค โค้วตระกูล</t>
  </si>
  <si>
    <t>Developer</t>
  </si>
  <si>
    <t>ชยพล มาช่วย</t>
  </si>
  <si>
    <t>ธวิทย์ เชิดเกียรติสกุล</t>
  </si>
  <si>
    <t>WSO2</t>
  </si>
  <si>
    <t>ภานุวัฒน์ ไผ่ตาแก้ว</t>
  </si>
  <si>
    <t>ชาญวุฒิ ช่างการ</t>
  </si>
  <si>
    <t>IT Security Engineer</t>
  </si>
  <si>
    <t>วงเดือน ณ ระนอง</t>
  </si>
  <si>
    <t>Systems Engineer</t>
  </si>
  <si>
    <t>Digital</t>
  </si>
  <si>
    <t>vendor E-Recruit</t>
  </si>
  <si>
    <t>vendor Coach</t>
  </si>
  <si>
    <t>ปรับการอ่านข้อมูลแบบ DBLink เป็นผ่าน wso2
Aptitude Games
Aptitude Test
PTT BWPIS
Coach
City Game
PTT English Test</t>
  </si>
  <si>
    <t>Coach</t>
  </si>
  <si>
    <t>backup</t>
  </si>
  <si>
    <t>PTT Digital E-Recruit</t>
  </si>
  <si>
    <t>PTT Digital Coach</t>
  </si>
  <si>
    <t>Vendor e-Recruit</t>
  </si>
  <si>
    <t>Vendor Coach</t>
  </si>
  <si>
    <t>PTT Digital City Game</t>
  </si>
  <si>
    <t>Vendor City Game</t>
  </si>
  <si>
    <t>PTT Digital Aptitude Games</t>
  </si>
  <si>
    <t>PTT Digital Intern</t>
  </si>
  <si>
    <t>No.</t>
  </si>
  <si>
    <t>Detail</t>
  </si>
  <si>
    <t>Vendor</t>
  </si>
  <si>
    <t>E-Recruit</t>
  </si>
  <si>
    <t>- เพิ่ม function การดึงข้อมูล วันหยุดประจำปี จากระบบ PIS มาเก็บข้อมูลที่ระบบ e-Recruitment
- เพิ่ม service เพื่อใช้ตั้งเวลา (daily job) เพื่อเรียก function สำหรับดึงข้อมูล (เรียกดึงข้อมูล 1-2 ครั้ง/วัน)</t>
  </si>
  <si>
    <t>2. ปรับแก้ไขหน้า Applicant form</t>
  </si>
  <si>
    <t>1. ปรับให้ระบบเพิ่มในส่วนของสถานะภาพทางทหาร และแนบไฟล์เอกสาร สด.9 กับ สด.43</t>
  </si>
  <si>
    <t>เพิ่มหัวข้อเอกสารทางทหารในหน้า Application Form
- แสดงหัวข้อเอกสารทางทหาร เฉพาะกรณีเลือกหัวข้อ รับราชการทหาร เป็น ผ่านการเกณฑ์ทหาร
- มีตัวเลือก dropdown สำหรับเลือกประเภทของเอกสาร (สด.9 และ สด.43)
- มีปุ่มสำหรับ Attach เอกสารสถานะภาพทางทหาร</t>
  </si>
  <si>
    <t>2. ปรับให้ระบบเพิ่มในส่วนของสถานะภาพทางทหาร และแนบไฟล์เอกสาร สด.8</t>
  </si>
  <si>
    <t>เพิ่มเติมกรณีเลือกหัวข้อ รับราชการทหาร เป็น ได้รับการยกเว้น (กรณีเรียน รด)
- แสดงตัวเลือก dropdown สำหรับเลือกประเภทของเอกสาร (สด.8)
- มีปุ่มสำหรับ Attach เอกสารสถานะภาพทางทหาร</t>
  </si>
  <si>
    <t xml:space="preserve">  </t>
  </si>
  <si>
    <t>เพิ่ม process การลบข้อมูลผู้สมัครภายนอกที่ไม่ Active เกิน 2 ปี Auto</t>
  </si>
  <si>
    <t>- ทำ function สำหรับลบข้อมูลผู้สมัครที่ไม่ Active เกิน 2 ปี โดยมีเงื่อนไขเพิ่มเติมดังนี้
   &gt; ต้องเป็นผู้สมัครที่ไม่ได้ on process อยู่เท่านั้น (กรณีไม่ active อยู่แต่ยังอยู่ในขั้นตอนการ พิจารณา ภายนอก จะไม่ถูกลบ)
   &gt; หากข้อมูลผู้สมัครไม่ Active เกิน 2 ปี แต่ข้อมูลผลการทดสอบ City game หรือ Aptitude test game (ดูที่วันที่ Finish date) ยังไม่ถึง 2 ปี, ข้อมูลผู้สมัครจะไม่ถูกลบ
   &gt; หากข้อมูลผู้สมัครไม่ Active เกิน 2 ปี และเคยส่งข้อมูลเข้ามาดำเนินการในขั้นตอนการสรรหา, จะถูก stamp ข้อมูล Dummy แทนในส่วนข้อมูลที่ถูกใช้นำมาแสดงผลในขั้นตอนต่างๆ ส่วนข้อมูลอื่นๆจะถูกลบออกเป็นค่าว่าง
   &gt; หากข้อมูลผู้สมัครไม่ Active เกิน 2 ปี และไม่เข้าเงื่อนไขต่างๆ, ข้อมูลผู้สมัครจะถูกลบออกจากระบบทั้งหมด
- เพิ่ม service เพื่อใช้ตั้งเวลา (daily job) เพื่อเรียก function การลบข้อมูล</t>
  </si>
  <si>
    <t>PTT City Game</t>
  </si>
  <si>
    <t xml:space="preserve">1. ปรับปรุงให้ระบบจัดการลบข้อมูลผู้สอบ บมจ. ปตท. ที่ไม่ Active เกิน 2 ปี นับจากวันที่เข้าระบบล่าสุดแบบ Auto Delete
2. พํฒนาและปรับปรุงระบบให้เชื่อมต่อกับระบบ PTT CA&amp;A
3. Upgrade .Net Framework to Latest version
   - Fixed Code scan (Coverity, Black duck Issues)
   - Fixed Security scan (Acunetix Issues) </t>
  </si>
  <si>
    <t>PTT Aptitude Games</t>
  </si>
  <si>
    <t>1. ปรับปรุงให้ระบบจัดการลบข้อมูลผู้สอบ บมจ. ปตท. ที่ไม่ Active เกิน 2 ปี นับจากวันที่เข้าระบบล่าสุดแบบ Auto Delete
2. ปรับแก้ไขจากผล security scan (Acunetix)</t>
  </si>
  <si>
    <t>- แก้ไขการแสดงข้อมูล ที่ไม่แสดงใน Excel ที่ Export จากระบบ เช่น เงินเดือนบรรจุ
- เพิ่มข้อมูล ครอบครัว ของผู้สมัคร (แสดงข้อมูลแยก Sheet ใหม่ใน excel เดิม) โดยมี column แสดงข้อมูลรหัสบัตรประชาชนของผู้สมัครก่อน จากนั้นแสดงข้อมูล ครอบครัวทีละ record
- เพิ่มให้ตัวเลือก และ สามารถเลือก All ใน dropdown เดือนได้
- เพิ่มตัวเลือกการ sort ข้อมูล (เลือกก่อนการกด export) จาก วันที่เริ่มทดลองงาน, วันที่บรรจุ, รหัสพนักงาน</t>
  </si>
  <si>
    <t>5. ตรวจสอบและแก้ไขในส่วนของหน้า Tofollow  ที่มีการแสดงรายการค้างของอัตราที่ปิด และมีการแสดงรายการที่ซ้ำ และบางรายการแสดงจำนวนวันติดลบ</t>
  </si>
  <si>
    <t>ตรวจสอบและแก้ไขข้อมูลการแสดงข้อมูลซ้ำ และแสดงไม่ถูกต้อง</t>
  </si>
  <si>
    <t>6. ปรับแก้ไขระบบให้ Recruit  สามารถเข้าไปแก้ไขเลขที่ในคำสั่งย้าย คำสั่งจ้าง สัญญาจ้างได้เอง</t>
  </si>
  <si>
    <t>1. ปรับแก้ไขหน้าเตรียมสัญญา และคำสั่ง</t>
  </si>
  <si>
    <t>- เพิ่มให้สามารถแก้ไขรายละเอียดเลขที่คำสั่งได้ (เดิมหลังจากที่ผ่านขั้นตอนการเตรียมฯไปแล้วจะไม่สามารถแก้ไขได้)
- เพิ่มให้กรอกสาเหตุการแก้ไข (กรณีกดแก้ไข)
- เพิ่มเก็บ log การแก้ไข เช่น ID + รหัสพนักงาน ของผู้ที่แก้ไข, วันที่-เวลา ที่มีการแก้ไข</t>
  </si>
  <si>
    <t xml:space="preserve">2. เพิ่มการแก้ไข "คำสั่งเลขที่" ที่แสดงในเอกสารคำสั่ง (PDF) </t>
  </si>
  <si>
    <t>- เพิ่มหน้า admin สำหรับแก้ไข word "คำสั่งเลขที่" ในเอกสารสัญญาฯ คำสั่งได้
- สามารถกำหนดวันที่ active date ของข้อมูลที่เตรียมไว้ได้ (สร้างเตรียมข้อมูลไว้ก่อน และจะถูกนำไปแสดงในเอกสารเมื่อถึงวันที่กำหนด)</t>
  </si>
  <si>
    <t>7. ปรับแก้ไขระบบให้ Recruit สามารถเข้าเพิ่มข้อมูล E-signature</t>
  </si>
  <si>
    <t>เพิ่ม admin สำหรับจัดการข้อมูล E-Signature ที่ใช้งานในระบบ e-Recruitment โดยมีรายละเอียดดังนี้
- สามารถ search (input text แบบ auto complete) และแสดงข้อมูลพนักงาน พร้อมแสดง icon หากมีรูปลายเซ็นอยู่แล้วในระบบ e-Recruitment (กรณียังไม่มีรูปลายเซ็นจะไม่แสดง icon)
- เพิ่มให้สามารถ attach file PDF (ตาม format ที่กำหนด), ระบบจะทำการถอดลายเซ็นออกมาจากเอกสารที่แนบออกมาเป็น png เพื่อนำไปใช้งานในระบบ</t>
  </si>
  <si>
    <t>8. ปรับแก้ไขในส่วนของ Analytical Report (รายงานภาพสรรหา)</t>
  </si>
  <si>
    <t>- ข้อมูลจำนวนอัตรา ที่ปิด ภายใน และ ภายนอกไม่เท่ากัน เมื่อเทียบระหว่าง Report ภาพรวมสรรหา และ อัตราปิดสรรหา
- ข้อมูลจำนวน อัตราที่ปิด ภายใน และภายใน ใน Report ภาพรวมสรรหา ไม่เท่ากันเมื่อเลือกการค้นหา แบบ ระบุปี เทียบกับ ระบุวันเริ่มต้น - สิ้นสุด
    &gt;&gt; เนื่องจากเมนูทั้งสองมีเงือนไขที่ดึงข้อมูลมาไม่เหมือนกัน เลยทำให้ได้จำนวนได้ไม่เท่ากัน   
          - เมนูภาพรวมสรรหา ดึงข้อมูลมา วันที่อนุมัติขอสรรหา ตามช่วงเวลาที่เลือก
          - เมนูอัตราที่ปิดสรรหา ดึงข้อมูลมาจาก วันที่ปิดอัตรา ตามช่วงเวลาที่เลือก
- Meaning ของค่า ติดลบ ที่แสดงบนหน้า browser
   &gt;&gt;สาเหตุที่บางเดือนมียอดติดลบ เนื่องจากการคำนวนมากจากเรียงลำดับตามข้อมูลที่แสดงในหน้าระบบ ที่บางเดือนจะมีจำนวนอัตราเปิดใหม่น้อยกว่าจำนวนที่ปิดได้หรือยกเลิกได้ เลยทำให้บางเดือนมียอดติด</t>
  </si>
  <si>
    <t>เพิ่มการแสดงสัญลักษณ์ ก่อนถึงวันที่เริ่มทดลองงาน (30 และ 60 วัน) โดยทำให้สามารถแก้ไขได้ (validate เพื่อให้ไปเตรียม action ในระบบ Coach)</t>
  </si>
  <si>
    <t>ปรับส่วน probation ให้สามารถกรอกวันที่ขยายทดลองงานเป็นแบบตัวเลขแทนการเลือก
ปรับปรุงจาก Dropdown list เป็น TextBox
TextBox ให้มี Condition ดังนี้
- กรอกได้แค่เฉพาะตัวเลขจำนวนเต็มเท่านั้น  ไม่สามารถกรอกจุดทศนิยมได้
- ค่าที่กรอกห้ามเกิน 90 และ ห้ามน้อยกว่าหรือเท่ากับ 0</t>
  </si>
  <si>
    <t>1. ปรับ Design หน้า Home</t>
  </si>
  <si>
    <t>Design หน้า Home ใหม่</t>
  </si>
  <si>
    <t>ปรับ design ให้รองรับการแสดงบน Device อื่นๆ (mobile, tablet)</t>
  </si>
  <si>
    <t>2. เพิ่มหน้า Admin สำหรับจัดการ Content ในหน้า Home</t>
  </si>
  <si>
    <t>หน้าจัดการ
- เพิ่มหน้า Admin โดยให้สามารถแก้ไขข้อมูลที่แสดงอยู่บนหน้า Home page ได้ เช่น รูปภาพ, content ที่กำหนด
- สามารถกด preview ดูการแสดงผล (เสมือนหน้า Home) หลังจากแก้ไขได้</t>
  </si>
  <si>
    <t>Intern</t>
  </si>
  <si>
    <t>1. Custom Home Pages Website
2. Upgrade .Net Framework 4.5.1 to Latest version
3. Upgrade OS Web server Windows Server 2012 R2 STD to Latest version
4. Upgrade OS DB server Windows Server 2019 Datacenter to Latest version
5. พัฒนาและปรับปรุงระบบให้เชื่อมต่อกับระบบ PTT CA&amp;A</t>
  </si>
  <si>
    <t>1. ปรับการแสดงข้อมูลผู้สมัครในหน้า matching board และแก้ไขขั้นตอนการ Export ข้อมูลผู้สมัคร</t>
  </si>
  <si>
    <t>- เพิ่มการแสดงข้อมูล เบอร์โทร, Email ในหน้า matching board
- เพิ่ม Column แสดงข้อมูล เบอร์โทร, Email ใน File Excel ที่ Export ผ่านระบบ
- ตรวจสอบความถูกต้องของข้อมูล</t>
  </si>
  <si>
    <t>12. เพิ่มให้บังคับแนบไฟล์สัญญาจ้าง ทลง. ทุกครั้ง ก่อนนำเสนอให้ทาง ผจ.สค พิจารณาอนุมัติ</t>
  </si>
  <si>
    <t>1. ปรับเพิ่ม validate ในขั้นตอนการแนบไฟล์ สัญญาจ้างลูกจ้างทดลองงาน หลังจากที่ผู้สมัคร เซ็น ในเอกสารเรียบร้อยแล้ว</t>
  </si>
  <si>
    <t>- ขั้นตอนการแนบไฟล์ สัญญาจ้างลูกจ้างทดลองงาน หลังจากที่ผู้สมัคร เซ็น ในเอกสารเรียบร้อยแล้ว และสรรหานำมาแนบกลับเข้ามาในระบบ, เพิ่มการ validate หากไม่ได้ทำการแนบไฟล์ จะไม่สามารถดำเนินการต่อได้</t>
  </si>
  <si>
    <t>2. ปรับเพิ่ม validate ในขั้นตอนการแนบไฟล์ สัญญาจ้างแรงงาน หลังจากที่พนักงาน เซ็น ในเอกสารเรียบร้อยแล้ว</t>
  </si>
  <si>
    <t>- ขั้นตอนการแนบไฟล์ สัญญาแรงงาน หลังจากที่พนักงาน เซ็น ในเอกสารเรียบร้อยแล้ว และสรรหานำมาแนบกลับเข้ามาในระบบ, เพิ่มการ validate หากไม่ได้ทำการแนบไฟล์ จะไม่สามารถดำเนินการต่อได้</t>
  </si>
  <si>
    <t>1. เพิ่มช่องแสดงข้อมูล ช่วยปฏิบัติงาน เพื่อแสดงในหน้าเตรียมคำสั่งย้ายฯ</t>
  </si>
  <si>
    <t>- เพิ่มช่อง input ช่วยปฏิบัติงาน แสดงในส่วนตำแหน่งปัจจุบันของพนักงาน (แสดงใต้ข้อมูลกลุ่มธุรกิจ)
- กรณี พนักงาน มีหลายตำแหน่ง ให้ดึงข้อมูลจาก PIS Position มาแสดงในช่องช่วยปฏิบัติงาน (ตัดเอาเฉพาะชื่อที่อยู่ในวงเล็บ ของ column T_Report ตำแหน่งที่ 100% ของพนักงาน)
- เพิ่ม input ช่วยปฏิบัติงาน ของตำแหน่งปลายทาง (ตำแหน่งที่ขอสรรหา แสดงใต้ข้อมูลกลุ่มธุรกิจ)</t>
  </si>
  <si>
    <t>2. ปรับการแสดงข้อมูลในเอกสารคำสั่งย้ายฯ</t>
  </si>
  <si>
    <t>- เพิ่มการแสดงผล ช่วยปฏิบัติงาน ของตำแหน่งปัจจุบันของพนักงาน และตำแหน่ง ช่วยปฏิบัติงาน ของตำแหน่งปลายทาง (ตำแหน่งที่ขอสรรหา)
- แสดงใต้ข้อมูลกลุ่มธุรกิจ
- หากไม่มีการกรอกข้อมูล ไม่ต้องแสดง
- ปรับ layout เอกสารคำสั่ง (เนื่องจาก เพิ่มการแสดงข้อมูล ช่วยปฏิบัติงาน อาจทำให้ template เอกสารคำสั่งเดิมแสดงไม่พอใน 1 หน้า)</t>
  </si>
  <si>
    <t>- เพิ่มการแสดงผล วุฒิการศึกษา ของอัตราที่ขอสรรหา ในหน้าประกาศเวียนภายใน</t>
  </si>
  <si>
    <t>15. ปรับปรุงหน้า Dashboard</t>
  </si>
  <si>
    <t>- เพิ่มให้ค้นหาข้อมูลจาก สถานะของอัตรา (เป็น checkbox ให้สามารถเลือกได้หลายสถานะ ต่อการค้นหา 1 ครั้ง)
   &gt; default เป็น all status
- เพิ่มให้ค้นหาข้อมูลจาก ปี ที่ต้องการได้ (ดูจากปีที่อนุมัติการขอสรรหา ถ้าเป็นอัตราที่ยังไม่อนุมัติจะไม่แสดง)
- เพิ่มให้สามารถ export ออกมาเป็น excel ได้
- แก้ไขการแสดงข้อมูล (ตัวเลขแสดงไม่สอดคล้องกัน)</t>
  </si>
  <si>
    <t>1. ปรับแก้ไขขั้นตอนการเตรียมข้อมูล Event และ แก้ไข Event</t>
  </si>
  <si>
    <t>- เพิ่มช่องให้กรอกวันที่ publish ของ Event และวันที่ สิ้นสุดการ publish Event (เพื่อใช้เป็น condition ในการแสดงข้อมูล Event ในหน้า Career Events)
- เพิ่มส่วนให้กรอกวันที่ให้ผู้สมัครสามารถเริ่ม apply Event และวันที่สิ้นสุดการ apply Event ได้ 
- validate วันที่ให้สอดคล้องกัน</t>
  </si>
  <si>
    <t>17. ปรับให้สามารถประกาศเวียนภายในใหม่ได้โดยไม่ต้องปลดผู้สมัครเดิมออกก่อน</t>
  </si>
  <si>
    <t>- เพิ่มหน้า admin สำหรับประกาศเวียนภายในใหม่ได้ (กำหนดวันที่เริ่มประกาศเวียน)
- condition การ validate: หากมีพนักงาน ผ่านสัมภาษณ์ค้าอยู่จะไม่สามารถดำเนินการประกาศเวียนใหม่ได้</t>
  </si>
  <si>
    <t>1. Upgrade AngularJs version</t>
  </si>
  <si>
    <t>update Framework จาก AngularJs เปลี่ยนเป็น Angular version ล่าสุด (Angular version 20)</t>
  </si>
  <si>
    <t>2. Upgrade Bootstrap version</t>
  </si>
  <si>
    <r>
      <t>Upgrade Bootstrap เป็น version ล่าสุด (</t>
    </r>
    <r>
      <rPr>
        <sz val="11"/>
        <color rgb="FFFF0000"/>
        <rFont val="Tahoma"/>
        <family val="2"/>
      </rPr>
      <t>เฉพาะกรณีไม่ได้ทำ Upgrade Angular ในข้อ 1</t>
    </r>
    <r>
      <rPr>
        <sz val="11"/>
        <color theme="1"/>
        <rFont val="Tahoma"/>
        <family val="2"/>
      </rPr>
      <t>)</t>
    </r>
  </si>
  <si>
    <t>3. Upgrade JQuery version</t>
  </si>
  <si>
    <r>
      <t>Upgrade JQuery เป็น version ล่าสุด (</t>
    </r>
    <r>
      <rPr>
        <sz val="11"/>
        <color rgb="FFFF0000"/>
        <rFont val="Tahoma"/>
        <family val="2"/>
      </rPr>
      <t>เฉพาะกรณีไม่ได้ทำ Upgrade Angular ในข้อ 1</t>
    </r>
    <r>
      <rPr>
        <sz val="11"/>
        <color theme="1"/>
        <rFont val="Tahoma"/>
        <family val="2"/>
      </rPr>
      <t>)</t>
    </r>
  </si>
  <si>
    <t>1. ปรับแก้ไขผล source code scan Converity</t>
  </si>
  <si>
    <t>แก้ไข Issues ทั้งหมด (200 - 250 issues) จากผลการ coverity scan</t>
  </si>
  <si>
    <t>2. ปรับแก้ไขผล source code scan Blackduck</t>
  </si>
  <si>
    <r>
      <t>- ปรับแก้ไข License Risk &amp; Operation Risk ระดับ Hign &amp; Medium ทั้งหมด (</t>
    </r>
    <r>
      <rPr>
        <sz val="11"/>
        <color rgb="FFFF0000"/>
        <rFont val="Tahoma"/>
        <family val="2"/>
      </rPr>
      <t>กรณีไม่ได้ทำ Upgrade Angular ในข้อ 18 &gt; 1 จะยังคงติด 'angular-strap 2.3.9' และ AngularJs Core 1.2.0</t>
    </r>
    <r>
      <rPr>
        <sz val="11"/>
        <color theme="1"/>
        <rFont val="Tahoma"/>
        <family val="2"/>
      </rPr>
      <t>)</t>
    </r>
  </si>
  <si>
    <t>20. ปรับ ขั้นตอนการ Login Azure AD &amp; Azure B2C และ ปรับขั้นตอนการจัดการสิทธิ์ ผ่านระบบกลาง CA@A</t>
  </si>
  <si>
    <t>1. ปรับขั้นตอนการ Login ของ พนักงานผ่าน Azure AD</t>
  </si>
  <si>
    <t>ปรับขั้นตอนการ Login เพื่อให้สอดคล้องกับ Architecture ของ CA@A
- ปรับการเก็บข้อมูล user พนักงานที่ใช้งานระบบ 
- ปรับขั้นตอนการ Login ไปใช้การ Login ผ่าน AzureAD
- เพิ่มขั้นตอนการ validate user authorization จาก CA@A
- เพิ่มขั้นตอนการ get User Roles จาก CA@A เพื่อมาใช้งานในระบบ</t>
  </si>
  <si>
    <t>2. ปรับขั้นตอนการ Register เพื่อให้สอดคล้องกับ Architecture ของ CA@A</t>
  </si>
  <si>
    <t>ปรับ Flow การ register ใหม่
- ระบบส่งมูลการ register ไปยัง CA@A
- CA@A ส่ง email verify ไปยังผู้สมัคร
- ผู้สมัครกด link จาก email เพื่อ verify (กลับมาที่หน้าจอ e-Recruitment)
- ระบบส่งข้อมูลการ verify ของผู้สมัครต่อไปยัง CA@A
- CA@A ส่งผมการ Register ผู้สมัครกลับมายังระบบ e-Recruitment
- แสดงผลการ register ที่หน้าจอ และดำเนินการตาม Flow ปัจจุบัน</t>
  </si>
  <si>
    <t>3. ปรับขั้นตอนการ Login เพื่อให้สอดคล้องกับ Architecture ของ CA@A</t>
  </si>
  <si>
    <t>ปรับขั้นตอนการ Login เพื่อให้สอดคล้องกับ Architecture ของ CA@A :
- ปรับการเก็บข้อมูล user พนักงานที่ใช้งานระบบ 
- ปรับไปใช้การ Login ผ่าน AzureB2C
- กรณี login ครั้งแรกให้ force set password
ปรับขั้นตอนการ forgot password
- ปรับขั้นตอนการ 'forgot password' เปลี่ยนให้ไปใช้ขั้นตอนเปลี่ยน password ของ AzureB2C</t>
  </si>
  <si>
    <t>4. ปรับ Process การ update user Authorization &amp; Roles</t>
  </si>
  <si>
    <t>ปรับการเก็บข้อมูล และ management ข้อมูล user roles
- เพิ่ม function สำหรับส่งข้อมูล User roles ไปที่ CA@A (add &amp; update &amp; delete)
- ปรับ process การ Management user roles ของพนักงานภายในทั้งหมดใหม่ (สำหรับ daily service)
- แก้ไข Daily Service สำหรับ update user roles พนักงานภายใน
- ปรับ process การ Manage user roles ของ BU ที่ดูแลแต่ละหน่วยงาน (หน้า management BU user)
- เพิ่มหน้า Admin สำหรับจัดการ External User ที่ใช้งานในขั้นตอนการดำเนินการภายใน</t>
  </si>
  <si>
    <t>1. ปรับการจัดการข้อมูลที่มีความสำคัญ ข้อมูลส่วนบุคคล ข้อมูลอ่อนไหว</t>
  </si>
  <si>
    <t>- ปรับวิธีการนำข้อมูลมาแสดงผลบนหน้าจอ (Backend Encrypt ข้อมูลก่อน response และ Frontend Decrypt ก่อนนำไปแสดงข้อมูล) เช่นข้อมูลชื่อ-สกุล, รหัสบัตรประชาชน, ข้อมูลอื่นๆ</t>
  </si>
  <si>
    <t>2. เมื่อปิดแอปพลิเคชันจะต้องใส่รหัสผ่านเพื่อยืนยันตัวตนอีกครั้งถึงแม้ผู้ใช้งานจะยังคงเข้าระบบค้างอยู่ก็ตาม</t>
  </si>
  <si>
    <t>- ถ้าปิด Web Browser โดยยังไม่ได้ Logout, เมื่อกลับเข้ามาใช้งาน ต้องให้ Login ใหม่</t>
  </si>
  <si>
    <t>3. มีการเก็บค่า Audit Logs ทุกครั้งที่มีการพิสูจน์ตัวตน (Authentication)</t>
  </si>
  <si>
    <t>- เก็บ action log ทุกครั้งเมื่อมีการ login เข้าสู่ระบบ</t>
  </si>
  <si>
    <t>4. Audit Logs แสดงต้นทาง (Source) และปลายทาง (Destination) และกิจกรรมที่เกิดขึ้น</t>
  </si>
  <si>
    <t>- เพิ่มการเก็บ log ทุกขั้นตอนในระบบ
- เก็บ timestamp
- เพิ่มการทำ Rating ของ Log เช่น Critical, Important, Warning</t>
  </si>
  <si>
    <t>5. เพิ่มข้อกำหนดทางด้านรหัสผ่าน (เพื่อเข้าใช้งานระบบ)</t>
  </si>
  <si>
    <t>- เพิ่มการแจ้งเตือนกรณีหยุดใช้งานระบบเป็นเวลา 15 นาที (ทำเป็น config ให้สามารถแก้ไขได้)
- เพิ่ม config เมื่อแจ้งเตือนแล้ว ไม่กดยืนยัน การใช้งานระบบ ภายในเวลา XX นาที ระบบจะทำการ auto logout ให้
- ทำให้สามารถ เปิด/ปิด การใช้งาน feature นี้ได้
- config แยกระหว่างผู้สมัคร และ ขั้นตอนภายใน
- ปิด function การจำ Password ของ Browser เมื่อ user กรอก password</t>
  </si>
  <si>
    <t>6. ปรับการเก็บข้อมูล และเชื่อมโยงข้อมูล</t>
  </si>
  <si>
    <t>- ไม่เก็บข้อมูลซ้ำซ้อน แต่ให้ใช้การเชื่อโยงข้อมูลด้วย รหัส (ID) แทน</t>
  </si>
  <si>
    <t>7. ปรับการจัดการ Temporary files</t>
  </si>
  <si>
    <t>- กำจัดไฟล์ชั่วคราวที่สร้างขึ้น เช่นลบ หรือ ทำลาย ภายในระยะเวลาที่กำหนด</t>
  </si>
  <si>
    <t>22. ปรับการอ่านข้อมูลแบบ DBLink เป็นผ่าน wso2</t>
  </si>
  <si>
    <t>หากตัด scope ข้อปรับหน้าผู้สมัครออก</t>
  </si>
  <si>
    <t>SAP Functional</t>
  </si>
  <si>
    <t>ศศิร์ธา เกื้อพงษ์ไทย</t>
  </si>
  <si>
    <t>No</t>
  </si>
  <si>
    <t>Week 1</t>
  </si>
  <si>
    <t>Week 2</t>
  </si>
  <si>
    <t>Week 3</t>
  </si>
  <si>
    <t>Week 4</t>
  </si>
  <si>
    <t>Requirement &amp; Design Confirmation</t>
  </si>
  <si>
    <t>Development &amp; Testing</t>
  </si>
  <si>
    <t>Demo 1</t>
  </si>
  <si>
    <t>Fix After Demo 1</t>
  </si>
  <si>
    <t>UAT 1</t>
  </si>
  <si>
    <t>Fix After UAT 1</t>
  </si>
  <si>
    <t>UAT 2</t>
  </si>
  <si>
    <t>Fix After UAT 2</t>
  </si>
  <si>
    <t>Security Scan &amp; Go Live Preparation</t>
  </si>
  <si>
    <t>Go Live</t>
  </si>
  <si>
    <t>Total Vendor หลังตัด scope เพิ่ม</t>
  </si>
  <si>
    <t>Month1</t>
  </si>
  <si>
    <t>Month2</t>
  </si>
  <si>
    <t>Month3</t>
  </si>
  <si>
    <t>Month4</t>
  </si>
  <si>
    <t>Month5</t>
  </si>
  <si>
    <t>Month6</t>
  </si>
  <si>
    <t>Month7</t>
  </si>
  <si>
    <t>Month8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</si>
</sst>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87" formatCode="[$-101041E]d\ mmm\ yy;@"/>
    <numFmt numFmtId="188" formatCode="_-* #,##0_-;\-* #,##0_-;_-* &quot;-&quot;??_-;_-@_-"/>
    <numFmt numFmtId="189" formatCode="&quot;฿&quot;#,##0.00"/>
    <numFmt numFmtId="190" formatCode="&quot;฿&quot;#,##0"/>
    <numFmt numFmtId="191" formatCode="_(* #,##0.00_);_(* \(#,##0.00\);_(* &quot;-&quot;??_);_(@_)"/>
    <numFmt numFmtId="192" formatCode="_-* #,##0.000_-;\-* #,##0.000_-;_-* &quot;-&quot;??_-;_-@_-"/>
    <numFmt numFmtId="193" formatCode="_-* #,##0.000_-;\-* #,##0.000_-;_-* &quot;-&quot;???_-;_-@_-"/>
  </numFmts>
  <fonts count="36" x14ac:knownFonts="1">
    <font>
      <sz val="11"/>
      <color theme="1"/>
      <name val="Tahoma"/>
      <family val="2"/>
      <scheme val="minor"/>
    </font>
    <font>
      <sz val="11"/>
      <color theme="1"/>
      <name val="Tahoma"/>
      <family val="2"/>
      <charset val="222"/>
      <scheme val="minor"/>
    </font>
    <font>
      <sz val="11"/>
      <color rgb="FF000000"/>
      <name val="Tahoma"/>
      <family val="2"/>
    </font>
    <font>
      <b/>
      <sz val="11"/>
      <color rgb="FF000000"/>
      <name val="Tahoma"/>
      <family val="2"/>
    </font>
    <font>
      <sz val="10"/>
      <color rgb="FF000000"/>
      <name val="Tahoma"/>
      <family val="2"/>
    </font>
    <font>
      <b/>
      <sz val="10"/>
      <color rgb="FFFF0000"/>
      <name val="Calibri"/>
      <family val="2"/>
    </font>
    <font>
      <b/>
      <sz val="11"/>
      <color rgb="FF000000"/>
      <name val="Tahoma"/>
      <family val="2"/>
      <scheme val="major"/>
    </font>
    <font>
      <sz val="11"/>
      <color theme="1"/>
      <name val="Tahoma"/>
      <family val="2"/>
      <scheme val="minor"/>
    </font>
    <font>
      <sz val="12"/>
      <name val="Tahoma"/>
      <family val="2"/>
      <scheme val="minor"/>
    </font>
    <font>
      <b/>
      <sz val="11"/>
      <name val="Tahoma"/>
      <family val="2"/>
      <scheme val="major"/>
    </font>
    <font>
      <b/>
      <sz val="11"/>
      <color theme="0"/>
      <name val="Tahoma"/>
      <family val="2"/>
      <scheme val="major"/>
    </font>
    <font>
      <sz val="11"/>
      <name val="Tahoma"/>
      <family val="2"/>
      <scheme val="major"/>
    </font>
    <font>
      <sz val="11"/>
      <name val="Tahoma"/>
      <family val="2"/>
    </font>
    <font>
      <b/>
      <sz val="11"/>
      <color theme="0"/>
      <name val="Tahoma"/>
      <family val="2"/>
    </font>
    <font>
      <b/>
      <sz val="11"/>
      <name val="Tahoma"/>
      <family val="2"/>
    </font>
    <font>
      <sz val="12"/>
      <color rgb="FF000000"/>
      <name val="Calibri"/>
      <family val="2"/>
    </font>
    <font>
      <sz val="11"/>
      <color rgb="FF000000"/>
      <name val="Tahoma"/>
      <family val="2"/>
      <scheme val="major"/>
    </font>
    <font>
      <sz val="11"/>
      <color theme="1"/>
      <name val="Tahoma"/>
      <family val="2"/>
      <scheme val="major"/>
    </font>
    <font>
      <sz val="11"/>
      <color rgb="FFFF0000"/>
      <name val="Tahoma"/>
      <family val="2"/>
      <scheme val="major"/>
    </font>
    <font>
      <u val="double"/>
      <sz val="11"/>
      <color rgb="FFFF0000"/>
      <name val="Tahoma"/>
      <family val="2"/>
      <scheme val="major"/>
    </font>
    <font>
      <b/>
      <sz val="11"/>
      <color rgb="FFFF0000"/>
      <name val="Tahoma"/>
      <family val="2"/>
      <scheme val="major"/>
    </font>
    <font>
      <b/>
      <sz val="16"/>
      <color rgb="FFFF0000"/>
      <name val="Tahoma"/>
      <family val="2"/>
    </font>
    <font>
      <sz val="11"/>
      <color theme="1"/>
      <name val="Tahoma"/>
      <family val="2"/>
    </font>
    <font>
      <b/>
      <sz val="14"/>
      <color rgb="FF000000"/>
      <name val="Cordia New"/>
      <family val="2"/>
    </font>
    <font>
      <sz val="12"/>
      <color theme="1"/>
      <name val="Cordia New"/>
      <family val="2"/>
    </font>
    <font>
      <sz val="12"/>
      <color rgb="FF000000"/>
      <name val="Cordia New"/>
      <family val="2"/>
    </font>
    <font>
      <b/>
      <sz val="11"/>
      <color theme="1"/>
      <name val="Tahoma"/>
      <family val="2"/>
    </font>
    <font>
      <b/>
      <sz val="11"/>
      <color rgb="FF0000FF"/>
      <name val="Tahoma"/>
      <family val="2"/>
    </font>
    <font>
      <sz val="11"/>
      <color rgb="FF006100"/>
      <name val="Tahoma"/>
      <family val="2"/>
      <scheme val="minor"/>
    </font>
    <font>
      <b/>
      <sz val="11"/>
      <color rgb="FF006100"/>
      <name val="Tahoma"/>
      <family val="2"/>
    </font>
    <font>
      <b/>
      <sz val="11"/>
      <color theme="4"/>
      <name val="Tahoma"/>
      <family val="2"/>
    </font>
    <font>
      <b/>
      <sz val="11"/>
      <color rgb="FFFF0000"/>
      <name val="Tahoma"/>
      <family val="2"/>
    </font>
    <font>
      <sz val="11"/>
      <color rgb="FFFF0000"/>
      <name val="Tahoma"/>
      <family val="2"/>
    </font>
    <font>
      <sz val="8"/>
      <color theme="1"/>
      <name val="Tahoma"/>
      <family val="2"/>
      <scheme val="minor"/>
    </font>
    <font>
      <sz val="9"/>
      <color theme="1"/>
      <name val="Tahoma"/>
      <family val="2"/>
      <scheme val="minor"/>
    </font>
    <font>
      <sz val="8"/>
      <name val="Tahoma"/>
      <family val="2"/>
      <scheme val="minor"/>
    </font>
  </fonts>
  <fills count="24">
    <fill>
      <patternFill patternType="none"/>
    </fill>
    <fill>
      <patternFill patternType="gray125"/>
    </fill>
    <fill>
      <patternFill patternType="solid">
        <fgColor rgb="FF0070C0"/>
        <bgColor indexed="64"/>
      </patternFill>
    </fill>
    <fill>
      <patternFill patternType="solid">
        <fgColor rgb="FFFFFF00"/>
        <bgColor rgb="FFFFFFFF"/>
      </patternFill>
    </fill>
    <fill>
      <patternFill patternType="solid">
        <fgColor theme="8" tint="0.39997558519241921"/>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rgb="FF92D050"/>
        <bgColor rgb="FFFFFFFF"/>
      </patternFill>
    </fill>
    <fill>
      <patternFill patternType="solid">
        <fgColor rgb="FFFFFF0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FFFF"/>
        <bgColor indexed="64"/>
      </patternFill>
    </fill>
    <fill>
      <patternFill patternType="solid">
        <fgColor theme="0" tint="-0.249977111117893"/>
        <bgColor indexed="64"/>
      </patternFill>
    </fill>
    <fill>
      <patternFill patternType="solid">
        <fgColor theme="9" tint="-0.249977111117893"/>
        <bgColor rgb="FFFFFFFF"/>
      </patternFill>
    </fill>
    <fill>
      <patternFill patternType="solid">
        <fgColor theme="7" tint="0.79998168889431442"/>
        <bgColor rgb="FFFFFFFF"/>
      </patternFill>
    </fill>
    <fill>
      <patternFill patternType="solid">
        <fgColor theme="8" tint="0.79998168889431442"/>
        <bgColor indexed="64"/>
      </patternFill>
    </fill>
    <fill>
      <patternFill patternType="solid">
        <fgColor theme="9" tint="0.59999389629810485"/>
        <bgColor indexed="64"/>
      </patternFill>
    </fill>
    <fill>
      <patternFill patternType="solid">
        <fgColor rgb="FFC6D9F1"/>
        <bgColor indexed="64"/>
      </patternFill>
    </fill>
    <fill>
      <patternFill patternType="solid">
        <fgColor rgb="FFC6EFCE"/>
      </patternFill>
    </fill>
    <fill>
      <patternFill patternType="solid">
        <fgColor theme="0" tint="-0.14999847407452621"/>
        <bgColor indexed="64"/>
      </patternFill>
    </fill>
    <fill>
      <patternFill patternType="solid">
        <fgColor theme="0"/>
        <bgColor indexed="64"/>
      </patternFill>
    </fill>
    <fill>
      <patternFill patternType="solid">
        <fgColor theme="4"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7">
    <xf numFmtId="0" fontId="0" fillId="0" borderId="0"/>
    <xf numFmtId="43" fontId="7" fillId="0" borderId="0" applyFont="0" applyFill="0" applyBorder="0" applyAlignment="0" applyProtection="0"/>
    <xf numFmtId="0" fontId="2" fillId="0" borderId="0"/>
    <xf numFmtId="0" fontId="1" fillId="0" borderId="0"/>
    <xf numFmtId="0" fontId="7" fillId="0" borderId="0"/>
    <xf numFmtId="0" fontId="28" fillId="20" borderId="0" applyNumberFormat="0" applyBorder="0" applyAlignment="0" applyProtection="0"/>
    <xf numFmtId="0" fontId="7" fillId="0" borderId="0"/>
  </cellStyleXfs>
  <cellXfs count="180">
    <xf numFmtId="0" fontId="0" fillId="0" borderId="0" xfId="0"/>
    <xf numFmtId="187" fontId="3" fillId="3" borderId="1" xfId="2" applyNumberFormat="1" applyFont="1" applyFill="1" applyBorder="1" applyAlignment="1">
      <alignment horizontal="left" vertical="top"/>
    </xf>
    <xf numFmtId="187" fontId="4" fillId="3" borderId="1" xfId="2" applyNumberFormat="1" applyFont="1" applyFill="1" applyBorder="1" applyAlignment="1">
      <alignment horizontal="left" vertical="top" wrapText="1"/>
    </xf>
    <xf numFmtId="187" fontId="5" fillId="3" borderId="1" xfId="2" applyNumberFormat="1" applyFont="1" applyFill="1" applyBorder="1" applyAlignment="1">
      <alignment vertical="top" wrapText="1"/>
    </xf>
    <xf numFmtId="187" fontId="5" fillId="3" borderId="1" xfId="2" applyNumberFormat="1" applyFont="1" applyFill="1" applyBorder="1" applyAlignment="1">
      <alignment horizontal="left" vertical="top" wrapText="1"/>
    </xf>
    <xf numFmtId="0" fontId="8" fillId="0" borderId="5" xfId="0" applyFont="1" applyBorder="1" applyAlignment="1">
      <alignment vertical="top" wrapText="1"/>
    </xf>
    <xf numFmtId="187" fontId="2" fillId="0" borderId="0" xfId="2" applyNumberFormat="1" applyAlignment="1">
      <alignment horizontal="center" vertical="top"/>
    </xf>
    <xf numFmtId="187" fontId="2" fillId="0" borderId="0" xfId="2" applyNumberFormat="1" applyAlignment="1">
      <alignment vertical="top"/>
    </xf>
    <xf numFmtId="187" fontId="3" fillId="3" borderId="1" xfId="2" applyNumberFormat="1" applyFont="1" applyFill="1" applyBorder="1" applyAlignment="1">
      <alignment horizontal="left" vertical="top" wrapText="1"/>
    </xf>
    <xf numFmtId="187" fontId="9" fillId="4" borderId="1" xfId="2" applyNumberFormat="1" applyFont="1" applyFill="1" applyBorder="1" applyAlignment="1">
      <alignment horizontal="center" vertical="top" wrapText="1"/>
    </xf>
    <xf numFmtId="0" fontId="9" fillId="4" borderId="1" xfId="2" applyFont="1" applyFill="1" applyBorder="1" applyAlignment="1">
      <alignment horizontal="center" vertical="top"/>
    </xf>
    <xf numFmtId="0" fontId="9" fillId="5" borderId="1" xfId="2" applyFont="1" applyFill="1" applyBorder="1" applyAlignment="1">
      <alignment horizontal="center" vertical="top"/>
    </xf>
    <xf numFmtId="187" fontId="9" fillId="4" borderId="1" xfId="2" applyNumberFormat="1" applyFont="1" applyFill="1" applyBorder="1" applyAlignment="1">
      <alignment horizontal="center" vertical="top"/>
    </xf>
    <xf numFmtId="0" fontId="9" fillId="4" borderId="1" xfId="2" applyFont="1" applyFill="1" applyBorder="1" applyAlignment="1">
      <alignment horizontal="center" vertical="top" wrapText="1"/>
    </xf>
    <xf numFmtId="187" fontId="10" fillId="6" borderId="1" xfId="2" applyNumberFormat="1" applyFont="1" applyFill="1" applyBorder="1" applyAlignment="1">
      <alignment horizontal="center" vertical="top"/>
    </xf>
    <xf numFmtId="187" fontId="9" fillId="7" borderId="1" xfId="2" applyNumberFormat="1" applyFont="1" applyFill="1" applyBorder="1" applyAlignment="1">
      <alignment horizontal="center" vertical="top"/>
    </xf>
    <xf numFmtId="0" fontId="3" fillId="8" borderId="1" xfId="2" applyFont="1" applyFill="1" applyBorder="1" applyAlignment="1">
      <alignment vertical="top"/>
    </xf>
    <xf numFmtId="0" fontId="3" fillId="8" borderId="1" xfId="2" applyFont="1" applyFill="1" applyBorder="1" applyAlignment="1">
      <alignment horizontal="center" vertical="top"/>
    </xf>
    <xf numFmtId="0" fontId="3" fillId="8" borderId="1" xfId="2" applyFont="1" applyFill="1" applyBorder="1" applyAlignment="1">
      <alignment horizontal="left" vertical="top"/>
    </xf>
    <xf numFmtId="0" fontId="11" fillId="4" borderId="1" xfId="2" applyFont="1" applyFill="1" applyBorder="1" applyAlignment="1">
      <alignment horizontal="right" vertical="top"/>
    </xf>
    <xf numFmtId="0" fontId="12" fillId="4" borderId="1" xfId="2" applyFont="1" applyFill="1" applyBorder="1" applyAlignment="1">
      <alignment horizontal="right" vertical="top"/>
    </xf>
    <xf numFmtId="0" fontId="11" fillId="5" borderId="1" xfId="2" applyFont="1" applyFill="1" applyBorder="1" applyAlignment="1">
      <alignment horizontal="right" vertical="top"/>
    </xf>
    <xf numFmtId="0" fontId="11" fillId="9" borderId="1" xfId="2" applyFont="1" applyFill="1" applyBorder="1" applyAlignment="1">
      <alignment horizontal="left" vertical="top"/>
    </xf>
    <xf numFmtId="0" fontId="11" fillId="9" borderId="1" xfId="2" applyFont="1" applyFill="1" applyBorder="1" applyAlignment="1">
      <alignment horizontal="right" vertical="top"/>
    </xf>
    <xf numFmtId="0" fontId="10" fillId="6" borderId="1" xfId="2" applyFont="1" applyFill="1" applyBorder="1" applyAlignment="1">
      <alignment horizontal="right" vertical="top"/>
    </xf>
    <xf numFmtId="188" fontId="11" fillId="10" borderId="1" xfId="1" applyNumberFormat="1" applyFont="1" applyFill="1" applyBorder="1" applyAlignment="1">
      <alignment horizontal="right" vertical="top"/>
    </xf>
    <xf numFmtId="0" fontId="3" fillId="0" borderId="0" xfId="2" applyFont="1" applyAlignment="1">
      <alignment horizontal="center" vertical="top"/>
    </xf>
    <xf numFmtId="0" fontId="3" fillId="0" borderId="0" xfId="2" applyFont="1" applyAlignment="1">
      <alignment vertical="top"/>
    </xf>
    <xf numFmtId="0" fontId="3" fillId="11" borderId="1" xfId="2" applyFont="1" applyFill="1" applyBorder="1" applyAlignment="1">
      <alignment horizontal="center" vertical="top" wrapText="1"/>
    </xf>
    <xf numFmtId="0" fontId="2" fillId="0" borderId="1" xfId="2" applyBorder="1" applyAlignment="1">
      <alignment vertical="top"/>
    </xf>
    <xf numFmtId="0" fontId="2" fillId="0" borderId="1" xfId="2" applyBorder="1" applyAlignment="1">
      <alignment vertical="top" wrapText="1"/>
    </xf>
    <xf numFmtId="0" fontId="2" fillId="0" borderId="1" xfId="2" applyBorder="1" applyAlignment="1">
      <alignment horizontal="left" vertical="top" wrapText="1"/>
    </xf>
    <xf numFmtId="0" fontId="3" fillId="0" borderId="1" xfId="2" applyFont="1" applyBorder="1" applyAlignment="1">
      <alignment vertical="top" wrapText="1"/>
    </xf>
    <xf numFmtId="0" fontId="3" fillId="0" borderId="1" xfId="2" applyFont="1" applyBorder="1" applyAlignment="1">
      <alignment vertical="top"/>
    </xf>
    <xf numFmtId="0" fontId="3" fillId="0" borderId="1" xfId="2" applyFont="1" applyBorder="1" applyAlignment="1">
      <alignment horizontal="right" vertical="top"/>
    </xf>
    <xf numFmtId="0" fontId="2" fillId="0" borderId="1" xfId="2" applyBorder="1" applyAlignment="1">
      <alignment horizontal="right" vertical="top"/>
    </xf>
    <xf numFmtId="0" fontId="11" fillId="0" borderId="1" xfId="2" applyFont="1" applyBorder="1" applyAlignment="1">
      <alignment horizontal="right" vertical="top"/>
    </xf>
    <xf numFmtId="0" fontId="2" fillId="8" borderId="1" xfId="2" applyFill="1" applyBorder="1" applyAlignment="1">
      <alignment vertical="top"/>
    </xf>
    <xf numFmtId="0" fontId="2" fillId="8" borderId="1" xfId="2" applyFill="1" applyBorder="1" applyAlignment="1">
      <alignment horizontal="left" vertical="top"/>
    </xf>
    <xf numFmtId="0" fontId="3" fillId="12" borderId="1" xfId="2" applyFont="1" applyFill="1" applyBorder="1" applyAlignment="1">
      <alignment vertical="top" wrapText="1"/>
    </xf>
    <xf numFmtId="0" fontId="3" fillId="12" borderId="1" xfId="2" applyFont="1" applyFill="1" applyBorder="1" applyAlignment="1">
      <alignment vertical="top"/>
    </xf>
    <xf numFmtId="0" fontId="3" fillId="12" borderId="1" xfId="2" applyFont="1" applyFill="1" applyBorder="1" applyAlignment="1">
      <alignment horizontal="right" vertical="top"/>
    </xf>
    <xf numFmtId="0" fontId="13" fillId="6" borderId="1" xfId="2" applyFont="1" applyFill="1" applyBorder="1" applyAlignment="1">
      <alignment horizontal="right" vertical="top"/>
    </xf>
    <xf numFmtId="188" fontId="12" fillId="10" borderId="1" xfId="1" applyNumberFormat="1" applyFont="1" applyFill="1" applyBorder="1" applyAlignment="1">
      <alignment horizontal="right" vertical="top"/>
    </xf>
    <xf numFmtId="0" fontId="2" fillId="0" borderId="1" xfId="2" applyBorder="1" applyAlignment="1">
      <alignment horizontal="left" vertical="top"/>
    </xf>
    <xf numFmtId="0" fontId="2" fillId="0" borderId="0" xfId="2" applyAlignment="1">
      <alignment horizontal="center" vertical="top"/>
    </xf>
    <xf numFmtId="0" fontId="2" fillId="0" borderId="0" xfId="2" applyAlignment="1">
      <alignment vertical="top"/>
    </xf>
    <xf numFmtId="0" fontId="12" fillId="0" borderId="1" xfId="2" applyFont="1" applyBorder="1" applyAlignment="1">
      <alignment vertical="top"/>
    </xf>
    <xf numFmtId="0" fontId="12" fillId="0" borderId="1" xfId="2" applyFont="1" applyBorder="1" applyAlignment="1">
      <alignment vertical="top" wrapText="1"/>
    </xf>
    <xf numFmtId="0" fontId="12" fillId="0" borderId="1" xfId="2" applyFont="1" applyBorder="1" applyAlignment="1">
      <alignment horizontal="left" vertical="top" wrapText="1"/>
    </xf>
    <xf numFmtId="0" fontId="12" fillId="0" borderId="1" xfId="2" applyFont="1" applyBorder="1" applyAlignment="1">
      <alignment horizontal="left" vertical="top"/>
    </xf>
    <xf numFmtId="0" fontId="12" fillId="8" borderId="1" xfId="2" applyFont="1" applyFill="1" applyBorder="1" applyAlignment="1">
      <alignment vertical="top"/>
    </xf>
    <xf numFmtId="0" fontId="12" fillId="8" borderId="1" xfId="2" applyFont="1" applyFill="1" applyBorder="1" applyAlignment="1">
      <alignment horizontal="left" vertical="top"/>
    </xf>
    <xf numFmtId="0" fontId="2" fillId="12" borderId="1" xfId="2" applyFill="1" applyBorder="1" applyAlignment="1">
      <alignment vertical="top" wrapText="1"/>
    </xf>
    <xf numFmtId="0" fontId="2" fillId="12" borderId="1" xfId="2" applyFill="1" applyBorder="1" applyAlignment="1">
      <alignment vertical="top"/>
    </xf>
    <xf numFmtId="0" fontId="2" fillId="12" borderId="1" xfId="2" applyFill="1" applyBorder="1" applyAlignment="1">
      <alignment horizontal="right" vertical="top"/>
    </xf>
    <xf numFmtId="0" fontId="14" fillId="0" borderId="1" xfId="2" applyFont="1" applyBorder="1" applyAlignment="1">
      <alignment horizontal="left" vertical="top" wrapText="1"/>
    </xf>
    <xf numFmtId="0" fontId="2" fillId="0" borderId="2" xfId="2" applyBorder="1" applyAlignment="1">
      <alignment vertical="top"/>
    </xf>
    <xf numFmtId="0" fontId="15" fillId="13" borderId="6" xfId="0" applyFont="1" applyFill="1" applyBorder="1" applyAlignment="1">
      <alignment vertical="top"/>
    </xf>
    <xf numFmtId="0" fontId="12" fillId="0" borderId="4" xfId="2" applyFont="1" applyBorder="1" applyAlignment="1">
      <alignment vertical="top"/>
    </xf>
    <xf numFmtId="0" fontId="15" fillId="5" borderId="6" xfId="0" applyFont="1" applyFill="1" applyBorder="1" applyAlignment="1">
      <alignment vertical="top" wrapText="1"/>
    </xf>
    <xf numFmtId="0" fontId="15" fillId="14" borderId="6" xfId="0" applyFont="1" applyFill="1" applyBorder="1" applyAlignment="1">
      <alignment vertical="top"/>
    </xf>
    <xf numFmtId="0" fontId="2" fillId="0" borderId="1" xfId="2" applyBorder="1" applyAlignment="1">
      <alignment horizontal="center" vertical="top"/>
    </xf>
    <xf numFmtId="0" fontId="2" fillId="0" borderId="1" xfId="0" applyFont="1" applyBorder="1" applyAlignment="1">
      <alignment vertical="top" wrapText="1"/>
    </xf>
    <xf numFmtId="0" fontId="12" fillId="0" borderId="7" xfId="2" applyFont="1" applyBorder="1" applyAlignment="1">
      <alignment vertical="top"/>
    </xf>
    <xf numFmtId="0" fontId="3" fillId="0" borderId="1" xfId="0" applyFont="1" applyBorder="1" applyAlignment="1">
      <alignment vertical="top" wrapText="1"/>
    </xf>
    <xf numFmtId="0" fontId="12" fillId="8" borderId="1" xfId="2" applyFont="1" applyFill="1" applyBorder="1" applyAlignment="1">
      <alignment vertical="top" wrapText="1"/>
    </xf>
    <xf numFmtId="0" fontId="12" fillId="8" borderId="1" xfId="2" applyFont="1" applyFill="1" applyBorder="1" applyAlignment="1">
      <alignment horizontal="right" vertical="top"/>
    </xf>
    <xf numFmtId="0" fontId="13" fillId="15" borderId="1" xfId="2" applyFont="1" applyFill="1" applyBorder="1" applyAlignment="1">
      <alignment horizontal="right" vertical="top"/>
    </xf>
    <xf numFmtId="188" fontId="12" fillId="16" borderId="1" xfId="1" applyNumberFormat="1" applyFont="1" applyFill="1" applyBorder="1" applyAlignment="1">
      <alignment horizontal="right" vertical="top"/>
    </xf>
    <xf numFmtId="0" fontId="2" fillId="0" borderId="1" xfId="2" applyBorder="1" applyAlignment="1">
      <alignment horizontal="center" vertical="top" wrapText="1"/>
    </xf>
    <xf numFmtId="0" fontId="2" fillId="0" borderId="2" xfId="2" applyBorder="1" applyAlignment="1">
      <alignment horizontal="right" vertical="top"/>
    </xf>
    <xf numFmtId="187" fontId="2" fillId="9" borderId="1" xfId="2" applyNumberFormat="1" applyFill="1" applyBorder="1" applyAlignment="1">
      <alignment vertical="top" wrapText="1"/>
    </xf>
    <xf numFmtId="187" fontId="2" fillId="3" borderId="1" xfId="2" applyNumberFormat="1" applyFill="1" applyBorder="1" applyAlignment="1">
      <alignment horizontal="left" vertical="top" wrapText="1"/>
    </xf>
    <xf numFmtId="187" fontId="16" fillId="9" borderId="1" xfId="2" applyNumberFormat="1" applyFont="1" applyFill="1" applyBorder="1" applyAlignment="1">
      <alignment horizontal="left" vertical="top" wrapText="1"/>
    </xf>
    <xf numFmtId="0" fontId="16" fillId="9" borderId="1" xfId="2" applyFont="1" applyFill="1" applyBorder="1" applyAlignment="1">
      <alignment horizontal="right" vertical="top" wrapText="1"/>
    </xf>
    <xf numFmtId="0" fontId="10" fillId="6" borderId="1" xfId="2" applyFont="1" applyFill="1" applyBorder="1" applyAlignment="1">
      <alignment horizontal="right" vertical="top" wrapText="1"/>
    </xf>
    <xf numFmtId="188" fontId="11" fillId="10" borderId="1" xfId="1" applyNumberFormat="1" applyFont="1" applyFill="1" applyBorder="1" applyAlignment="1">
      <alignment horizontal="right" vertical="top" wrapText="1"/>
    </xf>
    <xf numFmtId="0" fontId="2" fillId="0" borderId="0" xfId="2" applyAlignment="1">
      <alignment vertical="top" wrapText="1"/>
    </xf>
    <xf numFmtId="0" fontId="2" fillId="0" borderId="0" xfId="2" applyAlignment="1">
      <alignment horizontal="left" vertical="top"/>
    </xf>
    <xf numFmtId="189" fontId="17" fillId="17" borderId="8" xfId="3" applyNumberFormat="1" applyFont="1" applyFill="1" applyBorder="1" applyAlignment="1">
      <alignment vertical="top"/>
    </xf>
    <xf numFmtId="189" fontId="17" fillId="17" borderId="7" xfId="3" applyNumberFormat="1" applyFont="1" applyFill="1" applyBorder="1" applyAlignment="1">
      <alignment horizontal="right" vertical="top"/>
    </xf>
    <xf numFmtId="189" fontId="18" fillId="17" borderId="7" xfId="3" applyNumberFormat="1" applyFont="1" applyFill="1" applyBorder="1" applyAlignment="1">
      <alignment horizontal="right" vertical="top"/>
    </xf>
    <xf numFmtId="189" fontId="17" fillId="17" borderId="1" xfId="3" applyNumberFormat="1" applyFont="1" applyFill="1" applyBorder="1" applyAlignment="1">
      <alignment horizontal="right" vertical="top"/>
    </xf>
    <xf numFmtId="189" fontId="17" fillId="0" borderId="0" xfId="3" applyNumberFormat="1" applyFont="1" applyAlignment="1">
      <alignment horizontal="right" vertical="top"/>
    </xf>
    <xf numFmtId="189" fontId="11" fillId="0" borderId="0" xfId="3" applyNumberFormat="1" applyFont="1" applyAlignment="1">
      <alignment horizontal="right" vertical="top"/>
    </xf>
    <xf numFmtId="189" fontId="11" fillId="18" borderId="9" xfId="3" applyNumberFormat="1" applyFont="1" applyFill="1" applyBorder="1" applyAlignment="1">
      <alignment horizontal="left" vertical="top" indent="1"/>
    </xf>
    <xf numFmtId="189" fontId="11" fillId="18" borderId="10" xfId="3" applyNumberFormat="1" applyFont="1" applyFill="1" applyBorder="1" applyAlignment="1">
      <alignment horizontal="right" vertical="top"/>
    </xf>
    <xf numFmtId="189" fontId="11" fillId="18" borderId="1" xfId="3" applyNumberFormat="1" applyFont="1" applyFill="1" applyBorder="1" applyAlignment="1">
      <alignment horizontal="right" vertical="top"/>
    </xf>
    <xf numFmtId="0" fontId="17" fillId="0" borderId="0" xfId="3" applyFont="1" applyAlignment="1">
      <alignment vertical="top" wrapText="1"/>
    </xf>
    <xf numFmtId="0" fontId="17" fillId="0" borderId="0" xfId="3" applyFont="1" applyAlignment="1">
      <alignment vertical="top"/>
    </xf>
    <xf numFmtId="189" fontId="17" fillId="0" borderId="0" xfId="3" applyNumberFormat="1" applyFont="1" applyAlignment="1">
      <alignment vertical="top"/>
    </xf>
    <xf numFmtId="189" fontId="19" fillId="0" borderId="0" xfId="3" applyNumberFormat="1" applyFont="1" applyAlignment="1">
      <alignment horizontal="right" vertical="top"/>
    </xf>
    <xf numFmtId="189" fontId="20" fillId="0" borderId="0" xfId="3" applyNumberFormat="1" applyFont="1" applyAlignment="1">
      <alignment horizontal="right" vertical="top"/>
    </xf>
    <xf numFmtId="189" fontId="10" fillId="6" borderId="1" xfId="3" applyNumberFormat="1" applyFont="1" applyFill="1" applyBorder="1" applyAlignment="1">
      <alignment horizontal="right" vertical="top"/>
    </xf>
    <xf numFmtId="189" fontId="18" fillId="0" borderId="0" xfId="3" applyNumberFormat="1" applyFont="1" applyAlignment="1">
      <alignment horizontal="right" vertical="top"/>
    </xf>
    <xf numFmtId="0" fontId="3" fillId="0" borderId="0" xfId="2" applyFont="1" applyAlignment="1">
      <alignment horizontal="right" vertical="top"/>
    </xf>
    <xf numFmtId="190" fontId="21" fillId="0" borderId="0" xfId="2" applyNumberFormat="1" applyFont="1" applyAlignment="1">
      <alignment vertical="top"/>
    </xf>
    <xf numFmtId="188" fontId="22" fillId="0" borderId="0" xfId="1" applyNumberFormat="1" applyFont="1" applyAlignment="1">
      <alignment horizontal="center" vertical="center"/>
    </xf>
    <xf numFmtId="0" fontId="12" fillId="0" borderId="0" xfId="2" applyFont="1" applyAlignment="1">
      <alignment vertical="top"/>
    </xf>
    <xf numFmtId="4" fontId="2" fillId="0" borderId="0" xfId="2" applyNumberFormat="1" applyAlignment="1">
      <alignment vertical="top"/>
    </xf>
    <xf numFmtId="0" fontId="23" fillId="19" borderId="11" xfId="0" applyFont="1" applyFill="1" applyBorder="1" applyAlignment="1">
      <alignment horizontal="center" vertical="center" wrapText="1"/>
    </xf>
    <xf numFmtId="0" fontId="23" fillId="19" borderId="12" xfId="0" applyFont="1" applyFill="1" applyBorder="1" applyAlignment="1">
      <alignment horizontal="center" vertical="center" wrapText="1"/>
    </xf>
    <xf numFmtId="0" fontId="24" fillId="0" borderId="11" xfId="0" applyFont="1" applyBorder="1" applyAlignment="1">
      <alignment vertical="center" wrapText="1"/>
    </xf>
    <xf numFmtId="0" fontId="24" fillId="0" borderId="12" xfId="0" applyFont="1" applyBorder="1" applyAlignment="1">
      <alignment vertical="center" wrapText="1"/>
    </xf>
    <xf numFmtId="188" fontId="2" fillId="0" borderId="0" xfId="1" applyNumberFormat="1" applyFont="1" applyAlignment="1">
      <alignment vertical="top"/>
    </xf>
    <xf numFmtId="188" fontId="2" fillId="0" borderId="0" xfId="1" applyNumberFormat="1" applyFont="1" applyAlignment="1">
      <alignment horizontal="right" vertical="top"/>
    </xf>
    <xf numFmtId="0" fontId="24" fillId="0" borderId="13" xfId="0" applyFont="1" applyBorder="1" applyAlignment="1">
      <alignment vertical="center" wrapText="1"/>
    </xf>
    <xf numFmtId="0" fontId="24" fillId="0" borderId="14" xfId="0" applyFont="1" applyBorder="1" applyAlignment="1">
      <alignment vertical="center"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 fillId="9" borderId="1" xfId="2" applyFill="1" applyBorder="1" applyAlignment="1">
      <alignment horizontal="right" vertical="top"/>
    </xf>
    <xf numFmtId="188" fontId="12" fillId="9" borderId="1" xfId="1" applyNumberFormat="1" applyFont="1" applyFill="1" applyBorder="1" applyAlignment="1">
      <alignment horizontal="right" vertical="top"/>
    </xf>
    <xf numFmtId="0" fontId="22" fillId="0" borderId="0" xfId="0" applyFont="1" applyAlignment="1">
      <alignment horizontal="center" vertical="center"/>
    </xf>
    <xf numFmtId="0" fontId="26" fillId="0" borderId="0" xfId="0" applyFont="1" applyAlignment="1">
      <alignment horizontal="right" vertical="center"/>
    </xf>
    <xf numFmtId="0" fontId="22" fillId="0" borderId="0" xfId="0" applyFont="1" applyAlignment="1">
      <alignment horizontal="right" vertical="center"/>
    </xf>
    <xf numFmtId="43" fontId="22" fillId="0" borderId="0" xfId="1" applyFont="1" applyAlignment="1">
      <alignment horizontal="center" vertical="center"/>
    </xf>
    <xf numFmtId="43" fontId="27" fillId="0" borderId="0" xfId="1" applyFont="1" applyAlignment="1">
      <alignment horizontal="right" vertical="center"/>
    </xf>
    <xf numFmtId="188" fontId="27" fillId="0" borderId="0" xfId="1" applyNumberFormat="1" applyFont="1" applyAlignment="1">
      <alignment horizontal="center" vertical="center"/>
    </xf>
    <xf numFmtId="43" fontId="12" fillId="0" borderId="0" xfId="1" applyFont="1" applyAlignment="1">
      <alignment horizontal="right" vertical="center"/>
    </xf>
    <xf numFmtId="0" fontId="26" fillId="0" borderId="0" xfId="0" applyFont="1" applyAlignment="1">
      <alignment horizontal="center" vertical="center"/>
    </xf>
    <xf numFmtId="0" fontId="26" fillId="11" borderId="1" xfId="0" applyFont="1" applyFill="1" applyBorder="1" applyAlignment="1">
      <alignment horizontal="center" vertical="center"/>
    </xf>
    <xf numFmtId="0" fontId="29" fillId="20" borderId="1" xfId="5" applyFont="1" applyBorder="1" applyAlignment="1">
      <alignment horizontal="center" vertical="center" wrapText="1"/>
    </xf>
    <xf numFmtId="0" fontId="26" fillId="4" borderId="2" xfId="0" applyFont="1" applyFill="1" applyBorder="1" applyAlignment="1">
      <alignment vertical="center"/>
    </xf>
    <xf numFmtId="0" fontId="26" fillId="4" borderId="3" xfId="0" applyFont="1" applyFill="1" applyBorder="1" applyAlignment="1">
      <alignment vertical="center"/>
    </xf>
    <xf numFmtId="0" fontId="26" fillId="4" borderId="4" xfId="0" applyFont="1" applyFill="1" applyBorder="1" applyAlignment="1">
      <alignment vertical="center"/>
    </xf>
    <xf numFmtId="0" fontId="26" fillId="21" borderId="4" xfId="0" applyFont="1" applyFill="1" applyBorder="1" applyAlignment="1">
      <alignment vertical="center"/>
    </xf>
    <xf numFmtId="0" fontId="22" fillId="22" borderId="1" xfId="0" applyFont="1" applyFill="1" applyBorder="1" applyAlignment="1">
      <alignment horizontal="center" vertical="center"/>
    </xf>
    <xf numFmtId="0" fontId="12" fillId="22" borderId="1" xfId="0" quotePrefix="1" applyFont="1" applyFill="1" applyBorder="1" applyAlignment="1">
      <alignment horizontal="left" vertical="center" wrapText="1"/>
    </xf>
    <xf numFmtId="191" fontId="26" fillId="22" borderId="1" xfId="0" applyNumberFormat="1" applyFont="1" applyFill="1" applyBorder="1" applyAlignment="1">
      <alignment horizontal="center" vertical="center"/>
    </xf>
    <xf numFmtId="191" fontId="26" fillId="21" borderId="1" xfId="0" applyNumberFormat="1" applyFont="1" applyFill="1" applyBorder="1" applyAlignment="1">
      <alignment horizontal="center" vertical="center"/>
    </xf>
    <xf numFmtId="0" fontId="30" fillId="0" borderId="1" xfId="0" quotePrefix="1" applyFont="1" applyBorder="1" applyAlignment="1">
      <alignment vertical="center"/>
    </xf>
    <xf numFmtId="0" fontId="30" fillId="21" borderId="1" xfId="0" quotePrefix="1" applyFont="1" applyFill="1" applyBorder="1" applyAlignment="1">
      <alignment vertical="center"/>
    </xf>
    <xf numFmtId="0" fontId="22" fillId="0" borderId="1" xfId="0" quotePrefix="1" applyFont="1" applyBorder="1" applyAlignment="1">
      <alignment horizontal="left" vertical="center" wrapText="1"/>
    </xf>
    <xf numFmtId="0" fontId="31" fillId="0" borderId="1" xfId="0" quotePrefix="1" applyFont="1" applyBorder="1" applyAlignment="1">
      <alignment vertical="center" wrapText="1"/>
    </xf>
    <xf numFmtId="0" fontId="30" fillId="0" borderId="1" xfId="0" quotePrefix="1" applyFont="1" applyBorder="1" applyAlignment="1">
      <alignment vertical="center" wrapText="1"/>
    </xf>
    <xf numFmtId="0" fontId="30" fillId="21" borderId="1" xfId="0" quotePrefix="1" applyFont="1" applyFill="1" applyBorder="1" applyAlignment="1">
      <alignment vertical="center" wrapText="1"/>
    </xf>
    <xf numFmtId="0" fontId="32" fillId="0" borderId="1" xfId="0" quotePrefix="1" applyFont="1" applyBorder="1" applyAlignment="1">
      <alignment horizontal="left" vertical="center" wrapText="1"/>
    </xf>
    <xf numFmtId="0" fontId="26" fillId="0" borderId="1" xfId="0" applyFont="1" applyBorder="1" applyAlignment="1">
      <alignment horizontal="center" vertical="center"/>
    </xf>
    <xf numFmtId="0" fontId="30" fillId="0" borderId="2" xfId="0" quotePrefix="1" applyFont="1" applyBorder="1" applyAlignment="1">
      <alignment vertical="center"/>
    </xf>
    <xf numFmtId="0" fontId="30" fillId="0" borderId="4" xfId="0" quotePrefix="1" applyFont="1" applyBorder="1" applyAlignment="1">
      <alignment vertical="center"/>
    </xf>
    <xf numFmtId="0" fontId="30" fillId="21" borderId="4" xfId="0" quotePrefix="1" applyFont="1" applyFill="1" applyBorder="1" applyAlignment="1">
      <alignment vertical="center"/>
    </xf>
    <xf numFmtId="0" fontId="22" fillId="0" borderId="1" xfId="0" applyFont="1" applyBorder="1" applyAlignment="1">
      <alignment horizontal="center" vertical="center"/>
    </xf>
    <xf numFmtId="0" fontId="22" fillId="22" borderId="1" xfId="0" quotePrefix="1" applyFont="1" applyFill="1" applyBorder="1" applyAlignment="1">
      <alignment horizontal="left" vertical="center" wrapText="1"/>
    </xf>
    <xf numFmtId="0" fontId="22" fillId="22" borderId="1" xfId="0" applyFont="1" applyFill="1" applyBorder="1" applyAlignment="1">
      <alignment horizontal="left" vertical="center" wrapText="1"/>
    </xf>
    <xf numFmtId="0" fontId="22" fillId="22" borderId="16" xfId="0" quotePrefix="1" applyFont="1" applyFill="1" applyBorder="1" applyAlignment="1">
      <alignment horizontal="left" vertical="center" wrapText="1"/>
    </xf>
    <xf numFmtId="191" fontId="22" fillId="0" borderId="0" xfId="0" applyNumberFormat="1" applyFont="1" applyAlignment="1">
      <alignment horizontal="center" vertical="center"/>
    </xf>
    <xf numFmtId="0" fontId="22" fillId="22" borderId="2" xfId="0" quotePrefix="1" applyFont="1" applyFill="1" applyBorder="1" applyAlignment="1">
      <alignment horizontal="left" vertical="center" wrapText="1"/>
    </xf>
    <xf numFmtId="0" fontId="30" fillId="0" borderId="4" xfId="0" quotePrefix="1" applyFont="1" applyBorder="1" applyAlignment="1">
      <alignment vertical="center" wrapText="1"/>
    </xf>
    <xf numFmtId="0" fontId="30" fillId="21" borderId="4" xfId="0" quotePrefix="1" applyFont="1" applyFill="1" applyBorder="1" applyAlignment="1">
      <alignment vertical="center" wrapText="1"/>
    </xf>
    <xf numFmtId="0" fontId="30" fillId="0" borderId="2" xfId="0" quotePrefix="1" applyFont="1" applyBorder="1" applyAlignment="1">
      <alignment vertical="center" wrapText="1"/>
    </xf>
    <xf numFmtId="0" fontId="26" fillId="0" borderId="2" xfId="0" applyFont="1" applyBorder="1" applyAlignment="1">
      <alignment horizontal="center" vertical="center"/>
    </xf>
    <xf numFmtId="191" fontId="26" fillId="12" borderId="1" xfId="0" applyNumberFormat="1" applyFont="1" applyFill="1" applyBorder="1" applyAlignment="1">
      <alignment horizontal="center" vertical="center"/>
    </xf>
    <xf numFmtId="0" fontId="30" fillId="0" borderId="2" xfId="0" quotePrefix="1" applyFont="1" applyBorder="1" applyAlignment="1">
      <alignment horizontal="left" vertical="center" wrapText="1"/>
    </xf>
    <xf numFmtId="0" fontId="30" fillId="0" borderId="2" xfId="0" quotePrefix="1" applyFont="1" applyBorder="1" applyAlignment="1">
      <alignment horizontal="left" vertical="center"/>
    </xf>
    <xf numFmtId="190" fontId="2" fillId="0" borderId="0" xfId="2" applyNumberFormat="1" applyAlignment="1">
      <alignment vertical="top"/>
    </xf>
    <xf numFmtId="190" fontId="12" fillId="0" borderId="0" xfId="2" applyNumberFormat="1" applyFont="1" applyAlignment="1">
      <alignment vertical="top"/>
    </xf>
    <xf numFmtId="188" fontId="32" fillId="10" borderId="1" xfId="1" applyNumberFormat="1" applyFont="1" applyFill="1" applyBorder="1" applyAlignment="1">
      <alignment horizontal="right" vertical="top"/>
    </xf>
    <xf numFmtId="191" fontId="31" fillId="21" borderId="1" xfId="0" applyNumberFormat="1" applyFont="1" applyFill="1" applyBorder="1" applyAlignment="1">
      <alignment horizontal="center" vertical="center"/>
    </xf>
    <xf numFmtId="0" fontId="31" fillId="21" borderId="4" xfId="0" quotePrefix="1" applyFont="1" applyFill="1" applyBorder="1" applyAlignment="1">
      <alignment vertical="center"/>
    </xf>
    <xf numFmtId="192" fontId="3" fillId="0" borderId="15" xfId="2" applyNumberFormat="1" applyFont="1" applyBorder="1" applyAlignment="1">
      <alignment horizontal="left" vertical="top"/>
    </xf>
    <xf numFmtId="188" fontId="2" fillId="0" borderId="0" xfId="2" applyNumberFormat="1" applyAlignment="1">
      <alignment vertical="top" wrapText="1"/>
    </xf>
    <xf numFmtId="0" fontId="7" fillId="0" borderId="1" xfId="6" applyBorder="1" applyAlignment="1">
      <alignment horizontal="center" vertical="center"/>
    </xf>
    <xf numFmtId="0" fontId="7" fillId="0" borderId="0" xfId="6"/>
    <xf numFmtId="0" fontId="33" fillId="0" borderId="1" xfId="6" applyFont="1" applyBorder="1" applyAlignment="1">
      <alignment horizontal="center" vertical="center"/>
    </xf>
    <xf numFmtId="0" fontId="34" fillId="0" borderId="1" xfId="6" applyFont="1" applyBorder="1" applyAlignment="1">
      <alignment horizontal="left" vertical="center" wrapText="1"/>
    </xf>
    <xf numFmtId="0" fontId="7" fillId="23" borderId="1" xfId="6" applyFill="1" applyBorder="1"/>
    <xf numFmtId="0" fontId="7" fillId="0" borderId="1" xfId="6" applyBorder="1"/>
    <xf numFmtId="0" fontId="2" fillId="0" borderId="0" xfId="2" applyAlignment="1">
      <alignment horizontal="right" vertical="top"/>
    </xf>
    <xf numFmtId="193" fontId="2" fillId="0" borderId="0" xfId="2" applyNumberFormat="1" applyAlignment="1">
      <alignment vertical="top"/>
    </xf>
    <xf numFmtId="193" fontId="2" fillId="0" borderId="0" xfId="2" applyNumberFormat="1" applyAlignment="1">
      <alignment horizontal="left" vertical="top"/>
    </xf>
    <xf numFmtId="187" fontId="3" fillId="4" borderId="2" xfId="2" applyNumberFormat="1" applyFont="1" applyFill="1" applyBorder="1" applyAlignment="1">
      <alignment horizontal="center" vertical="top" wrapText="1"/>
    </xf>
    <xf numFmtId="187" fontId="3" fillId="4" borderId="3" xfId="2" applyNumberFormat="1" applyFont="1" applyFill="1" applyBorder="1" applyAlignment="1">
      <alignment horizontal="center" vertical="top" wrapText="1"/>
    </xf>
    <xf numFmtId="187" fontId="3" fillId="4" borderId="4" xfId="2" applyNumberFormat="1" applyFont="1" applyFill="1" applyBorder="1" applyAlignment="1">
      <alignment horizontal="center" vertical="top" wrapText="1"/>
    </xf>
    <xf numFmtId="0" fontId="3" fillId="11" borderId="1" xfId="2" applyFont="1" applyFill="1" applyBorder="1" applyAlignment="1">
      <alignment horizontal="center" vertical="top" wrapText="1"/>
    </xf>
    <xf numFmtId="187" fontId="3" fillId="2" borderId="1" xfId="2" applyNumberFormat="1" applyFont="1" applyFill="1" applyBorder="1" applyAlignment="1">
      <alignment horizontal="center" vertical="top" wrapText="1"/>
    </xf>
    <xf numFmtId="0" fontId="6" fillId="4" borderId="1" xfId="2" applyFont="1" applyFill="1" applyBorder="1" applyAlignment="1">
      <alignment horizontal="center" vertical="top" wrapText="1"/>
    </xf>
    <xf numFmtId="0" fontId="6" fillId="4" borderId="1" xfId="2" applyFont="1" applyFill="1" applyBorder="1" applyAlignment="1">
      <alignment horizontal="center" vertical="top"/>
    </xf>
    <xf numFmtId="0" fontId="7" fillId="0" borderId="1" xfId="6" applyBorder="1" applyAlignment="1">
      <alignment horizontal="center" vertical="center"/>
    </xf>
    <xf numFmtId="0" fontId="7" fillId="0" borderId="1" xfId="6" applyBorder="1" applyAlignment="1">
      <alignment horizontal="center" vertical="center" wrapText="1"/>
    </xf>
  </cellXfs>
  <cellStyles count="7">
    <cellStyle name="Comma" xfId="1" builtinId="3"/>
    <cellStyle name="Good 2" xfId="5" xr:uid="{43309977-C546-43E5-9830-A2CDB5981E7B}"/>
    <cellStyle name="Normal" xfId="0" builtinId="0"/>
    <cellStyle name="Normal 2" xfId="3" xr:uid="{EDF58A20-14AD-4490-9717-36612A7EDE96}"/>
    <cellStyle name="Normal 2 2" xfId="4" xr:uid="{C2D6195D-EDD0-4F71-BF3F-86995EB11215}"/>
    <cellStyle name="Normal 3" xfId="2" xr:uid="{1CF40E83-5A13-4DF2-A533-6F30C019BF7E}"/>
    <cellStyle name="Normal 5 3" xfId="6" xr:uid="{27930C54-B820-4186-8B7D-71FC3D7E39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irawan.s\Downloads\TPE.SES-Q.014%20S4_Digital_Resource_and_Cost_Template%20(5).xlsx" TargetMode="External"/><Relationship Id="rId1" Type="http://schemas.openxmlformats.org/officeDocument/2006/relationships/externalLinkPath" Target="file:///C:\Users\jirawan.s\Downloads\TPE.SES-Q.014%20S4_Digital_Resource_and_Cost_Template%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for Other service"/>
      <sheetName val="Template for FTE"/>
      <sheetName val="999_MSRP"/>
      <sheetName val="999_Loaded Rate 2016-Q1"/>
    </sheetNames>
    <sheetDataSet>
      <sheetData sheetId="0" refreshError="1"/>
      <sheetData sheetId="1" refreshError="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F1697-2916-450D-8FF4-9ECA44A65B4F}">
  <sheetPr>
    <tabColor rgb="FF92D050"/>
  </sheetPr>
  <dimension ref="A1:AG132"/>
  <sheetViews>
    <sheetView tabSelected="1" zoomScale="70" zoomScaleNormal="70" workbookViewId="0">
      <pane xSplit="8" ySplit="3" topLeftCell="R100" activePane="bottomRight" state="frozen"/>
      <selection pane="topRight" activeCell="I1" sqref="I1"/>
      <selection pane="bottomLeft" activeCell="A4" sqref="A4"/>
      <selection pane="bottomRight" activeCell="D139" sqref="D139"/>
    </sheetView>
  </sheetViews>
  <sheetFormatPr defaultColWidth="9" defaultRowHeight="14.25" customHeight="1" x14ac:dyDescent="0.2"/>
  <cols>
    <col min="1" max="1" width="4.25" style="78" customWidth="1"/>
    <col min="2" max="2" width="8.375" style="46" customWidth="1"/>
    <col min="3" max="3" width="43.75" style="46" customWidth="1"/>
    <col min="4" max="4" width="10.75" style="46" customWidth="1"/>
    <col min="5" max="5" width="15.875" style="46" customWidth="1"/>
    <col min="6" max="6" width="18.25" style="79" customWidth="1"/>
    <col min="7" max="7" width="14" style="78" customWidth="1"/>
    <col min="8" max="8" width="7.375" style="46" customWidth="1"/>
    <col min="9" max="28" width="13.125" style="46" customWidth="1"/>
    <col min="29" max="29" width="20.125" style="46" customWidth="1"/>
    <col min="30" max="30" width="15.625" style="46" customWidth="1"/>
    <col min="31" max="31" width="18.875" style="99" customWidth="1"/>
    <col min="32" max="32" width="12.25" style="99" customWidth="1"/>
    <col min="33" max="33" width="19.5" style="45" customWidth="1"/>
    <col min="34" max="16384" width="9" style="46"/>
  </cols>
  <sheetData>
    <row r="1" spans="1:33" s="7" customFormat="1" ht="69" customHeight="1" x14ac:dyDescent="0.2">
      <c r="A1" s="175" t="s">
        <v>0</v>
      </c>
      <c r="B1" s="1" t="s">
        <v>1</v>
      </c>
      <c r="C1" s="2"/>
      <c r="D1" s="2"/>
      <c r="E1" s="3"/>
      <c r="F1" s="4"/>
      <c r="G1" s="176" t="s">
        <v>2</v>
      </c>
      <c r="H1" s="177" t="s">
        <v>3</v>
      </c>
      <c r="I1" s="171" t="s">
        <v>4</v>
      </c>
      <c r="J1" s="172"/>
      <c r="K1" s="172"/>
      <c r="L1" s="172"/>
      <c r="M1" s="172"/>
      <c r="N1" s="172"/>
      <c r="O1" s="172"/>
      <c r="P1" s="172"/>
      <c r="Q1" s="172"/>
      <c r="R1" s="172"/>
      <c r="S1" s="172"/>
      <c r="T1" s="172"/>
      <c r="U1" s="172"/>
      <c r="V1" s="172"/>
      <c r="W1" s="172"/>
      <c r="X1" s="172"/>
      <c r="Y1" s="172"/>
      <c r="Z1" s="172"/>
      <c r="AA1" s="172"/>
      <c r="AB1" s="172"/>
      <c r="AC1" s="172"/>
      <c r="AD1" s="173"/>
      <c r="AE1" s="5"/>
      <c r="AF1" s="5"/>
      <c r="AG1" s="6"/>
    </row>
    <row r="2" spans="1:33" s="7" customFormat="1" ht="57" customHeight="1" x14ac:dyDescent="0.2">
      <c r="A2" s="175"/>
      <c r="B2" s="8"/>
      <c r="C2" s="2"/>
      <c r="D2" s="2"/>
      <c r="E2" s="3"/>
      <c r="F2" s="4"/>
      <c r="G2" s="176"/>
      <c r="H2" s="177"/>
      <c r="I2" s="9" t="s">
        <v>5</v>
      </c>
      <c r="J2" s="10" t="s">
        <v>6</v>
      </c>
      <c r="K2" s="10" t="s">
        <v>7</v>
      </c>
      <c r="L2" s="11" t="s">
        <v>7</v>
      </c>
      <c r="M2" s="10" t="s">
        <v>8</v>
      </c>
      <c r="N2" s="12" t="s">
        <v>9</v>
      </c>
      <c r="O2" s="12" t="s">
        <v>10</v>
      </c>
      <c r="P2" s="13" t="s">
        <v>11</v>
      </c>
      <c r="Q2" s="13" t="s">
        <v>12</v>
      </c>
      <c r="R2" s="12" t="s">
        <v>13</v>
      </c>
      <c r="S2" s="12" t="s">
        <v>14</v>
      </c>
      <c r="T2" s="12" t="s">
        <v>15</v>
      </c>
      <c r="U2" s="12" t="s">
        <v>16</v>
      </c>
      <c r="V2" s="12" t="s">
        <v>17</v>
      </c>
      <c r="W2" s="12" t="s">
        <v>18</v>
      </c>
      <c r="X2" s="12" t="s">
        <v>19</v>
      </c>
      <c r="Y2" s="12" t="s">
        <v>20</v>
      </c>
      <c r="Z2" s="12" t="s">
        <v>21</v>
      </c>
      <c r="AA2" s="12" t="s">
        <v>22</v>
      </c>
      <c r="AB2" s="12" t="s">
        <v>23</v>
      </c>
      <c r="AC2" s="12" t="s">
        <v>24</v>
      </c>
      <c r="AD2" s="14" t="s">
        <v>25</v>
      </c>
      <c r="AE2" s="15" t="s">
        <v>26</v>
      </c>
      <c r="AF2" s="15" t="s">
        <v>27</v>
      </c>
      <c r="AG2" s="6" t="s">
        <v>28</v>
      </c>
    </row>
    <row r="3" spans="1:33" s="27" customFormat="1" x14ac:dyDescent="0.2">
      <c r="A3" s="175"/>
      <c r="B3" s="16" t="s">
        <v>29</v>
      </c>
      <c r="C3" s="16"/>
      <c r="D3" s="16"/>
      <c r="E3" s="17" t="s">
        <v>30</v>
      </c>
      <c r="F3" s="18"/>
      <c r="G3" s="176"/>
      <c r="H3" s="177"/>
      <c r="I3" s="19"/>
      <c r="J3" s="20" t="s">
        <v>31</v>
      </c>
      <c r="K3" s="19" t="s">
        <v>32</v>
      </c>
      <c r="L3" s="21" t="s">
        <v>33</v>
      </c>
      <c r="M3" s="19"/>
      <c r="N3" s="19"/>
      <c r="O3" s="19"/>
      <c r="P3" s="19"/>
      <c r="Q3" s="19" t="s">
        <v>34</v>
      </c>
      <c r="R3" s="19" t="s">
        <v>35</v>
      </c>
      <c r="S3" s="19"/>
      <c r="T3" s="19"/>
      <c r="U3" s="22" t="s">
        <v>36</v>
      </c>
      <c r="V3" s="23"/>
      <c r="W3" s="23"/>
      <c r="X3" s="23"/>
      <c r="Y3" s="23"/>
      <c r="Z3" s="19"/>
      <c r="AA3" s="19"/>
      <c r="AB3" s="19"/>
      <c r="AC3" s="19"/>
      <c r="AD3" s="24"/>
      <c r="AE3" s="25"/>
      <c r="AF3" s="25"/>
      <c r="AG3" s="26"/>
    </row>
    <row r="4" spans="1:33" s="27" customFormat="1" ht="159.75" customHeight="1" x14ac:dyDescent="0.2">
      <c r="A4" s="28" t="s">
        <v>37</v>
      </c>
      <c r="B4" s="29"/>
      <c r="C4" s="29" t="s">
        <v>38</v>
      </c>
      <c r="D4" s="29"/>
      <c r="E4" s="30" t="s">
        <v>39</v>
      </c>
      <c r="F4" s="31"/>
      <c r="G4" s="32"/>
      <c r="H4" s="33"/>
      <c r="I4" s="34"/>
      <c r="J4" s="35">
        <f>9+5</f>
        <v>14</v>
      </c>
      <c r="K4" s="35">
        <v>2</v>
      </c>
      <c r="L4" s="35">
        <v>2</v>
      </c>
      <c r="M4" s="35"/>
      <c r="N4" s="35"/>
      <c r="O4" s="34"/>
      <c r="P4" s="35"/>
      <c r="Q4" s="35"/>
      <c r="R4" s="34"/>
      <c r="S4" s="34"/>
      <c r="T4" s="35">
        <v>3</v>
      </c>
      <c r="U4" s="35"/>
      <c r="V4" s="35"/>
      <c r="W4" s="35"/>
      <c r="X4" s="34"/>
      <c r="Y4" s="34"/>
      <c r="Z4" s="34"/>
      <c r="AA4" s="34"/>
      <c r="AB4" s="36"/>
      <c r="AC4" s="36"/>
      <c r="AD4" s="24">
        <f t="shared" ref="AD4:AD20" si="0">SUM(I4:AC4)</f>
        <v>21</v>
      </c>
      <c r="AE4" s="25"/>
      <c r="AF4" s="25"/>
      <c r="AG4" s="26"/>
    </row>
    <row r="5" spans="1:33" s="27" customFormat="1" ht="185.25" x14ac:dyDescent="0.2">
      <c r="A5" s="28" t="s">
        <v>40</v>
      </c>
      <c r="B5" s="29"/>
      <c r="C5" s="29" t="s">
        <v>41</v>
      </c>
      <c r="D5" s="29"/>
      <c r="E5" s="30" t="s">
        <v>42</v>
      </c>
      <c r="F5" s="31"/>
      <c r="G5" s="32"/>
      <c r="H5" s="33"/>
      <c r="I5" s="34"/>
      <c r="J5" s="34"/>
      <c r="K5" s="34"/>
      <c r="L5" s="34"/>
      <c r="M5" s="34"/>
      <c r="N5" s="34"/>
      <c r="O5" s="34"/>
      <c r="P5" s="34"/>
      <c r="Q5" s="34"/>
      <c r="R5" s="34"/>
      <c r="S5" s="34"/>
      <c r="T5" s="34"/>
      <c r="U5" s="34"/>
      <c r="V5" s="34"/>
      <c r="W5" s="34"/>
      <c r="X5" s="34"/>
      <c r="Y5" s="34"/>
      <c r="Z5" s="34"/>
      <c r="AA5" s="34"/>
      <c r="AB5" s="36"/>
      <c r="AC5" s="36"/>
      <c r="AD5" s="24">
        <f t="shared" si="0"/>
        <v>0</v>
      </c>
      <c r="AE5" s="25"/>
      <c r="AF5" s="25"/>
      <c r="AG5" s="26"/>
    </row>
    <row r="6" spans="1:33" s="27" customFormat="1" ht="15" customHeight="1" x14ac:dyDescent="0.2">
      <c r="A6" s="174" t="s">
        <v>43</v>
      </c>
      <c r="B6" s="16" t="s">
        <v>44</v>
      </c>
      <c r="C6" s="37"/>
      <c r="D6" s="37"/>
      <c r="E6" s="37"/>
      <c r="F6" s="38"/>
      <c r="G6" s="39"/>
      <c r="H6" s="40"/>
      <c r="I6" s="41"/>
      <c r="J6" s="41"/>
      <c r="K6" s="41"/>
      <c r="L6" s="41"/>
      <c r="M6" s="41"/>
      <c r="N6" s="41"/>
      <c r="O6" s="41"/>
      <c r="P6" s="41"/>
      <c r="Q6" s="41"/>
      <c r="R6" s="41"/>
      <c r="S6" s="41"/>
      <c r="T6" s="41"/>
      <c r="U6" s="41"/>
      <c r="V6" s="41"/>
      <c r="W6" s="41"/>
      <c r="X6" s="41"/>
      <c r="Y6" s="41"/>
      <c r="Z6" s="41"/>
      <c r="AA6" s="41"/>
      <c r="AB6" s="41"/>
      <c r="AC6" s="41"/>
      <c r="AD6" s="42">
        <f t="shared" si="0"/>
        <v>0</v>
      </c>
      <c r="AE6" s="43"/>
      <c r="AF6" s="43"/>
      <c r="AG6" s="26"/>
    </row>
    <row r="7" spans="1:33" x14ac:dyDescent="0.2">
      <c r="A7" s="174"/>
      <c r="B7" s="29"/>
      <c r="C7" s="29" t="s">
        <v>45</v>
      </c>
      <c r="D7" s="29"/>
      <c r="E7" s="29" t="s">
        <v>46</v>
      </c>
      <c r="F7" s="44"/>
      <c r="G7" s="30"/>
      <c r="H7" s="29"/>
      <c r="I7" s="35"/>
      <c r="J7" s="35">
        <v>1</v>
      </c>
      <c r="K7" s="35"/>
      <c r="L7" s="35">
        <v>0.25</v>
      </c>
      <c r="M7" s="35"/>
      <c r="N7" s="35"/>
      <c r="O7" s="35"/>
      <c r="P7" s="35"/>
      <c r="Q7" s="35"/>
      <c r="R7" s="35"/>
      <c r="S7" s="35"/>
      <c r="T7" s="35"/>
      <c r="U7" s="35"/>
      <c r="V7" s="35"/>
      <c r="W7" s="35"/>
      <c r="X7" s="35"/>
      <c r="Y7" s="35"/>
      <c r="Z7" s="35"/>
      <c r="AA7" s="35"/>
      <c r="AB7" s="35"/>
      <c r="AC7" s="35"/>
      <c r="AD7" s="42">
        <f t="shared" si="0"/>
        <v>1.25</v>
      </c>
      <c r="AE7" s="43"/>
      <c r="AF7" s="43"/>
    </row>
    <row r="8" spans="1:33" ht="28.5" customHeight="1" x14ac:dyDescent="0.2">
      <c r="A8" s="174"/>
      <c r="B8" s="29"/>
      <c r="C8" s="47" t="s">
        <v>47</v>
      </c>
      <c r="D8" s="47"/>
      <c r="E8" s="48" t="s">
        <v>48</v>
      </c>
      <c r="F8" s="49"/>
      <c r="G8" s="30"/>
      <c r="H8" s="29"/>
      <c r="I8" s="35"/>
      <c r="J8" s="35">
        <v>0.5</v>
      </c>
      <c r="K8" s="35">
        <v>0.5</v>
      </c>
      <c r="L8" s="35">
        <v>0.5</v>
      </c>
      <c r="M8" s="35"/>
      <c r="N8" s="35"/>
      <c r="O8" s="35"/>
      <c r="P8" s="35"/>
      <c r="Q8" s="35"/>
      <c r="R8" s="35"/>
      <c r="S8" s="35"/>
      <c r="T8" s="35"/>
      <c r="U8" s="35"/>
      <c r="V8" s="35"/>
      <c r="W8" s="35"/>
      <c r="X8" s="35"/>
      <c r="Y8" s="35"/>
      <c r="Z8" s="35"/>
      <c r="AA8" s="35"/>
      <c r="AB8" s="35"/>
      <c r="AC8" s="35"/>
      <c r="AD8" s="42">
        <f t="shared" si="0"/>
        <v>1.5</v>
      </c>
      <c r="AE8" s="43"/>
      <c r="AF8" s="43"/>
    </row>
    <row r="9" spans="1:33" x14ac:dyDescent="0.2">
      <c r="A9" s="174"/>
      <c r="B9" s="29"/>
      <c r="C9" s="47" t="s">
        <v>49</v>
      </c>
      <c r="D9" s="47"/>
      <c r="E9" s="47" t="s">
        <v>50</v>
      </c>
      <c r="F9" s="50"/>
      <c r="G9" s="30"/>
      <c r="H9" s="29"/>
      <c r="I9" s="35"/>
      <c r="J9" s="35"/>
      <c r="K9" s="35"/>
      <c r="L9" s="35"/>
      <c r="M9" s="35"/>
      <c r="N9" s="35"/>
      <c r="O9" s="35"/>
      <c r="P9" s="35"/>
      <c r="Q9" s="35"/>
      <c r="R9" s="35"/>
      <c r="S9" s="35"/>
      <c r="T9" s="35"/>
      <c r="U9" s="35"/>
      <c r="V9" s="35"/>
      <c r="W9" s="35"/>
      <c r="X9" s="35"/>
      <c r="Y9" s="35"/>
      <c r="Z9" s="35"/>
      <c r="AA9" s="35"/>
      <c r="AB9" s="35"/>
      <c r="AC9" s="35"/>
      <c r="AD9" s="42">
        <f t="shared" si="0"/>
        <v>0</v>
      </c>
      <c r="AE9" s="43"/>
      <c r="AF9" s="43"/>
    </row>
    <row r="10" spans="1:33" x14ac:dyDescent="0.2">
      <c r="A10" s="174"/>
      <c r="B10" s="29"/>
      <c r="C10" s="47" t="s">
        <v>51</v>
      </c>
      <c r="D10" s="47"/>
      <c r="E10" s="47" t="s">
        <v>51</v>
      </c>
      <c r="F10" s="50"/>
      <c r="G10" s="30"/>
      <c r="H10" s="29"/>
      <c r="I10" s="35"/>
      <c r="J10" s="35"/>
      <c r="K10" s="35"/>
      <c r="L10" s="35"/>
      <c r="M10" s="35"/>
      <c r="N10" s="35"/>
      <c r="O10" s="35"/>
      <c r="P10" s="35"/>
      <c r="Q10" s="35"/>
      <c r="R10" s="35"/>
      <c r="S10" s="35"/>
      <c r="T10" s="35"/>
      <c r="U10" s="35"/>
      <c r="V10" s="35"/>
      <c r="W10" s="35"/>
      <c r="X10" s="35"/>
      <c r="Y10" s="35"/>
      <c r="Z10" s="35"/>
      <c r="AA10" s="35"/>
      <c r="AB10" s="35"/>
      <c r="AC10" s="35"/>
      <c r="AD10" s="42">
        <f t="shared" si="0"/>
        <v>0</v>
      </c>
      <c r="AE10" s="43"/>
      <c r="AF10" s="43"/>
    </row>
    <row r="11" spans="1:33" x14ac:dyDescent="0.2">
      <c r="A11" s="174"/>
      <c r="B11" s="16" t="s">
        <v>52</v>
      </c>
      <c r="C11" s="51"/>
      <c r="D11" s="51"/>
      <c r="E11" s="51"/>
      <c r="F11" s="52"/>
      <c r="G11" s="53"/>
      <c r="H11" s="54"/>
      <c r="I11" s="55"/>
      <c r="J11" s="55"/>
      <c r="K11" s="55"/>
      <c r="L11" s="55"/>
      <c r="M11" s="55"/>
      <c r="N11" s="55"/>
      <c r="O11" s="55"/>
      <c r="P11" s="55"/>
      <c r="Q11" s="55"/>
      <c r="R11" s="55"/>
      <c r="S11" s="55"/>
      <c r="T11" s="55"/>
      <c r="U11" s="55"/>
      <c r="V11" s="55"/>
      <c r="W11" s="55"/>
      <c r="X11" s="55"/>
      <c r="Y11" s="55"/>
      <c r="Z11" s="55"/>
      <c r="AA11" s="55"/>
      <c r="AB11" s="55"/>
      <c r="AC11" s="55"/>
      <c r="AD11" s="42">
        <f t="shared" si="0"/>
        <v>0</v>
      </c>
      <c r="AE11" s="43"/>
      <c r="AF11" s="43"/>
    </row>
    <row r="12" spans="1:33" ht="28.5" x14ac:dyDescent="0.2">
      <c r="A12" s="174"/>
      <c r="B12" s="29"/>
      <c r="C12" s="47" t="s">
        <v>53</v>
      </c>
      <c r="D12" s="47"/>
      <c r="E12" s="48" t="s">
        <v>54</v>
      </c>
      <c r="F12" s="49"/>
      <c r="G12" s="30"/>
      <c r="H12" s="29"/>
      <c r="I12" s="35"/>
      <c r="J12" s="35">
        <v>1</v>
      </c>
      <c r="K12" s="35"/>
      <c r="L12" s="35"/>
      <c r="M12" s="35"/>
      <c r="N12" s="35"/>
      <c r="O12" s="35"/>
      <c r="P12" s="35"/>
      <c r="Q12" s="35"/>
      <c r="R12" s="35"/>
      <c r="S12" s="35"/>
      <c r="T12" s="35"/>
      <c r="U12" s="35"/>
      <c r="V12" s="35"/>
      <c r="W12" s="35"/>
      <c r="X12" s="35"/>
      <c r="Y12" s="35"/>
      <c r="Z12" s="35"/>
      <c r="AA12" s="35"/>
      <c r="AB12" s="35"/>
      <c r="AC12" s="35"/>
      <c r="AD12" s="42">
        <f t="shared" si="0"/>
        <v>1</v>
      </c>
      <c r="AE12" s="43"/>
      <c r="AF12" s="43"/>
    </row>
    <row r="13" spans="1:33" x14ac:dyDescent="0.2">
      <c r="A13" s="174"/>
      <c r="B13" s="29"/>
      <c r="C13" s="47" t="s">
        <v>55</v>
      </c>
      <c r="D13" s="47"/>
      <c r="E13" s="47" t="s">
        <v>55</v>
      </c>
      <c r="F13" s="50"/>
      <c r="G13" s="30"/>
      <c r="H13" s="29"/>
      <c r="I13" s="35"/>
      <c r="J13" s="35"/>
      <c r="K13" s="35"/>
      <c r="L13" s="35"/>
      <c r="M13" s="35"/>
      <c r="N13" s="35"/>
      <c r="O13" s="35"/>
      <c r="P13" s="35"/>
      <c r="Q13" s="35"/>
      <c r="R13" s="35"/>
      <c r="S13" s="35"/>
      <c r="T13" s="35"/>
      <c r="U13" s="35"/>
      <c r="V13" s="35"/>
      <c r="W13" s="35"/>
      <c r="X13" s="35"/>
      <c r="Y13" s="35"/>
      <c r="Z13" s="35"/>
      <c r="AA13" s="35"/>
      <c r="AB13" s="35"/>
      <c r="AC13" s="35"/>
      <c r="AD13" s="42">
        <f t="shared" si="0"/>
        <v>0</v>
      </c>
      <c r="AE13" s="43"/>
      <c r="AF13" s="43"/>
    </row>
    <row r="14" spans="1:33" x14ac:dyDescent="0.2">
      <c r="A14" s="174"/>
      <c r="B14" s="16" t="s">
        <v>56</v>
      </c>
      <c r="C14" s="51"/>
      <c r="D14" s="51"/>
      <c r="E14" s="51"/>
      <c r="F14" s="52"/>
      <c r="G14" s="53"/>
      <c r="H14" s="54"/>
      <c r="I14" s="55"/>
      <c r="J14" s="55"/>
      <c r="K14" s="55"/>
      <c r="L14" s="55"/>
      <c r="M14" s="55"/>
      <c r="N14" s="55"/>
      <c r="O14" s="55"/>
      <c r="P14" s="55"/>
      <c r="Q14" s="55"/>
      <c r="R14" s="55"/>
      <c r="S14" s="55"/>
      <c r="T14" s="55"/>
      <c r="U14" s="55"/>
      <c r="V14" s="55"/>
      <c r="W14" s="55"/>
      <c r="X14" s="55"/>
      <c r="Y14" s="55"/>
      <c r="Z14" s="55"/>
      <c r="AA14" s="55"/>
      <c r="AB14" s="55"/>
      <c r="AC14" s="55"/>
      <c r="AD14" s="42">
        <f t="shared" si="0"/>
        <v>0</v>
      </c>
      <c r="AE14" s="43"/>
      <c r="AF14" s="43"/>
    </row>
    <row r="15" spans="1:33" x14ac:dyDescent="0.2">
      <c r="A15" s="174"/>
      <c r="B15" s="29"/>
      <c r="C15" s="47" t="s">
        <v>57</v>
      </c>
      <c r="D15" s="47"/>
      <c r="E15" s="47" t="s">
        <v>58</v>
      </c>
      <c r="F15" s="50"/>
      <c r="G15" s="30"/>
      <c r="H15" s="29"/>
      <c r="I15" s="35"/>
      <c r="J15" s="35"/>
      <c r="K15" s="35"/>
      <c r="L15" s="35"/>
      <c r="M15" s="35"/>
      <c r="N15" s="35"/>
      <c r="O15" s="35"/>
      <c r="P15" s="35"/>
      <c r="Q15" s="35"/>
      <c r="R15" s="35"/>
      <c r="S15" s="35"/>
      <c r="T15" s="35"/>
      <c r="U15" s="35"/>
      <c r="V15" s="35"/>
      <c r="W15" s="35"/>
      <c r="X15" s="35"/>
      <c r="Y15" s="35"/>
      <c r="Z15" s="35"/>
      <c r="AA15" s="35"/>
      <c r="AB15" s="35"/>
      <c r="AC15" s="35"/>
      <c r="AD15" s="42">
        <f t="shared" si="0"/>
        <v>0</v>
      </c>
      <c r="AE15" s="43"/>
      <c r="AF15" s="43"/>
    </row>
    <row r="16" spans="1:33" x14ac:dyDescent="0.2">
      <c r="A16" s="174"/>
      <c r="B16" s="29"/>
      <c r="C16" s="47" t="s">
        <v>59</v>
      </c>
      <c r="D16" s="47"/>
      <c r="E16" s="48" t="s">
        <v>60</v>
      </c>
      <c r="F16" s="49"/>
      <c r="G16" s="30"/>
      <c r="H16" s="29"/>
      <c r="I16" s="35"/>
      <c r="J16" s="35"/>
      <c r="K16" s="35"/>
      <c r="L16" s="35"/>
      <c r="M16" s="35"/>
      <c r="N16" s="35"/>
      <c r="O16" s="35"/>
      <c r="P16" s="35"/>
      <c r="Q16" s="35"/>
      <c r="R16" s="35"/>
      <c r="S16" s="35"/>
      <c r="T16" s="35"/>
      <c r="U16" s="35"/>
      <c r="V16" s="35"/>
      <c r="W16" s="35"/>
      <c r="X16" s="35"/>
      <c r="Y16" s="35"/>
      <c r="Z16" s="35"/>
      <c r="AA16" s="35"/>
      <c r="AB16" s="35"/>
      <c r="AC16" s="35"/>
      <c r="AD16" s="42">
        <f t="shared" si="0"/>
        <v>0</v>
      </c>
      <c r="AE16" s="43"/>
      <c r="AF16" s="43"/>
    </row>
    <row r="17" spans="1:33" ht="28.5" customHeight="1" x14ac:dyDescent="0.2">
      <c r="A17" s="174"/>
      <c r="B17" s="29"/>
      <c r="C17" s="47" t="s">
        <v>61</v>
      </c>
      <c r="D17" s="47"/>
      <c r="E17" s="48" t="s">
        <v>62</v>
      </c>
      <c r="F17" s="49"/>
      <c r="G17" s="30"/>
      <c r="H17" s="29"/>
      <c r="I17" s="35"/>
      <c r="J17" s="35">
        <v>2</v>
      </c>
      <c r="K17" s="35">
        <v>1</v>
      </c>
      <c r="L17" s="35">
        <v>0.25</v>
      </c>
      <c r="M17" s="35"/>
      <c r="N17" s="35"/>
      <c r="O17" s="35"/>
      <c r="P17" s="35"/>
      <c r="Q17" s="35"/>
      <c r="R17" s="35"/>
      <c r="S17" s="35"/>
      <c r="T17" s="35"/>
      <c r="U17" s="35"/>
      <c r="V17" s="35"/>
      <c r="W17" s="35"/>
      <c r="X17" s="35"/>
      <c r="Y17" s="35"/>
      <c r="Z17" s="35"/>
      <c r="AA17" s="35"/>
      <c r="AB17" s="35"/>
      <c r="AC17" s="35"/>
      <c r="AD17" s="42">
        <f t="shared" si="0"/>
        <v>3.25</v>
      </c>
      <c r="AE17" s="43"/>
      <c r="AF17" s="43"/>
    </row>
    <row r="18" spans="1:33" ht="28.5" customHeight="1" x14ac:dyDescent="0.2">
      <c r="A18" s="174"/>
      <c r="B18" s="29"/>
      <c r="C18" s="47" t="s">
        <v>63</v>
      </c>
      <c r="D18" s="47"/>
      <c r="E18" s="48" t="s">
        <v>63</v>
      </c>
      <c r="F18" s="49"/>
      <c r="G18" s="30"/>
      <c r="H18" s="29"/>
      <c r="I18" s="35"/>
      <c r="J18" s="35"/>
      <c r="K18" s="35"/>
      <c r="L18" s="35"/>
      <c r="M18" s="35"/>
      <c r="N18" s="35"/>
      <c r="O18" s="35"/>
      <c r="P18" s="35"/>
      <c r="Q18" s="35"/>
      <c r="R18" s="35"/>
      <c r="S18" s="35"/>
      <c r="T18" s="35"/>
      <c r="U18" s="35"/>
      <c r="V18" s="35"/>
      <c r="W18" s="35"/>
      <c r="X18" s="35"/>
      <c r="Y18" s="35"/>
      <c r="Z18" s="35"/>
      <c r="AA18" s="35"/>
      <c r="AB18" s="35"/>
      <c r="AC18" s="35"/>
      <c r="AD18" s="42">
        <f t="shared" si="0"/>
        <v>0</v>
      </c>
      <c r="AE18" s="43"/>
      <c r="AF18" s="43"/>
    </row>
    <row r="19" spans="1:33" x14ac:dyDescent="0.2">
      <c r="A19" s="174" t="s">
        <v>64</v>
      </c>
      <c r="B19" s="16" t="s">
        <v>65</v>
      </c>
      <c r="C19" s="51"/>
      <c r="D19" s="51"/>
      <c r="E19" s="51"/>
      <c r="F19" s="52"/>
      <c r="G19" s="53"/>
      <c r="H19" s="54"/>
      <c r="I19" s="55"/>
      <c r="J19" s="55"/>
      <c r="K19" s="55"/>
      <c r="L19" s="55"/>
      <c r="M19" s="55"/>
      <c r="N19" s="55"/>
      <c r="O19" s="55"/>
      <c r="P19" s="55"/>
      <c r="Q19" s="55"/>
      <c r="R19" s="55"/>
      <c r="S19" s="55"/>
      <c r="T19" s="55"/>
      <c r="U19" s="55"/>
      <c r="V19" s="55"/>
      <c r="W19" s="55"/>
      <c r="X19" s="55"/>
      <c r="Y19" s="55"/>
      <c r="Z19" s="55"/>
      <c r="AA19" s="55"/>
      <c r="AB19" s="55"/>
      <c r="AC19" s="55"/>
      <c r="AD19" s="42">
        <f t="shared" si="0"/>
        <v>0</v>
      </c>
      <c r="AE19" s="43"/>
      <c r="AF19" s="43"/>
    </row>
    <row r="20" spans="1:33" ht="28.5" customHeight="1" x14ac:dyDescent="0.2">
      <c r="A20" s="174"/>
      <c r="B20" s="29"/>
      <c r="C20" s="47" t="s">
        <v>66</v>
      </c>
      <c r="D20" s="47"/>
      <c r="E20" s="47" t="s">
        <v>67</v>
      </c>
      <c r="F20" s="50"/>
      <c r="G20" s="30"/>
      <c r="H20" s="29"/>
      <c r="I20" s="35"/>
      <c r="J20" s="35">
        <v>1</v>
      </c>
      <c r="K20" s="35">
        <v>0.5</v>
      </c>
      <c r="L20" s="35">
        <v>0.5</v>
      </c>
      <c r="M20" s="35"/>
      <c r="N20" s="35"/>
      <c r="O20" s="35"/>
      <c r="P20" s="35"/>
      <c r="Q20" s="35"/>
      <c r="R20" s="35"/>
      <c r="S20" s="35"/>
      <c r="T20" s="35"/>
      <c r="U20" s="35"/>
      <c r="V20" s="35"/>
      <c r="W20" s="35"/>
      <c r="X20" s="35"/>
      <c r="Y20" s="35"/>
      <c r="Z20" s="35"/>
      <c r="AA20" s="35"/>
      <c r="AB20" s="35"/>
      <c r="AC20" s="35"/>
      <c r="AD20" s="42">
        <f t="shared" si="0"/>
        <v>2</v>
      </c>
      <c r="AE20" s="43"/>
      <c r="AF20" s="43"/>
    </row>
    <row r="21" spans="1:33" ht="28.5" customHeight="1" x14ac:dyDescent="0.2">
      <c r="A21" s="174"/>
      <c r="B21" s="29"/>
      <c r="C21" s="47" t="s">
        <v>68</v>
      </c>
      <c r="D21" s="47"/>
      <c r="E21" s="47"/>
      <c r="F21" s="50"/>
      <c r="G21" s="30"/>
      <c r="H21" s="29"/>
      <c r="I21" s="35"/>
      <c r="J21" s="35"/>
      <c r="K21" s="35"/>
      <c r="L21" s="35"/>
      <c r="M21" s="35"/>
      <c r="N21" s="35"/>
      <c r="O21" s="35"/>
      <c r="P21" s="35"/>
      <c r="Q21" s="35"/>
      <c r="R21" s="35"/>
      <c r="S21" s="35"/>
      <c r="T21" s="35"/>
      <c r="U21" s="35"/>
      <c r="V21" s="35"/>
      <c r="W21" s="35"/>
      <c r="X21" s="35"/>
      <c r="Y21" s="35"/>
      <c r="Z21" s="35"/>
      <c r="AA21" s="35"/>
      <c r="AB21" s="35"/>
      <c r="AC21" s="35"/>
      <c r="AD21" s="42"/>
      <c r="AE21" s="43"/>
      <c r="AF21" s="43"/>
    </row>
    <row r="22" spans="1:33" ht="19.5" customHeight="1" x14ac:dyDescent="0.2">
      <c r="A22" s="174"/>
      <c r="B22" s="29"/>
      <c r="C22" s="48" t="s">
        <v>69</v>
      </c>
      <c r="D22" s="47"/>
      <c r="E22" s="48"/>
      <c r="F22" s="56"/>
      <c r="G22" s="32"/>
      <c r="H22" s="29"/>
      <c r="I22" s="35"/>
      <c r="J22" s="35"/>
      <c r="K22" s="35"/>
      <c r="L22" s="35"/>
      <c r="M22" s="35"/>
      <c r="N22" s="35"/>
      <c r="O22" s="35"/>
      <c r="P22" s="35"/>
      <c r="Q22" s="35"/>
      <c r="R22" s="35"/>
      <c r="S22" s="35"/>
      <c r="T22" s="35"/>
      <c r="U22" s="35">
        <v>1.5</v>
      </c>
      <c r="V22" s="35"/>
      <c r="W22" s="35"/>
      <c r="X22" s="35"/>
      <c r="Y22" s="35">
        <v>1</v>
      </c>
      <c r="Z22" s="35">
        <v>0.5</v>
      </c>
      <c r="AA22" s="35"/>
      <c r="AB22" s="35"/>
      <c r="AC22" s="35"/>
      <c r="AD22" s="42">
        <f t="shared" ref="AD22:AD45" si="1">SUM(I22:AC22)</f>
        <v>3</v>
      </c>
      <c r="AE22" s="43">
        <v>12271.875000000002</v>
      </c>
      <c r="AF22" s="43"/>
      <c r="AG22" s="45" t="s">
        <v>70</v>
      </c>
    </row>
    <row r="23" spans="1:33" ht="15.75" x14ac:dyDescent="0.2">
      <c r="A23" s="28"/>
      <c r="B23" s="57"/>
      <c r="C23" s="58" t="s">
        <v>71</v>
      </c>
      <c r="D23" s="59"/>
      <c r="E23" s="48"/>
      <c r="F23" s="56"/>
      <c r="G23" s="30"/>
      <c r="H23" s="29"/>
      <c r="I23" s="35"/>
      <c r="J23" s="35"/>
      <c r="K23" s="35"/>
      <c r="L23" s="35"/>
      <c r="M23" s="35"/>
      <c r="N23" s="35"/>
      <c r="O23" s="35"/>
      <c r="P23" s="35"/>
      <c r="Q23" s="35"/>
      <c r="R23" s="35"/>
      <c r="S23" s="35"/>
      <c r="T23" s="35"/>
      <c r="U23" s="35"/>
      <c r="V23" s="35"/>
      <c r="W23" s="35"/>
      <c r="X23" s="35"/>
      <c r="Y23" s="35"/>
      <c r="Z23" s="35"/>
      <c r="AA23" s="35"/>
      <c r="AB23" s="35"/>
      <c r="AC23" s="35"/>
      <c r="AD23" s="42">
        <f t="shared" si="1"/>
        <v>0</v>
      </c>
      <c r="AE23" s="43">
        <v>34361.25</v>
      </c>
      <c r="AF23" s="43"/>
      <c r="AG23" s="45" t="s">
        <v>70</v>
      </c>
    </row>
    <row r="24" spans="1:33" ht="15.75" x14ac:dyDescent="0.2">
      <c r="A24" s="28"/>
      <c r="B24" s="57"/>
      <c r="C24" s="58" t="s">
        <v>72</v>
      </c>
      <c r="D24" s="59"/>
      <c r="E24" s="48"/>
      <c r="F24" s="56"/>
      <c r="G24" s="30"/>
      <c r="H24" s="29"/>
      <c r="I24" s="35"/>
      <c r="J24" s="35"/>
      <c r="K24" s="35"/>
      <c r="L24" s="35"/>
      <c r="M24" s="35"/>
      <c r="N24" s="35"/>
      <c r="O24" s="35"/>
      <c r="P24" s="35"/>
      <c r="Q24" s="35"/>
      <c r="R24" s="35"/>
      <c r="S24" s="35"/>
      <c r="T24" s="35"/>
      <c r="U24" s="35"/>
      <c r="V24" s="35"/>
      <c r="W24" s="35"/>
      <c r="X24" s="35"/>
      <c r="Y24" s="35"/>
      <c r="Z24" s="35"/>
      <c r="AA24" s="35"/>
      <c r="AB24" s="35"/>
      <c r="AC24" s="35"/>
      <c r="AD24" s="42">
        <f t="shared" si="1"/>
        <v>0</v>
      </c>
      <c r="AE24" s="43">
        <v>56450.625000000007</v>
      </c>
      <c r="AF24" s="43"/>
      <c r="AG24" s="45" t="s">
        <v>70</v>
      </c>
    </row>
    <row r="25" spans="1:33" ht="15.75" x14ac:dyDescent="0.2">
      <c r="A25" s="28"/>
      <c r="B25" s="57"/>
      <c r="C25" s="58" t="s">
        <v>73</v>
      </c>
      <c r="D25" s="59"/>
      <c r="E25" s="48"/>
      <c r="F25" s="56"/>
      <c r="G25" s="30"/>
      <c r="H25" s="29"/>
      <c r="I25" s="35"/>
      <c r="J25" s="35"/>
      <c r="K25" s="35"/>
      <c r="L25" s="35"/>
      <c r="M25" s="35"/>
      <c r="N25" s="35"/>
      <c r="O25" s="35"/>
      <c r="P25" s="35"/>
      <c r="Q25" s="35"/>
      <c r="R25" s="35"/>
      <c r="S25" s="35"/>
      <c r="T25" s="35"/>
      <c r="U25" s="35"/>
      <c r="V25" s="35"/>
      <c r="W25" s="35"/>
      <c r="X25" s="35"/>
      <c r="Y25" s="35"/>
      <c r="Z25" s="35"/>
      <c r="AA25" s="35"/>
      <c r="AB25" s="35"/>
      <c r="AC25" s="35"/>
      <c r="AD25" s="42">
        <f t="shared" si="1"/>
        <v>0</v>
      </c>
      <c r="AE25" s="43">
        <v>22089.375</v>
      </c>
      <c r="AF25" s="43"/>
      <c r="AG25" s="45" t="s">
        <v>70</v>
      </c>
    </row>
    <row r="26" spans="1:33" ht="15.75" x14ac:dyDescent="0.2">
      <c r="A26" s="28"/>
      <c r="B26" s="57"/>
      <c r="C26" s="58" t="s">
        <v>74</v>
      </c>
      <c r="D26" s="59"/>
      <c r="E26" s="48"/>
      <c r="F26" s="56"/>
      <c r="G26" s="30"/>
      <c r="H26" s="29"/>
      <c r="I26" s="35"/>
      <c r="J26" s="35"/>
      <c r="K26" s="35"/>
      <c r="L26" s="35"/>
      <c r="M26" s="35"/>
      <c r="N26" s="35"/>
      <c r="O26" s="35"/>
      <c r="P26" s="35"/>
      <c r="Q26" s="35"/>
      <c r="R26" s="35"/>
      <c r="S26" s="35"/>
      <c r="T26" s="35"/>
      <c r="U26" s="35"/>
      <c r="V26" s="35"/>
      <c r="W26" s="35"/>
      <c r="X26" s="35"/>
      <c r="Y26" s="35"/>
      <c r="Z26" s="35"/>
      <c r="AA26" s="35"/>
      <c r="AB26" s="35"/>
      <c r="AC26" s="35"/>
      <c r="AD26" s="42">
        <f t="shared" si="1"/>
        <v>0</v>
      </c>
      <c r="AE26" s="157">
        <v>211076.25</v>
      </c>
      <c r="AF26" s="43"/>
      <c r="AG26" s="45" t="s">
        <v>70</v>
      </c>
    </row>
    <row r="27" spans="1:33" ht="15.75" x14ac:dyDescent="0.2">
      <c r="A27" s="28"/>
      <c r="B27" s="57"/>
      <c r="C27" s="58" t="s">
        <v>75</v>
      </c>
      <c r="D27" s="59"/>
      <c r="E27" s="48"/>
      <c r="F27" s="56"/>
      <c r="G27" s="30"/>
      <c r="H27" s="29"/>
      <c r="I27" s="35"/>
      <c r="J27" s="35"/>
      <c r="K27" s="35"/>
      <c r="L27" s="35"/>
      <c r="M27" s="35"/>
      <c r="N27" s="35"/>
      <c r="O27" s="35"/>
      <c r="P27" s="35"/>
      <c r="Q27" s="35"/>
      <c r="R27" s="35"/>
      <c r="S27" s="35"/>
      <c r="T27" s="35"/>
      <c r="U27" s="35"/>
      <c r="V27" s="35"/>
      <c r="W27" s="35"/>
      <c r="X27" s="35"/>
      <c r="Y27" s="35"/>
      <c r="Z27" s="35"/>
      <c r="AA27" s="35"/>
      <c r="AB27" s="35"/>
      <c r="AC27" s="35"/>
      <c r="AD27" s="42">
        <f t="shared" si="1"/>
        <v>0</v>
      </c>
      <c r="AE27" s="43">
        <v>19635</v>
      </c>
      <c r="AF27" s="43"/>
      <c r="AG27" s="45" t="s">
        <v>70</v>
      </c>
    </row>
    <row r="28" spans="1:33" ht="15.75" x14ac:dyDescent="0.2">
      <c r="A28" s="28"/>
      <c r="B28" s="57"/>
      <c r="C28" s="58" t="s">
        <v>76</v>
      </c>
      <c r="D28" s="59"/>
      <c r="E28" s="48"/>
      <c r="F28" s="56"/>
      <c r="G28" s="30"/>
      <c r="H28" s="29"/>
      <c r="I28" s="35"/>
      <c r="J28" s="35"/>
      <c r="K28" s="35"/>
      <c r="L28" s="35"/>
      <c r="M28" s="35"/>
      <c r="N28" s="35"/>
      <c r="O28" s="35"/>
      <c r="P28" s="35"/>
      <c r="Q28" s="35"/>
      <c r="R28" s="35"/>
      <c r="S28" s="35"/>
      <c r="T28" s="35"/>
      <c r="U28" s="35"/>
      <c r="V28" s="35"/>
      <c r="W28" s="35"/>
      <c r="X28" s="35"/>
      <c r="Y28" s="35"/>
      <c r="Z28" s="35"/>
      <c r="AA28" s="35"/>
      <c r="AB28" s="35"/>
      <c r="AC28" s="35"/>
      <c r="AD28" s="42">
        <f t="shared" si="1"/>
        <v>0</v>
      </c>
      <c r="AE28" s="43">
        <v>56450.625</v>
      </c>
      <c r="AF28" s="43"/>
      <c r="AG28" s="45" t="s">
        <v>70</v>
      </c>
    </row>
    <row r="29" spans="1:33" ht="15.75" x14ac:dyDescent="0.2">
      <c r="A29" s="28"/>
      <c r="B29" s="57"/>
      <c r="C29" s="58" t="s">
        <v>77</v>
      </c>
      <c r="D29" s="59"/>
      <c r="E29" s="48"/>
      <c r="F29" s="56"/>
      <c r="G29" s="30"/>
      <c r="H29" s="29"/>
      <c r="I29" s="35"/>
      <c r="J29" s="35"/>
      <c r="K29" s="35"/>
      <c r="L29" s="35"/>
      <c r="M29" s="35"/>
      <c r="N29" s="35"/>
      <c r="O29" s="35"/>
      <c r="P29" s="35"/>
      <c r="Q29" s="35"/>
      <c r="R29" s="35"/>
      <c r="S29" s="35"/>
      <c r="T29" s="35"/>
      <c r="U29" s="35"/>
      <c r="V29" s="35"/>
      <c r="W29" s="35"/>
      <c r="X29" s="35"/>
      <c r="Y29" s="35"/>
      <c r="Z29" s="35"/>
      <c r="AA29" s="35"/>
      <c r="AB29" s="35"/>
      <c r="AC29" s="35"/>
      <c r="AD29" s="42">
        <f t="shared" si="1"/>
        <v>0</v>
      </c>
      <c r="AE29" s="43">
        <v>7363.1250000000009</v>
      </c>
      <c r="AF29" s="43"/>
      <c r="AG29" s="45" t="s">
        <v>70</v>
      </c>
    </row>
    <row r="30" spans="1:33" ht="15.75" x14ac:dyDescent="0.2">
      <c r="A30" s="28"/>
      <c r="B30" s="57"/>
      <c r="C30" s="58" t="s">
        <v>78</v>
      </c>
      <c r="D30" s="59"/>
      <c r="E30" s="48"/>
      <c r="F30" s="56"/>
      <c r="G30" s="30"/>
      <c r="H30" s="29"/>
      <c r="I30" s="35"/>
      <c r="J30" s="35"/>
      <c r="K30" s="35"/>
      <c r="L30" s="35"/>
      <c r="M30" s="35"/>
      <c r="N30" s="35"/>
      <c r="O30" s="35"/>
      <c r="P30" s="35"/>
      <c r="Q30" s="35"/>
      <c r="R30" s="35"/>
      <c r="S30" s="35"/>
      <c r="T30" s="35"/>
      <c r="U30" s="35"/>
      <c r="V30" s="35"/>
      <c r="W30" s="35"/>
      <c r="X30" s="35"/>
      <c r="Y30" s="35"/>
      <c r="Z30" s="35"/>
      <c r="AA30" s="35"/>
      <c r="AB30" s="35"/>
      <c r="AC30" s="35"/>
      <c r="AD30" s="42">
        <f t="shared" si="1"/>
        <v>0</v>
      </c>
      <c r="AE30" s="43">
        <v>17180.625</v>
      </c>
      <c r="AF30" s="43"/>
      <c r="AG30" s="45" t="s">
        <v>70</v>
      </c>
    </row>
    <row r="31" spans="1:33" ht="15.75" x14ac:dyDescent="0.2">
      <c r="A31" s="28"/>
      <c r="B31" s="57"/>
      <c r="C31" s="58" t="s">
        <v>79</v>
      </c>
      <c r="D31" s="59"/>
      <c r="E31" s="48"/>
      <c r="F31" s="56"/>
      <c r="G31" s="30"/>
      <c r="H31" s="29"/>
      <c r="I31" s="35"/>
      <c r="J31" s="35"/>
      <c r="K31" s="35"/>
      <c r="L31" s="35"/>
      <c r="M31" s="35"/>
      <c r="N31" s="35"/>
      <c r="O31" s="35"/>
      <c r="P31" s="35"/>
      <c r="Q31" s="35"/>
      <c r="R31" s="35"/>
      <c r="S31" s="35"/>
      <c r="T31" s="35"/>
      <c r="U31" s="35"/>
      <c r="V31" s="35"/>
      <c r="W31" s="35"/>
      <c r="X31" s="35"/>
      <c r="Y31" s="35"/>
      <c r="Z31" s="35"/>
      <c r="AA31" s="35"/>
      <c r="AB31" s="35"/>
      <c r="AC31" s="35"/>
      <c r="AD31" s="42">
        <f t="shared" si="1"/>
        <v>0</v>
      </c>
      <c r="AE31" s="43">
        <v>1413720</v>
      </c>
      <c r="AF31" s="43"/>
      <c r="AG31" s="45" t="s">
        <v>70</v>
      </c>
    </row>
    <row r="32" spans="1:33" ht="15.75" x14ac:dyDescent="0.2">
      <c r="A32" s="28"/>
      <c r="B32" s="57"/>
      <c r="C32" s="58" t="s">
        <v>80</v>
      </c>
      <c r="D32" s="59"/>
      <c r="E32" s="48"/>
      <c r="F32" s="56"/>
      <c r="G32" s="30"/>
      <c r="H32" s="29"/>
      <c r="I32" s="35"/>
      <c r="J32" s="35"/>
      <c r="K32" s="35"/>
      <c r="L32" s="35"/>
      <c r="M32" s="35"/>
      <c r="N32" s="35"/>
      <c r="O32" s="35"/>
      <c r="P32" s="35"/>
      <c r="Q32" s="35"/>
      <c r="R32" s="35"/>
      <c r="S32" s="35"/>
      <c r="T32" s="35"/>
      <c r="U32" s="35"/>
      <c r="V32" s="35"/>
      <c r="W32" s="35"/>
      <c r="X32" s="35"/>
      <c r="Y32" s="35"/>
      <c r="Z32" s="35"/>
      <c r="AA32" s="35"/>
      <c r="AB32" s="35"/>
      <c r="AC32" s="35"/>
      <c r="AD32" s="42">
        <f t="shared" si="1"/>
        <v>0</v>
      </c>
      <c r="AE32" s="43">
        <v>265072.5</v>
      </c>
      <c r="AF32" s="43"/>
      <c r="AG32" s="45" t="s">
        <v>70</v>
      </c>
    </row>
    <row r="33" spans="1:33" ht="15.75" x14ac:dyDescent="0.2">
      <c r="A33" s="28"/>
      <c r="B33" s="57"/>
      <c r="C33" s="58" t="s">
        <v>81</v>
      </c>
      <c r="D33" s="59"/>
      <c r="E33" s="48"/>
      <c r="F33" s="56"/>
      <c r="G33" s="30"/>
      <c r="H33" s="29"/>
      <c r="I33" s="35"/>
      <c r="J33" s="35"/>
      <c r="K33" s="35"/>
      <c r="L33" s="35"/>
      <c r="M33" s="35"/>
      <c r="N33" s="35"/>
      <c r="O33" s="35"/>
      <c r="P33" s="35"/>
      <c r="Q33" s="35"/>
      <c r="R33" s="35"/>
      <c r="S33" s="35"/>
      <c r="T33" s="35"/>
      <c r="U33" s="35"/>
      <c r="V33" s="35"/>
      <c r="W33" s="35"/>
      <c r="X33" s="35"/>
      <c r="Y33" s="35"/>
      <c r="Z33" s="35"/>
      <c r="AA33" s="35"/>
      <c r="AB33" s="35"/>
      <c r="AC33" s="35"/>
      <c r="AD33" s="42">
        <f t="shared" si="1"/>
        <v>0</v>
      </c>
      <c r="AE33" s="43">
        <v>346066.875</v>
      </c>
      <c r="AF33" s="43"/>
      <c r="AG33" s="45" t="s">
        <v>70</v>
      </c>
    </row>
    <row r="34" spans="1:33" ht="15.75" x14ac:dyDescent="0.2">
      <c r="A34" s="28"/>
      <c r="B34" s="57"/>
      <c r="C34" s="58" t="s">
        <v>82</v>
      </c>
      <c r="D34" s="59"/>
      <c r="E34" s="48"/>
      <c r="F34" s="56"/>
      <c r="G34" s="30"/>
      <c r="H34" s="29"/>
      <c r="I34" s="35"/>
      <c r="J34" s="35"/>
      <c r="K34" s="35"/>
      <c r="L34" s="35"/>
      <c r="M34" s="35"/>
      <c r="N34" s="35"/>
      <c r="O34" s="35"/>
      <c r="P34" s="35"/>
      <c r="Q34" s="35"/>
      <c r="R34" s="35"/>
      <c r="S34" s="35"/>
      <c r="T34" s="35"/>
      <c r="U34" s="35"/>
      <c r="V34" s="35"/>
      <c r="W34" s="35"/>
      <c r="X34" s="35"/>
      <c r="Y34" s="35"/>
      <c r="Z34" s="35"/>
      <c r="AA34" s="35"/>
      <c r="AB34" s="35"/>
      <c r="AC34" s="35"/>
      <c r="AD34" s="42">
        <f t="shared" si="1"/>
        <v>0</v>
      </c>
      <c r="AE34" s="43">
        <v>395154.375</v>
      </c>
      <c r="AF34" s="43"/>
      <c r="AG34" s="45" t="s">
        <v>70</v>
      </c>
    </row>
    <row r="35" spans="1:33" ht="141.75" x14ac:dyDescent="0.2">
      <c r="A35" s="28"/>
      <c r="B35" s="57"/>
      <c r="C35" s="60" t="s">
        <v>83</v>
      </c>
      <c r="D35" s="59"/>
      <c r="E35" s="48"/>
      <c r="F35" s="56"/>
      <c r="G35" s="30"/>
      <c r="H35" s="29"/>
      <c r="I35" s="35"/>
      <c r="J35" s="35"/>
      <c r="K35" s="35"/>
      <c r="L35" s="35"/>
      <c r="M35" s="35"/>
      <c r="N35" s="35"/>
      <c r="O35" s="35"/>
      <c r="P35" s="35"/>
      <c r="Q35" s="35"/>
      <c r="R35" s="35"/>
      <c r="S35" s="35"/>
      <c r="T35" s="35"/>
      <c r="U35" s="35"/>
      <c r="V35" s="35"/>
      <c r="W35" s="35"/>
      <c r="X35" s="35"/>
      <c r="Y35" s="35"/>
      <c r="Z35" s="35"/>
      <c r="AA35" s="35"/>
      <c r="AB35" s="35"/>
      <c r="AC35" s="35"/>
      <c r="AD35" s="42">
        <f t="shared" si="1"/>
        <v>0</v>
      </c>
      <c r="AE35" s="43"/>
      <c r="AF35" s="43">
        <f>(10*11000)*1.1</f>
        <v>121000.00000000001</v>
      </c>
      <c r="AG35" s="45" t="s">
        <v>70</v>
      </c>
    </row>
    <row r="36" spans="1:33" ht="15.75" x14ac:dyDescent="0.2">
      <c r="A36" s="28"/>
      <c r="B36" s="57"/>
      <c r="C36" s="58" t="s">
        <v>84</v>
      </c>
      <c r="D36" s="59"/>
      <c r="E36" s="48"/>
      <c r="F36" s="56"/>
      <c r="G36" s="30"/>
      <c r="H36" s="29"/>
      <c r="I36" s="35"/>
      <c r="J36" s="35"/>
      <c r="K36" s="35"/>
      <c r="L36" s="35"/>
      <c r="M36" s="35"/>
      <c r="N36" s="35"/>
      <c r="O36" s="35"/>
      <c r="P36" s="35"/>
      <c r="Q36" s="35"/>
      <c r="R36" s="35"/>
      <c r="S36" s="35"/>
      <c r="T36" s="35"/>
      <c r="U36" s="35"/>
      <c r="V36" s="35"/>
      <c r="W36" s="35"/>
      <c r="X36" s="35"/>
      <c r="Y36" s="35"/>
      <c r="Z36" s="35"/>
      <c r="AA36" s="35"/>
      <c r="AB36" s="35"/>
      <c r="AC36" s="35"/>
      <c r="AD36" s="42">
        <f t="shared" si="1"/>
        <v>0</v>
      </c>
      <c r="AE36" s="43"/>
      <c r="AF36" s="43"/>
      <c r="AG36" s="45" t="s">
        <v>70</v>
      </c>
    </row>
    <row r="37" spans="1:33" ht="15.75" x14ac:dyDescent="0.2">
      <c r="A37" s="28"/>
      <c r="B37" s="57"/>
      <c r="C37" s="61" t="s">
        <v>85</v>
      </c>
      <c r="D37" s="59"/>
      <c r="E37" s="48"/>
      <c r="F37" s="56"/>
      <c r="G37" s="30"/>
      <c r="H37" s="29"/>
      <c r="I37" s="35"/>
      <c r="J37" s="35"/>
      <c r="K37" s="35"/>
      <c r="L37" s="35"/>
      <c r="M37" s="35"/>
      <c r="N37" s="35"/>
      <c r="O37" s="35"/>
      <c r="P37" s="35"/>
      <c r="Q37" s="35"/>
      <c r="R37" s="35"/>
      <c r="S37" s="35"/>
      <c r="T37" s="35"/>
      <c r="U37" s="35"/>
      <c r="V37" s="62"/>
      <c r="W37" s="62"/>
      <c r="X37" s="35"/>
      <c r="Y37" s="35"/>
      <c r="Z37" s="35"/>
      <c r="AA37" s="35"/>
      <c r="AB37" s="35"/>
      <c r="AC37" s="35"/>
      <c r="AD37" s="42">
        <f t="shared" si="1"/>
        <v>0</v>
      </c>
      <c r="AE37" s="43"/>
      <c r="AF37" s="43"/>
      <c r="AG37" s="45" t="s">
        <v>70</v>
      </c>
    </row>
    <row r="38" spans="1:33" ht="15.75" x14ac:dyDescent="0.2">
      <c r="A38" s="28"/>
      <c r="B38" s="57"/>
      <c r="C38" s="61" t="s">
        <v>86</v>
      </c>
      <c r="D38" s="59"/>
      <c r="E38" s="48"/>
      <c r="F38" s="56"/>
      <c r="G38" s="30"/>
      <c r="H38" s="29"/>
      <c r="I38" s="35"/>
      <c r="J38" s="35"/>
      <c r="K38" s="35">
        <v>1</v>
      </c>
      <c r="L38" s="35"/>
      <c r="M38" s="35"/>
      <c r="N38" s="35"/>
      <c r="O38" s="35"/>
      <c r="P38" s="35"/>
      <c r="Q38" s="35"/>
      <c r="R38" s="35">
        <v>1</v>
      </c>
      <c r="S38" s="35"/>
      <c r="T38" s="35"/>
      <c r="U38" s="35"/>
      <c r="V38" s="62">
        <v>3</v>
      </c>
      <c r="W38" s="35"/>
      <c r="X38" s="35"/>
      <c r="Y38" s="35"/>
      <c r="Z38" s="35"/>
      <c r="AA38" s="35"/>
      <c r="AB38" s="35"/>
      <c r="AC38" s="35"/>
      <c r="AD38" s="42">
        <f t="shared" si="1"/>
        <v>5</v>
      </c>
      <c r="AE38" s="43">
        <v>9818</v>
      </c>
      <c r="AF38" s="43"/>
      <c r="AG38" s="45" t="s">
        <v>70</v>
      </c>
    </row>
    <row r="39" spans="1:33" ht="15.75" hidden="1" x14ac:dyDescent="0.2">
      <c r="A39" s="28"/>
      <c r="B39" s="57"/>
      <c r="C39" s="58"/>
      <c r="D39" s="59"/>
      <c r="E39" s="48"/>
      <c r="F39" s="56">
        <v>5</v>
      </c>
      <c r="G39" s="63"/>
      <c r="H39" s="29"/>
      <c r="I39" s="35"/>
      <c r="J39" s="35"/>
      <c r="K39" s="35"/>
      <c r="L39" s="35"/>
      <c r="M39" s="35"/>
      <c r="N39" s="35"/>
      <c r="O39" s="35"/>
      <c r="P39" s="35"/>
      <c r="Q39" s="35"/>
      <c r="R39" s="35"/>
      <c r="S39" s="35"/>
      <c r="T39" s="35"/>
      <c r="U39" s="35"/>
      <c r="V39" s="35"/>
      <c r="W39" s="35"/>
      <c r="X39" s="35"/>
      <c r="Y39" s="35"/>
      <c r="Z39" s="35"/>
      <c r="AA39" s="35"/>
      <c r="AB39" s="35"/>
      <c r="AC39" s="35"/>
      <c r="AD39" s="42">
        <f t="shared" si="1"/>
        <v>0</v>
      </c>
      <c r="AE39" s="43"/>
      <c r="AF39" s="43"/>
    </row>
    <row r="40" spans="1:33" hidden="1" x14ac:dyDescent="0.2">
      <c r="A40" s="28"/>
      <c r="B40" s="29"/>
      <c r="C40" s="64"/>
      <c r="D40" s="47"/>
      <c r="E40" s="48"/>
      <c r="F40" s="56">
        <v>6</v>
      </c>
      <c r="G40" s="63"/>
      <c r="H40" s="29"/>
      <c r="I40" s="35"/>
      <c r="J40" s="35"/>
      <c r="K40" s="35"/>
      <c r="L40" s="35"/>
      <c r="M40" s="35"/>
      <c r="N40" s="35"/>
      <c r="O40" s="35"/>
      <c r="P40" s="35"/>
      <c r="Q40" s="35"/>
      <c r="R40" s="35"/>
      <c r="S40" s="35"/>
      <c r="T40" s="35"/>
      <c r="U40" s="35"/>
      <c r="V40" s="35"/>
      <c r="W40" s="35"/>
      <c r="X40" s="35"/>
      <c r="Y40" s="35"/>
      <c r="Z40" s="35"/>
      <c r="AA40" s="35"/>
      <c r="AB40" s="35"/>
      <c r="AC40" s="35"/>
      <c r="AD40" s="42">
        <f t="shared" si="1"/>
        <v>0</v>
      </c>
      <c r="AE40" s="43"/>
      <c r="AF40" s="43"/>
    </row>
    <row r="41" spans="1:33" hidden="1" x14ac:dyDescent="0.2">
      <c r="A41" s="28"/>
      <c r="B41" s="29"/>
      <c r="C41" s="47"/>
      <c r="D41" s="47"/>
      <c r="E41" s="48"/>
      <c r="F41" s="56">
        <v>7</v>
      </c>
      <c r="G41" s="63"/>
      <c r="H41" s="29"/>
      <c r="I41" s="35"/>
      <c r="J41" s="35"/>
      <c r="K41" s="35"/>
      <c r="L41" s="35"/>
      <c r="M41" s="35"/>
      <c r="N41" s="35"/>
      <c r="O41" s="35"/>
      <c r="P41" s="35"/>
      <c r="Q41" s="35"/>
      <c r="R41" s="35"/>
      <c r="S41" s="35"/>
      <c r="T41" s="35"/>
      <c r="U41" s="35"/>
      <c r="V41" s="35"/>
      <c r="W41" s="35"/>
      <c r="X41" s="35"/>
      <c r="Y41" s="35"/>
      <c r="Z41" s="35"/>
      <c r="AA41" s="35"/>
      <c r="AB41" s="35"/>
      <c r="AC41" s="35"/>
      <c r="AD41" s="42">
        <f t="shared" si="1"/>
        <v>0</v>
      </c>
      <c r="AE41" s="43"/>
      <c r="AF41" s="43"/>
    </row>
    <row r="42" spans="1:33" hidden="1" x14ac:dyDescent="0.2">
      <c r="A42" s="28"/>
      <c r="B42" s="29"/>
      <c r="C42" s="47"/>
      <c r="D42" s="47"/>
      <c r="E42" s="48"/>
      <c r="F42" s="56">
        <v>8</v>
      </c>
      <c r="G42" s="63"/>
      <c r="H42" s="29"/>
      <c r="I42" s="35"/>
      <c r="J42" s="35"/>
      <c r="K42" s="35"/>
      <c r="L42" s="35"/>
      <c r="M42" s="35"/>
      <c r="N42" s="35"/>
      <c r="O42" s="35"/>
      <c r="P42" s="35"/>
      <c r="Q42" s="35"/>
      <c r="R42" s="35"/>
      <c r="S42" s="35"/>
      <c r="T42" s="35"/>
      <c r="U42" s="35"/>
      <c r="V42" s="35"/>
      <c r="W42" s="35"/>
      <c r="X42" s="35"/>
      <c r="Y42" s="35"/>
      <c r="Z42" s="35"/>
      <c r="AA42" s="35"/>
      <c r="AB42" s="35"/>
      <c r="AC42" s="35"/>
      <c r="AD42" s="42">
        <f t="shared" si="1"/>
        <v>0</v>
      </c>
      <c r="AE42" s="43"/>
      <c r="AF42" s="43"/>
    </row>
    <row r="43" spans="1:33" hidden="1" x14ac:dyDescent="0.2">
      <c r="A43" s="28"/>
      <c r="B43" s="29"/>
      <c r="C43" s="47"/>
      <c r="D43" s="47"/>
      <c r="E43" s="48"/>
      <c r="F43" s="56">
        <v>9</v>
      </c>
      <c r="G43" s="65"/>
      <c r="H43" s="29"/>
      <c r="I43" s="35"/>
      <c r="J43" s="35"/>
      <c r="K43" s="35"/>
      <c r="L43" s="35"/>
      <c r="M43" s="35"/>
      <c r="N43" s="35"/>
      <c r="O43" s="35"/>
      <c r="P43" s="35"/>
      <c r="Q43" s="35"/>
      <c r="R43" s="35"/>
      <c r="S43" s="35"/>
      <c r="T43" s="35"/>
      <c r="U43" s="35"/>
      <c r="V43" s="35"/>
      <c r="W43" s="35"/>
      <c r="X43" s="35"/>
      <c r="Y43" s="35"/>
      <c r="Z43" s="35"/>
      <c r="AA43" s="35"/>
      <c r="AB43" s="35"/>
      <c r="AC43" s="35"/>
      <c r="AD43" s="42">
        <f t="shared" si="1"/>
        <v>0</v>
      </c>
      <c r="AE43" s="43"/>
      <c r="AF43" s="43"/>
    </row>
    <row r="44" spans="1:33" hidden="1" x14ac:dyDescent="0.2">
      <c r="A44" s="28"/>
      <c r="B44" s="29"/>
      <c r="C44" s="47"/>
      <c r="D44" s="47"/>
      <c r="E44" s="48"/>
      <c r="F44" s="56">
        <v>10</v>
      </c>
      <c r="G44" s="65"/>
      <c r="H44" s="29"/>
      <c r="I44" s="35"/>
      <c r="J44" s="35"/>
      <c r="K44" s="35"/>
      <c r="L44" s="35"/>
      <c r="M44" s="35"/>
      <c r="N44" s="35"/>
      <c r="O44" s="35"/>
      <c r="P44" s="35"/>
      <c r="Q44" s="35"/>
      <c r="R44" s="35"/>
      <c r="S44" s="35"/>
      <c r="T44" s="35"/>
      <c r="U44" s="35"/>
      <c r="V44" s="35"/>
      <c r="W44" s="35"/>
      <c r="X44" s="35"/>
      <c r="Y44" s="35"/>
      <c r="Z44" s="35"/>
      <c r="AA44" s="35"/>
      <c r="AB44" s="35"/>
      <c r="AC44" s="35"/>
      <c r="AD44" s="42">
        <f t="shared" si="1"/>
        <v>0</v>
      </c>
      <c r="AE44" s="43"/>
      <c r="AF44" s="43"/>
    </row>
    <row r="45" spans="1:33" hidden="1" x14ac:dyDescent="0.2">
      <c r="A45" s="28"/>
      <c r="B45" s="29"/>
      <c r="C45" s="47"/>
      <c r="D45" s="47"/>
      <c r="E45" s="48"/>
      <c r="F45" s="56">
        <v>11</v>
      </c>
      <c r="G45" s="65"/>
      <c r="H45" s="29"/>
      <c r="I45" s="35"/>
      <c r="J45" s="35"/>
      <c r="K45" s="35"/>
      <c r="L45" s="35"/>
      <c r="M45" s="35"/>
      <c r="N45" s="35"/>
      <c r="O45" s="35"/>
      <c r="P45" s="35"/>
      <c r="Q45" s="35"/>
      <c r="R45" s="35"/>
      <c r="S45" s="35"/>
      <c r="T45" s="35"/>
      <c r="U45" s="35"/>
      <c r="V45" s="35"/>
      <c r="W45" s="35"/>
      <c r="X45" s="35"/>
      <c r="Y45" s="35"/>
      <c r="Z45" s="35"/>
      <c r="AA45" s="35"/>
      <c r="AB45" s="35"/>
      <c r="AC45" s="35"/>
      <c r="AD45" s="42">
        <f t="shared" si="1"/>
        <v>0</v>
      </c>
      <c r="AE45" s="43"/>
      <c r="AF45" s="43"/>
    </row>
    <row r="46" spans="1:33" hidden="1" x14ac:dyDescent="0.2">
      <c r="A46" s="28"/>
      <c r="B46" s="29"/>
      <c r="C46" s="47"/>
      <c r="D46" s="47"/>
      <c r="E46" s="48"/>
      <c r="F46" s="56">
        <v>12</v>
      </c>
      <c r="G46" s="65"/>
      <c r="H46" s="29"/>
      <c r="I46" s="35"/>
      <c r="J46" s="35"/>
      <c r="K46" s="35"/>
      <c r="L46" s="35"/>
      <c r="M46" s="35"/>
      <c r="N46" s="35"/>
      <c r="O46" s="35"/>
      <c r="P46" s="35"/>
      <c r="Q46" s="35"/>
      <c r="R46" s="35"/>
      <c r="S46" s="35"/>
      <c r="T46" s="35"/>
      <c r="U46" s="35"/>
      <c r="V46" s="35"/>
      <c r="W46" s="35"/>
      <c r="X46" s="35"/>
      <c r="Y46" s="35"/>
      <c r="Z46" s="35"/>
      <c r="AA46" s="35"/>
      <c r="AB46" s="35"/>
      <c r="AC46" s="35"/>
      <c r="AD46" s="42">
        <f t="shared" ref="AD46:AD77" si="2">SUM(I46:AC46)</f>
        <v>0</v>
      </c>
      <c r="AE46" s="43"/>
      <c r="AF46" s="43"/>
    </row>
    <row r="47" spans="1:33" hidden="1" x14ac:dyDescent="0.2">
      <c r="A47" s="28"/>
      <c r="B47" s="29"/>
      <c r="C47" s="47"/>
      <c r="D47" s="47"/>
      <c r="E47" s="48"/>
      <c r="F47" s="56">
        <v>13</v>
      </c>
      <c r="G47" s="65"/>
      <c r="H47" s="29"/>
      <c r="I47" s="35"/>
      <c r="J47" s="35"/>
      <c r="K47" s="35"/>
      <c r="L47" s="35"/>
      <c r="M47" s="35"/>
      <c r="N47" s="35"/>
      <c r="O47" s="35"/>
      <c r="P47" s="35"/>
      <c r="Q47" s="35"/>
      <c r="R47" s="35"/>
      <c r="S47" s="35"/>
      <c r="T47" s="35"/>
      <c r="U47" s="35"/>
      <c r="V47" s="35"/>
      <c r="W47" s="35"/>
      <c r="X47" s="35"/>
      <c r="Y47" s="35"/>
      <c r="Z47" s="35"/>
      <c r="AA47" s="35"/>
      <c r="AB47" s="35"/>
      <c r="AC47" s="35"/>
      <c r="AD47" s="42">
        <f t="shared" si="2"/>
        <v>0</v>
      </c>
      <c r="AE47" s="43"/>
      <c r="AF47" s="43"/>
    </row>
    <row r="48" spans="1:33" hidden="1" x14ac:dyDescent="0.2">
      <c r="A48" s="28"/>
      <c r="B48" s="29"/>
      <c r="C48" s="47"/>
      <c r="D48" s="47"/>
      <c r="E48" s="48"/>
      <c r="F48" s="56">
        <v>14</v>
      </c>
      <c r="G48" s="65"/>
      <c r="H48" s="29"/>
      <c r="I48" s="35"/>
      <c r="J48" s="35"/>
      <c r="K48" s="35"/>
      <c r="L48" s="35"/>
      <c r="M48" s="35"/>
      <c r="N48" s="35"/>
      <c r="O48" s="35"/>
      <c r="P48" s="35"/>
      <c r="Q48" s="35"/>
      <c r="R48" s="35"/>
      <c r="S48" s="35"/>
      <c r="T48" s="35"/>
      <c r="U48" s="35"/>
      <c r="V48" s="35"/>
      <c r="W48" s="35"/>
      <c r="X48" s="35"/>
      <c r="Y48" s="35"/>
      <c r="Z48" s="35"/>
      <c r="AA48" s="35"/>
      <c r="AB48" s="35"/>
      <c r="AC48" s="35"/>
      <c r="AD48" s="42">
        <f t="shared" si="2"/>
        <v>0</v>
      </c>
      <c r="AE48" s="43"/>
      <c r="AF48" s="43"/>
    </row>
    <row r="49" spans="1:32" hidden="1" x14ac:dyDescent="0.2">
      <c r="A49" s="28"/>
      <c r="B49" s="29"/>
      <c r="C49" s="47"/>
      <c r="D49" s="47"/>
      <c r="E49" s="48"/>
      <c r="F49" s="56">
        <v>15</v>
      </c>
      <c r="G49" s="65"/>
      <c r="H49" s="29"/>
      <c r="I49" s="35"/>
      <c r="J49" s="35"/>
      <c r="K49" s="35"/>
      <c r="L49" s="35"/>
      <c r="M49" s="35"/>
      <c r="N49" s="35"/>
      <c r="O49" s="35"/>
      <c r="P49" s="35"/>
      <c r="Q49" s="35"/>
      <c r="R49" s="35"/>
      <c r="S49" s="35"/>
      <c r="T49" s="35"/>
      <c r="U49" s="35"/>
      <c r="V49" s="35"/>
      <c r="W49" s="35"/>
      <c r="X49" s="35"/>
      <c r="Y49" s="35"/>
      <c r="Z49" s="35"/>
      <c r="AA49" s="35"/>
      <c r="AB49" s="35"/>
      <c r="AC49" s="35"/>
      <c r="AD49" s="42">
        <f t="shared" si="2"/>
        <v>0</v>
      </c>
      <c r="AE49" s="43"/>
      <c r="AF49" s="43"/>
    </row>
    <row r="50" spans="1:32" hidden="1" x14ac:dyDescent="0.2">
      <c r="A50" s="28"/>
      <c r="B50" s="29"/>
      <c r="C50" s="47"/>
      <c r="D50" s="47"/>
      <c r="E50" s="48"/>
      <c r="F50" s="56">
        <v>16</v>
      </c>
      <c r="G50" s="65"/>
      <c r="H50" s="29"/>
      <c r="I50" s="35"/>
      <c r="J50" s="35"/>
      <c r="K50" s="35"/>
      <c r="L50" s="35"/>
      <c r="M50" s="35"/>
      <c r="N50" s="35"/>
      <c r="O50" s="35"/>
      <c r="P50" s="35"/>
      <c r="Q50" s="35"/>
      <c r="R50" s="35"/>
      <c r="S50" s="35"/>
      <c r="T50" s="35"/>
      <c r="U50" s="35"/>
      <c r="V50" s="35"/>
      <c r="W50" s="35"/>
      <c r="X50" s="35"/>
      <c r="Y50" s="35"/>
      <c r="Z50" s="35"/>
      <c r="AA50" s="35"/>
      <c r="AB50" s="35"/>
      <c r="AC50" s="35"/>
      <c r="AD50" s="42">
        <f t="shared" si="2"/>
        <v>0</v>
      </c>
      <c r="AE50" s="43"/>
      <c r="AF50" s="43"/>
    </row>
    <row r="51" spans="1:32" hidden="1" x14ac:dyDescent="0.2">
      <c r="A51" s="28"/>
      <c r="B51" s="29"/>
      <c r="C51" s="47"/>
      <c r="D51" s="47"/>
      <c r="E51" s="48"/>
      <c r="F51" s="56">
        <v>17</v>
      </c>
      <c r="G51" s="65"/>
      <c r="H51" s="29"/>
      <c r="I51" s="35"/>
      <c r="J51" s="35"/>
      <c r="K51" s="35"/>
      <c r="L51" s="35"/>
      <c r="M51" s="35"/>
      <c r="N51" s="35"/>
      <c r="O51" s="35"/>
      <c r="P51" s="35"/>
      <c r="Q51" s="35"/>
      <c r="R51" s="35"/>
      <c r="S51" s="35"/>
      <c r="T51" s="35"/>
      <c r="U51" s="35"/>
      <c r="V51" s="35"/>
      <c r="W51" s="35"/>
      <c r="X51" s="35"/>
      <c r="Y51" s="35"/>
      <c r="Z51" s="35"/>
      <c r="AA51" s="35"/>
      <c r="AB51" s="35"/>
      <c r="AC51" s="35"/>
      <c r="AD51" s="42">
        <f t="shared" si="2"/>
        <v>0</v>
      </c>
      <c r="AE51" s="43"/>
      <c r="AF51" s="43"/>
    </row>
    <row r="52" spans="1:32" hidden="1" x14ac:dyDescent="0.2">
      <c r="A52" s="28"/>
      <c r="B52" s="29"/>
      <c r="C52" s="47"/>
      <c r="D52" s="47"/>
      <c r="E52" s="48"/>
      <c r="F52" s="56">
        <v>18</v>
      </c>
      <c r="G52" s="65"/>
      <c r="H52" s="29"/>
      <c r="I52" s="35"/>
      <c r="J52" s="35"/>
      <c r="K52" s="35"/>
      <c r="L52" s="35"/>
      <c r="M52" s="35"/>
      <c r="N52" s="35"/>
      <c r="O52" s="35"/>
      <c r="P52" s="35"/>
      <c r="Q52" s="35"/>
      <c r="R52" s="35"/>
      <c r="S52" s="35"/>
      <c r="T52" s="35"/>
      <c r="U52" s="35"/>
      <c r="V52" s="35"/>
      <c r="W52" s="35"/>
      <c r="X52" s="35"/>
      <c r="Y52" s="35"/>
      <c r="Z52" s="35"/>
      <c r="AA52" s="35"/>
      <c r="AB52" s="35"/>
      <c r="AC52" s="35"/>
      <c r="AD52" s="42">
        <f t="shared" si="2"/>
        <v>0</v>
      </c>
      <c r="AE52" s="43"/>
      <c r="AF52" s="43"/>
    </row>
    <row r="53" spans="1:32" hidden="1" x14ac:dyDescent="0.2">
      <c r="A53" s="28"/>
      <c r="B53" s="29"/>
      <c r="C53" s="47"/>
      <c r="D53" s="47"/>
      <c r="E53" s="48"/>
      <c r="F53" s="56">
        <v>19</v>
      </c>
      <c r="G53" s="65"/>
      <c r="H53" s="29"/>
      <c r="I53" s="35"/>
      <c r="J53" s="35"/>
      <c r="K53" s="35"/>
      <c r="L53" s="35"/>
      <c r="M53" s="35"/>
      <c r="N53" s="35"/>
      <c r="O53" s="35"/>
      <c r="P53" s="35"/>
      <c r="Q53" s="35"/>
      <c r="R53" s="35"/>
      <c r="S53" s="35"/>
      <c r="T53" s="35"/>
      <c r="U53" s="35"/>
      <c r="V53" s="35"/>
      <c r="W53" s="35"/>
      <c r="X53" s="35"/>
      <c r="Y53" s="35"/>
      <c r="Z53" s="35"/>
      <c r="AA53" s="35"/>
      <c r="AB53" s="35"/>
      <c r="AC53" s="35"/>
      <c r="AD53" s="42">
        <f t="shared" si="2"/>
        <v>0</v>
      </c>
      <c r="AE53" s="43"/>
      <c r="AF53" s="43"/>
    </row>
    <row r="54" spans="1:32" hidden="1" x14ac:dyDescent="0.2">
      <c r="A54" s="28"/>
      <c r="B54" s="29"/>
      <c r="C54" s="47"/>
      <c r="D54" s="47"/>
      <c r="E54" s="48"/>
      <c r="F54" s="56">
        <v>20</v>
      </c>
      <c r="G54" s="65"/>
      <c r="H54" s="29"/>
      <c r="I54" s="35"/>
      <c r="J54" s="35"/>
      <c r="K54" s="35"/>
      <c r="L54" s="35"/>
      <c r="M54" s="35"/>
      <c r="N54" s="35"/>
      <c r="O54" s="35"/>
      <c r="P54" s="35"/>
      <c r="Q54" s="35"/>
      <c r="R54" s="35"/>
      <c r="S54" s="35"/>
      <c r="T54" s="35"/>
      <c r="U54" s="35"/>
      <c r="V54" s="35"/>
      <c r="W54" s="35"/>
      <c r="X54" s="35"/>
      <c r="Y54" s="35"/>
      <c r="Z54" s="35"/>
      <c r="AA54" s="35"/>
      <c r="AB54" s="35"/>
      <c r="AC54" s="35"/>
      <c r="AD54" s="42">
        <f t="shared" si="2"/>
        <v>0</v>
      </c>
      <c r="AE54" s="43"/>
      <c r="AF54" s="43"/>
    </row>
    <row r="55" spans="1:32" hidden="1" x14ac:dyDescent="0.2">
      <c r="A55" s="28"/>
      <c r="B55" s="29"/>
      <c r="C55" s="47"/>
      <c r="D55" s="47"/>
      <c r="E55" s="48"/>
      <c r="F55" s="56">
        <v>21</v>
      </c>
      <c r="G55" s="65"/>
      <c r="H55" s="29"/>
      <c r="I55" s="35"/>
      <c r="J55" s="35"/>
      <c r="K55" s="35"/>
      <c r="L55" s="35"/>
      <c r="M55" s="35"/>
      <c r="N55" s="35"/>
      <c r="O55" s="35"/>
      <c r="P55" s="35"/>
      <c r="Q55" s="35"/>
      <c r="R55" s="35"/>
      <c r="S55" s="35"/>
      <c r="T55" s="35"/>
      <c r="U55" s="35"/>
      <c r="V55" s="35"/>
      <c r="W55" s="35"/>
      <c r="X55" s="35"/>
      <c r="Y55" s="35"/>
      <c r="Z55" s="35"/>
      <c r="AA55" s="35"/>
      <c r="AB55" s="35"/>
      <c r="AC55" s="35"/>
      <c r="AD55" s="42">
        <f t="shared" si="2"/>
        <v>0</v>
      </c>
      <c r="AE55" s="43"/>
      <c r="AF55" s="43"/>
    </row>
    <row r="56" spans="1:32" hidden="1" x14ac:dyDescent="0.2">
      <c r="A56" s="28"/>
      <c r="B56" s="29"/>
      <c r="C56" s="47"/>
      <c r="D56" s="47"/>
      <c r="E56" s="48"/>
      <c r="F56" s="56">
        <v>22</v>
      </c>
      <c r="G56" s="65"/>
      <c r="H56" s="29"/>
      <c r="I56" s="35"/>
      <c r="J56" s="35"/>
      <c r="K56" s="35"/>
      <c r="L56" s="35"/>
      <c r="M56" s="35"/>
      <c r="N56" s="35"/>
      <c r="O56" s="35"/>
      <c r="P56" s="35"/>
      <c r="Q56" s="35"/>
      <c r="R56" s="35"/>
      <c r="S56" s="35"/>
      <c r="T56" s="35"/>
      <c r="U56" s="35"/>
      <c r="V56" s="35"/>
      <c r="W56" s="35"/>
      <c r="X56" s="35"/>
      <c r="Y56" s="35"/>
      <c r="Z56" s="35"/>
      <c r="AA56" s="35"/>
      <c r="AB56" s="35"/>
      <c r="AC56" s="35"/>
      <c r="AD56" s="42">
        <f t="shared" si="2"/>
        <v>0</v>
      </c>
      <c r="AE56" s="43"/>
      <c r="AF56" s="43"/>
    </row>
    <row r="57" spans="1:32" hidden="1" x14ac:dyDescent="0.2">
      <c r="A57" s="28"/>
      <c r="B57" s="29"/>
      <c r="C57" s="47"/>
      <c r="D57" s="47"/>
      <c r="E57" s="48"/>
      <c r="F57" s="56">
        <v>23</v>
      </c>
      <c r="G57" s="65"/>
      <c r="H57" s="29"/>
      <c r="I57" s="35"/>
      <c r="J57" s="35"/>
      <c r="K57" s="35"/>
      <c r="L57" s="35"/>
      <c r="M57" s="35"/>
      <c r="N57" s="35"/>
      <c r="O57" s="35"/>
      <c r="P57" s="35"/>
      <c r="Q57" s="35"/>
      <c r="R57" s="35"/>
      <c r="S57" s="35"/>
      <c r="T57" s="35"/>
      <c r="U57" s="35"/>
      <c r="V57" s="35"/>
      <c r="W57" s="35"/>
      <c r="X57" s="35"/>
      <c r="Y57" s="35"/>
      <c r="Z57" s="35"/>
      <c r="AA57" s="35"/>
      <c r="AB57" s="35"/>
      <c r="AC57" s="35"/>
      <c r="AD57" s="42">
        <f t="shared" si="2"/>
        <v>0</v>
      </c>
      <c r="AE57" s="43"/>
      <c r="AF57" s="43"/>
    </row>
    <row r="58" spans="1:32" hidden="1" x14ac:dyDescent="0.2">
      <c r="A58" s="28"/>
      <c r="B58" s="29"/>
      <c r="C58" s="47"/>
      <c r="D58" s="47"/>
      <c r="E58" s="48"/>
      <c r="F58" s="56">
        <v>24</v>
      </c>
      <c r="G58" s="65"/>
      <c r="H58" s="29"/>
      <c r="I58" s="35"/>
      <c r="J58" s="35"/>
      <c r="K58" s="35"/>
      <c r="L58" s="35"/>
      <c r="M58" s="35"/>
      <c r="N58" s="35"/>
      <c r="O58" s="35"/>
      <c r="P58" s="35"/>
      <c r="Q58" s="35"/>
      <c r="R58" s="35"/>
      <c r="S58" s="35"/>
      <c r="T58" s="35"/>
      <c r="U58" s="35"/>
      <c r="V58" s="35"/>
      <c r="W58" s="35"/>
      <c r="X58" s="35"/>
      <c r="Y58" s="35"/>
      <c r="Z58" s="35"/>
      <c r="AA58" s="35"/>
      <c r="AB58" s="35"/>
      <c r="AC58" s="35"/>
      <c r="AD58" s="42">
        <f t="shared" si="2"/>
        <v>0</v>
      </c>
      <c r="AE58" s="43"/>
      <c r="AF58" s="43"/>
    </row>
    <row r="59" spans="1:32" hidden="1" x14ac:dyDescent="0.2">
      <c r="A59" s="28"/>
      <c r="B59" s="29"/>
      <c r="C59" s="47"/>
      <c r="D59" s="47"/>
      <c r="E59" s="48"/>
      <c r="F59" s="56">
        <v>25</v>
      </c>
      <c r="G59" s="65"/>
      <c r="H59" s="29"/>
      <c r="I59" s="35"/>
      <c r="J59" s="35"/>
      <c r="K59" s="35"/>
      <c r="L59" s="35"/>
      <c r="M59" s="35"/>
      <c r="N59" s="35"/>
      <c r="O59" s="35"/>
      <c r="P59" s="35"/>
      <c r="Q59" s="35"/>
      <c r="R59" s="35"/>
      <c r="S59" s="35"/>
      <c r="T59" s="35"/>
      <c r="U59" s="35"/>
      <c r="V59" s="35"/>
      <c r="W59" s="35"/>
      <c r="X59" s="35"/>
      <c r="Y59" s="35"/>
      <c r="Z59" s="35"/>
      <c r="AA59" s="35"/>
      <c r="AB59" s="35"/>
      <c r="AC59" s="35"/>
      <c r="AD59" s="42">
        <f t="shared" si="2"/>
        <v>0</v>
      </c>
      <c r="AE59" s="43"/>
      <c r="AF59" s="43"/>
    </row>
    <row r="60" spans="1:32" hidden="1" x14ac:dyDescent="0.2">
      <c r="A60" s="28"/>
      <c r="B60" s="29"/>
      <c r="C60" s="47"/>
      <c r="D60" s="47"/>
      <c r="E60" s="48"/>
      <c r="F60" s="56">
        <v>26</v>
      </c>
      <c r="G60" s="65"/>
      <c r="H60" s="29"/>
      <c r="I60" s="35"/>
      <c r="J60" s="35"/>
      <c r="K60" s="35"/>
      <c r="L60" s="35"/>
      <c r="M60" s="35"/>
      <c r="N60" s="35"/>
      <c r="O60" s="35"/>
      <c r="P60" s="35"/>
      <c r="Q60" s="35"/>
      <c r="R60" s="35"/>
      <c r="S60" s="35"/>
      <c r="T60" s="35"/>
      <c r="U60" s="35"/>
      <c r="V60" s="35"/>
      <c r="W60" s="35"/>
      <c r="X60" s="35"/>
      <c r="Y60" s="35"/>
      <c r="Z60" s="35"/>
      <c r="AA60" s="35"/>
      <c r="AB60" s="35"/>
      <c r="AC60" s="35"/>
      <c r="AD60" s="42">
        <f t="shared" si="2"/>
        <v>0</v>
      </c>
      <c r="AE60" s="43"/>
      <c r="AF60" s="43"/>
    </row>
    <row r="61" spans="1:32" hidden="1" x14ac:dyDescent="0.2">
      <c r="A61" s="28"/>
      <c r="B61" s="29"/>
      <c r="C61" s="47"/>
      <c r="D61" s="47"/>
      <c r="E61" s="48"/>
      <c r="F61" s="56">
        <v>27</v>
      </c>
      <c r="G61" s="65"/>
      <c r="H61" s="29"/>
      <c r="I61" s="35"/>
      <c r="J61" s="35"/>
      <c r="K61" s="35"/>
      <c r="L61" s="35"/>
      <c r="M61" s="35"/>
      <c r="N61" s="35"/>
      <c r="O61" s="35"/>
      <c r="P61" s="35"/>
      <c r="Q61" s="35"/>
      <c r="R61" s="35"/>
      <c r="S61" s="35"/>
      <c r="T61" s="35"/>
      <c r="U61" s="35"/>
      <c r="V61" s="35"/>
      <c r="W61" s="35"/>
      <c r="X61" s="35"/>
      <c r="Y61" s="35"/>
      <c r="Z61" s="35"/>
      <c r="AA61" s="35"/>
      <c r="AB61" s="35"/>
      <c r="AC61" s="35"/>
      <c r="AD61" s="42">
        <f t="shared" si="2"/>
        <v>0</v>
      </c>
      <c r="AE61" s="43"/>
      <c r="AF61" s="43"/>
    </row>
    <row r="62" spans="1:32" hidden="1" x14ac:dyDescent="0.2">
      <c r="A62" s="28"/>
      <c r="B62" s="29"/>
      <c r="C62" s="47"/>
      <c r="D62" s="47"/>
      <c r="E62" s="48"/>
      <c r="F62" s="56">
        <v>28</v>
      </c>
      <c r="G62" s="65"/>
      <c r="H62" s="29"/>
      <c r="I62" s="35"/>
      <c r="J62" s="35"/>
      <c r="K62" s="35"/>
      <c r="L62" s="35"/>
      <c r="M62" s="35"/>
      <c r="N62" s="35"/>
      <c r="O62" s="35"/>
      <c r="P62" s="35"/>
      <c r="Q62" s="35"/>
      <c r="R62" s="35"/>
      <c r="S62" s="35"/>
      <c r="T62" s="35"/>
      <c r="U62" s="35"/>
      <c r="V62" s="35"/>
      <c r="W62" s="35"/>
      <c r="X62" s="35"/>
      <c r="Y62" s="35"/>
      <c r="Z62" s="35"/>
      <c r="AA62" s="35"/>
      <c r="AB62" s="35"/>
      <c r="AC62" s="35"/>
      <c r="AD62" s="42">
        <f t="shared" si="2"/>
        <v>0</v>
      </c>
      <c r="AE62" s="43"/>
      <c r="AF62" s="43"/>
    </row>
    <row r="63" spans="1:32" hidden="1" x14ac:dyDescent="0.2">
      <c r="A63" s="28"/>
      <c r="B63" s="29"/>
      <c r="C63" s="47"/>
      <c r="D63" s="47"/>
      <c r="E63" s="48"/>
      <c r="F63" s="56">
        <v>29</v>
      </c>
      <c r="G63" s="65"/>
      <c r="H63" s="29"/>
      <c r="I63" s="35"/>
      <c r="J63" s="35"/>
      <c r="K63" s="35"/>
      <c r="L63" s="35"/>
      <c r="M63" s="35"/>
      <c r="N63" s="35"/>
      <c r="O63" s="35"/>
      <c r="P63" s="35"/>
      <c r="Q63" s="35"/>
      <c r="R63" s="35"/>
      <c r="S63" s="35"/>
      <c r="T63" s="35"/>
      <c r="U63" s="35"/>
      <c r="V63" s="35"/>
      <c r="W63" s="35"/>
      <c r="X63" s="35"/>
      <c r="Y63" s="35"/>
      <c r="Z63" s="35"/>
      <c r="AA63" s="35"/>
      <c r="AB63" s="35"/>
      <c r="AC63" s="35"/>
      <c r="AD63" s="42">
        <f t="shared" si="2"/>
        <v>0</v>
      </c>
      <c r="AE63" s="43"/>
      <c r="AF63" s="43"/>
    </row>
    <row r="64" spans="1:32" hidden="1" x14ac:dyDescent="0.2">
      <c r="A64" s="28"/>
      <c r="B64" s="29"/>
      <c r="C64" s="47"/>
      <c r="D64" s="47"/>
      <c r="E64" s="48"/>
      <c r="F64" s="56">
        <v>30</v>
      </c>
      <c r="G64" s="65"/>
      <c r="H64" s="29"/>
      <c r="I64" s="35"/>
      <c r="J64" s="35"/>
      <c r="K64" s="35"/>
      <c r="L64" s="35"/>
      <c r="M64" s="35"/>
      <c r="N64" s="35"/>
      <c r="O64" s="35"/>
      <c r="P64" s="35"/>
      <c r="Q64" s="35"/>
      <c r="R64" s="35"/>
      <c r="S64" s="35"/>
      <c r="T64" s="35"/>
      <c r="U64" s="35"/>
      <c r="V64" s="35"/>
      <c r="W64" s="35"/>
      <c r="X64" s="35"/>
      <c r="Y64" s="35"/>
      <c r="Z64" s="35"/>
      <c r="AA64" s="35"/>
      <c r="AB64" s="35"/>
      <c r="AC64" s="35"/>
      <c r="AD64" s="42">
        <f t="shared" si="2"/>
        <v>0</v>
      </c>
      <c r="AE64" s="43"/>
      <c r="AF64" s="43"/>
    </row>
    <row r="65" spans="1:32" hidden="1" x14ac:dyDescent="0.2">
      <c r="A65" s="28"/>
      <c r="B65" s="29"/>
      <c r="C65" s="47"/>
      <c r="D65" s="47"/>
      <c r="E65" s="48"/>
      <c r="F65" s="56">
        <v>31</v>
      </c>
      <c r="G65" s="63"/>
      <c r="H65" s="29"/>
      <c r="I65" s="35"/>
      <c r="J65" s="35"/>
      <c r="K65" s="35"/>
      <c r="L65" s="35"/>
      <c r="M65" s="35"/>
      <c r="N65" s="35"/>
      <c r="O65" s="35"/>
      <c r="P65" s="35"/>
      <c r="Q65" s="35"/>
      <c r="R65" s="35"/>
      <c r="S65" s="35"/>
      <c r="T65" s="35"/>
      <c r="U65" s="35"/>
      <c r="V65" s="35"/>
      <c r="W65" s="35"/>
      <c r="X65" s="35"/>
      <c r="Y65" s="35"/>
      <c r="Z65" s="35"/>
      <c r="AA65" s="35"/>
      <c r="AB65" s="35"/>
      <c r="AC65" s="35"/>
      <c r="AD65" s="42">
        <f t="shared" si="2"/>
        <v>0</v>
      </c>
      <c r="AE65" s="43"/>
      <c r="AF65" s="43"/>
    </row>
    <row r="66" spans="1:32" hidden="1" x14ac:dyDescent="0.2">
      <c r="A66" s="28"/>
      <c r="B66" s="29"/>
      <c r="C66" s="47"/>
      <c r="D66" s="47"/>
      <c r="E66" s="48"/>
      <c r="F66" s="56">
        <v>32</v>
      </c>
      <c r="G66" s="63"/>
      <c r="H66" s="29"/>
      <c r="I66" s="35"/>
      <c r="J66" s="35"/>
      <c r="K66" s="35"/>
      <c r="L66" s="35"/>
      <c r="M66" s="35"/>
      <c r="N66" s="35"/>
      <c r="O66" s="35"/>
      <c r="P66" s="35"/>
      <c r="Q66" s="35"/>
      <c r="R66" s="35"/>
      <c r="S66" s="35"/>
      <c r="T66" s="35"/>
      <c r="U66" s="35"/>
      <c r="V66" s="35"/>
      <c r="W66" s="35"/>
      <c r="X66" s="35"/>
      <c r="Y66" s="35"/>
      <c r="Z66" s="35"/>
      <c r="AA66" s="35"/>
      <c r="AB66" s="35"/>
      <c r="AC66" s="35"/>
      <c r="AD66" s="42">
        <f t="shared" si="2"/>
        <v>0</v>
      </c>
      <c r="AE66" s="43"/>
      <c r="AF66" s="43"/>
    </row>
    <row r="67" spans="1:32" hidden="1" x14ac:dyDescent="0.2">
      <c r="A67" s="28"/>
      <c r="B67" s="29"/>
      <c r="C67" s="47"/>
      <c r="D67" s="47"/>
      <c r="E67" s="48"/>
      <c r="F67" s="56">
        <v>33</v>
      </c>
      <c r="G67" s="63"/>
      <c r="H67" s="29"/>
      <c r="I67" s="35"/>
      <c r="J67" s="35"/>
      <c r="K67" s="35"/>
      <c r="L67" s="35"/>
      <c r="M67" s="35"/>
      <c r="N67" s="35"/>
      <c r="O67" s="35"/>
      <c r="P67" s="35"/>
      <c r="Q67" s="35"/>
      <c r="R67" s="35"/>
      <c r="S67" s="35"/>
      <c r="T67" s="35"/>
      <c r="U67" s="35"/>
      <c r="V67" s="35"/>
      <c r="W67" s="35"/>
      <c r="X67" s="35"/>
      <c r="Y67" s="35"/>
      <c r="Z67" s="35"/>
      <c r="AA67" s="35"/>
      <c r="AB67" s="35"/>
      <c r="AC67" s="35"/>
      <c r="AD67" s="42">
        <f t="shared" si="2"/>
        <v>0</v>
      </c>
      <c r="AE67" s="43"/>
      <c r="AF67" s="43"/>
    </row>
    <row r="68" spans="1:32" hidden="1" x14ac:dyDescent="0.2">
      <c r="A68" s="28"/>
      <c r="B68" s="29"/>
      <c r="C68" s="47"/>
      <c r="D68" s="47"/>
      <c r="E68" s="48"/>
      <c r="F68" s="56">
        <v>34</v>
      </c>
      <c r="G68" s="30"/>
      <c r="H68" s="29"/>
      <c r="I68" s="35"/>
      <c r="J68" s="35"/>
      <c r="K68" s="35"/>
      <c r="L68" s="35"/>
      <c r="M68" s="35"/>
      <c r="N68" s="35"/>
      <c r="O68" s="35"/>
      <c r="P68" s="35"/>
      <c r="Q68" s="35"/>
      <c r="R68" s="35"/>
      <c r="S68" s="35"/>
      <c r="T68" s="35"/>
      <c r="U68" s="35"/>
      <c r="V68" s="35"/>
      <c r="W68" s="35"/>
      <c r="X68" s="35"/>
      <c r="Y68" s="35"/>
      <c r="Z68" s="35"/>
      <c r="AA68" s="35"/>
      <c r="AB68" s="35"/>
      <c r="AC68" s="35"/>
      <c r="AD68" s="42">
        <f t="shared" si="2"/>
        <v>0</v>
      </c>
      <c r="AE68" s="43"/>
      <c r="AF68" s="43"/>
    </row>
    <row r="69" spans="1:32" hidden="1" x14ac:dyDescent="0.2">
      <c r="A69" s="28"/>
      <c r="B69" s="29"/>
      <c r="C69" s="47"/>
      <c r="D69" s="47"/>
      <c r="E69" s="48"/>
      <c r="F69" s="56">
        <v>35</v>
      </c>
      <c r="G69" s="63"/>
      <c r="H69" s="29"/>
      <c r="I69" s="35"/>
      <c r="J69" s="35"/>
      <c r="K69" s="35"/>
      <c r="L69" s="35"/>
      <c r="M69" s="35"/>
      <c r="N69" s="35"/>
      <c r="O69" s="35"/>
      <c r="P69" s="35"/>
      <c r="Q69" s="35"/>
      <c r="R69" s="35"/>
      <c r="S69" s="35"/>
      <c r="T69" s="35"/>
      <c r="U69" s="35"/>
      <c r="V69" s="35"/>
      <c r="W69" s="35"/>
      <c r="X69" s="35"/>
      <c r="Y69" s="35"/>
      <c r="Z69" s="35"/>
      <c r="AA69" s="35"/>
      <c r="AB69" s="35"/>
      <c r="AC69" s="35"/>
      <c r="AD69" s="42">
        <f t="shared" si="2"/>
        <v>0</v>
      </c>
      <c r="AE69" s="43"/>
      <c r="AF69" s="43"/>
    </row>
    <row r="70" spans="1:32" hidden="1" x14ac:dyDescent="0.2">
      <c r="A70" s="28"/>
      <c r="B70" s="29"/>
      <c r="C70" s="47"/>
      <c r="D70" s="47"/>
      <c r="E70" s="48"/>
      <c r="F70" s="56">
        <v>36</v>
      </c>
      <c r="G70" s="63"/>
      <c r="H70" s="29"/>
      <c r="I70" s="35"/>
      <c r="J70" s="35"/>
      <c r="K70" s="35"/>
      <c r="L70" s="35"/>
      <c r="M70" s="35"/>
      <c r="N70" s="35"/>
      <c r="O70" s="35"/>
      <c r="P70" s="35"/>
      <c r="Q70" s="35"/>
      <c r="R70" s="35"/>
      <c r="S70" s="35"/>
      <c r="T70" s="35"/>
      <c r="U70" s="35"/>
      <c r="V70" s="35"/>
      <c r="W70" s="35"/>
      <c r="X70" s="35"/>
      <c r="Y70" s="35"/>
      <c r="Z70" s="35"/>
      <c r="AA70" s="35"/>
      <c r="AB70" s="35"/>
      <c r="AC70" s="35"/>
      <c r="AD70" s="42">
        <f t="shared" si="2"/>
        <v>0</v>
      </c>
      <c r="AE70" s="43"/>
      <c r="AF70" s="43"/>
    </row>
    <row r="71" spans="1:32" hidden="1" x14ac:dyDescent="0.2">
      <c r="A71" s="28"/>
      <c r="B71" s="29"/>
      <c r="C71" s="47"/>
      <c r="D71" s="47"/>
      <c r="E71" s="48"/>
      <c r="F71" s="56">
        <v>37</v>
      </c>
      <c r="G71" s="63"/>
      <c r="H71" s="29"/>
      <c r="I71" s="35"/>
      <c r="J71" s="35"/>
      <c r="K71" s="35"/>
      <c r="L71" s="35"/>
      <c r="M71" s="35"/>
      <c r="N71" s="35"/>
      <c r="O71" s="35"/>
      <c r="P71" s="35"/>
      <c r="Q71" s="35"/>
      <c r="R71" s="35"/>
      <c r="S71" s="35"/>
      <c r="T71" s="35"/>
      <c r="U71" s="35"/>
      <c r="V71" s="35"/>
      <c r="W71" s="35"/>
      <c r="X71" s="35"/>
      <c r="Y71" s="35"/>
      <c r="Z71" s="35"/>
      <c r="AA71" s="35"/>
      <c r="AB71" s="35"/>
      <c r="AC71" s="35"/>
      <c r="AD71" s="42">
        <f t="shared" si="2"/>
        <v>0</v>
      </c>
      <c r="AE71" s="43"/>
      <c r="AF71" s="43"/>
    </row>
    <row r="72" spans="1:32" hidden="1" x14ac:dyDescent="0.2">
      <c r="A72" s="28"/>
      <c r="B72" s="29"/>
      <c r="C72" s="47"/>
      <c r="D72" s="47"/>
      <c r="E72" s="48"/>
      <c r="F72" s="56">
        <v>38</v>
      </c>
      <c r="G72" s="63"/>
      <c r="H72" s="29"/>
      <c r="I72" s="35"/>
      <c r="J72" s="35"/>
      <c r="K72" s="35"/>
      <c r="L72" s="35"/>
      <c r="M72" s="35"/>
      <c r="N72" s="35"/>
      <c r="O72" s="35"/>
      <c r="P72" s="35"/>
      <c r="Q72" s="35"/>
      <c r="R72" s="35"/>
      <c r="S72" s="35"/>
      <c r="T72" s="35"/>
      <c r="U72" s="35"/>
      <c r="V72" s="35"/>
      <c r="W72" s="35"/>
      <c r="X72" s="35"/>
      <c r="Y72" s="35"/>
      <c r="Z72" s="35"/>
      <c r="AA72" s="35"/>
      <c r="AB72" s="35"/>
      <c r="AC72" s="35"/>
      <c r="AD72" s="42">
        <f t="shared" si="2"/>
        <v>0</v>
      </c>
      <c r="AE72" s="43"/>
      <c r="AF72" s="43"/>
    </row>
    <row r="73" spans="1:32" hidden="1" x14ac:dyDescent="0.2">
      <c r="A73" s="28"/>
      <c r="B73" s="29"/>
      <c r="C73" s="47"/>
      <c r="D73" s="47"/>
      <c r="E73" s="48"/>
      <c r="F73" s="56">
        <v>39</v>
      </c>
      <c r="G73" s="65"/>
      <c r="H73" s="29"/>
      <c r="I73" s="35"/>
      <c r="J73" s="35"/>
      <c r="K73" s="35"/>
      <c r="L73" s="35"/>
      <c r="M73" s="35"/>
      <c r="N73" s="35"/>
      <c r="O73" s="35"/>
      <c r="P73" s="35"/>
      <c r="Q73" s="35"/>
      <c r="R73" s="35"/>
      <c r="S73" s="35"/>
      <c r="T73" s="35"/>
      <c r="U73" s="35"/>
      <c r="V73" s="35"/>
      <c r="W73" s="35"/>
      <c r="X73" s="35"/>
      <c r="Y73" s="35"/>
      <c r="Z73" s="35"/>
      <c r="AA73" s="35"/>
      <c r="AB73" s="35"/>
      <c r="AC73" s="35"/>
      <c r="AD73" s="42">
        <f t="shared" si="2"/>
        <v>0</v>
      </c>
      <c r="AE73" s="43"/>
      <c r="AF73" s="43"/>
    </row>
    <row r="74" spans="1:32" hidden="1" x14ac:dyDescent="0.2">
      <c r="A74" s="28"/>
      <c r="B74" s="29"/>
      <c r="C74" s="47"/>
      <c r="D74" s="47"/>
      <c r="E74" s="48"/>
      <c r="F74" s="56">
        <v>40</v>
      </c>
      <c r="G74" s="30"/>
      <c r="H74" s="29"/>
      <c r="I74" s="35"/>
      <c r="J74" s="35"/>
      <c r="K74" s="35"/>
      <c r="L74" s="35"/>
      <c r="M74" s="35"/>
      <c r="N74" s="35"/>
      <c r="O74" s="35"/>
      <c r="P74" s="35"/>
      <c r="Q74" s="35"/>
      <c r="R74" s="35"/>
      <c r="S74" s="35"/>
      <c r="T74" s="35"/>
      <c r="U74" s="35"/>
      <c r="V74" s="35"/>
      <c r="W74" s="35"/>
      <c r="X74" s="35"/>
      <c r="Y74" s="35"/>
      <c r="Z74" s="35"/>
      <c r="AA74" s="35"/>
      <c r="AB74" s="35"/>
      <c r="AC74" s="35"/>
      <c r="AD74" s="42">
        <f t="shared" si="2"/>
        <v>0</v>
      </c>
      <c r="AE74" s="43"/>
      <c r="AF74" s="43"/>
    </row>
    <row r="75" spans="1:32" hidden="1" x14ac:dyDescent="0.2">
      <c r="A75" s="28"/>
      <c r="B75" s="29"/>
      <c r="C75" s="47"/>
      <c r="D75" s="47"/>
      <c r="E75" s="48"/>
      <c r="F75" s="56">
        <v>41</v>
      </c>
      <c r="G75" s="30"/>
      <c r="H75" s="29"/>
      <c r="I75" s="35"/>
      <c r="J75" s="35"/>
      <c r="K75" s="35"/>
      <c r="L75" s="35"/>
      <c r="M75" s="35"/>
      <c r="N75" s="35"/>
      <c r="O75" s="35"/>
      <c r="P75" s="35"/>
      <c r="Q75" s="35"/>
      <c r="R75" s="35"/>
      <c r="S75" s="35"/>
      <c r="T75" s="35"/>
      <c r="U75" s="35"/>
      <c r="V75" s="35"/>
      <c r="W75" s="35"/>
      <c r="X75" s="35"/>
      <c r="Y75" s="35"/>
      <c r="Z75" s="35"/>
      <c r="AA75" s="35"/>
      <c r="AB75" s="35"/>
      <c r="AC75" s="35"/>
      <c r="AD75" s="42">
        <f t="shared" si="2"/>
        <v>0</v>
      </c>
      <c r="AE75" s="43"/>
      <c r="AF75" s="43"/>
    </row>
    <row r="76" spans="1:32" hidden="1" x14ac:dyDescent="0.2">
      <c r="A76" s="28"/>
      <c r="B76" s="29"/>
      <c r="C76" s="47"/>
      <c r="D76" s="47"/>
      <c r="E76" s="48"/>
      <c r="F76" s="56">
        <v>42</v>
      </c>
      <c r="G76" s="30"/>
      <c r="H76" s="29"/>
      <c r="I76" s="35"/>
      <c r="J76" s="35"/>
      <c r="K76" s="35"/>
      <c r="L76" s="35"/>
      <c r="M76" s="35"/>
      <c r="N76" s="35"/>
      <c r="O76" s="35"/>
      <c r="P76" s="35"/>
      <c r="Q76" s="35"/>
      <c r="R76" s="35"/>
      <c r="S76" s="35"/>
      <c r="T76" s="35"/>
      <c r="U76" s="35"/>
      <c r="V76" s="35"/>
      <c r="W76" s="35"/>
      <c r="X76" s="35"/>
      <c r="Y76" s="35"/>
      <c r="Z76" s="35"/>
      <c r="AA76" s="35"/>
      <c r="AB76" s="35"/>
      <c r="AC76" s="35"/>
      <c r="AD76" s="42">
        <f t="shared" si="2"/>
        <v>0</v>
      </c>
      <c r="AE76" s="43"/>
      <c r="AF76" s="43"/>
    </row>
    <row r="77" spans="1:32" hidden="1" x14ac:dyDescent="0.2">
      <c r="A77" s="28"/>
      <c r="B77" s="29"/>
      <c r="C77" s="47"/>
      <c r="D77" s="47"/>
      <c r="E77" s="48"/>
      <c r="F77" s="56">
        <v>43</v>
      </c>
      <c r="G77" s="30"/>
      <c r="H77" s="29"/>
      <c r="I77" s="35"/>
      <c r="J77" s="35"/>
      <c r="K77" s="35"/>
      <c r="L77" s="35"/>
      <c r="M77" s="35"/>
      <c r="N77" s="35"/>
      <c r="O77" s="35"/>
      <c r="P77" s="35"/>
      <c r="Q77" s="35"/>
      <c r="R77" s="35"/>
      <c r="S77" s="35"/>
      <c r="T77" s="35"/>
      <c r="U77" s="35"/>
      <c r="V77" s="35"/>
      <c r="W77" s="35"/>
      <c r="X77" s="35"/>
      <c r="Y77" s="35"/>
      <c r="Z77" s="35"/>
      <c r="AA77" s="35"/>
      <c r="AB77" s="35"/>
      <c r="AC77" s="35"/>
      <c r="AD77" s="42">
        <f t="shared" si="2"/>
        <v>0</v>
      </c>
      <c r="AE77" s="43"/>
      <c r="AF77" s="43"/>
    </row>
    <row r="78" spans="1:32" hidden="1" x14ac:dyDescent="0.2">
      <c r="A78" s="28"/>
      <c r="B78" s="29"/>
      <c r="C78" s="47"/>
      <c r="D78" s="47"/>
      <c r="E78" s="48"/>
      <c r="F78" s="56">
        <v>44</v>
      </c>
      <c r="G78" s="30"/>
      <c r="H78" s="29"/>
      <c r="I78" s="35"/>
      <c r="J78" s="35"/>
      <c r="K78" s="35"/>
      <c r="L78" s="35"/>
      <c r="M78" s="35"/>
      <c r="N78" s="35"/>
      <c r="O78" s="35"/>
      <c r="P78" s="35"/>
      <c r="Q78" s="35"/>
      <c r="R78" s="35"/>
      <c r="S78" s="35"/>
      <c r="T78" s="35"/>
      <c r="U78" s="35"/>
      <c r="V78" s="35"/>
      <c r="W78" s="35"/>
      <c r="X78" s="35"/>
      <c r="Y78" s="35"/>
      <c r="Z78" s="35"/>
      <c r="AA78" s="35"/>
      <c r="AB78" s="35"/>
      <c r="AC78" s="35"/>
      <c r="AD78" s="42">
        <f t="shared" ref="AD78:AD106" si="3">SUM(I78:AC78)</f>
        <v>0</v>
      </c>
      <c r="AE78" s="43"/>
      <c r="AF78" s="43"/>
    </row>
    <row r="79" spans="1:32" hidden="1" x14ac:dyDescent="0.2">
      <c r="A79" s="28"/>
      <c r="B79" s="29"/>
      <c r="C79" s="47"/>
      <c r="D79" s="47"/>
      <c r="E79" s="48"/>
      <c r="F79" s="56">
        <v>45</v>
      </c>
      <c r="G79" s="30"/>
      <c r="H79" s="29"/>
      <c r="I79" s="35"/>
      <c r="J79" s="35"/>
      <c r="K79" s="35"/>
      <c r="L79" s="35"/>
      <c r="M79" s="35"/>
      <c r="N79" s="35"/>
      <c r="O79" s="35"/>
      <c r="P79" s="35"/>
      <c r="Q79" s="35"/>
      <c r="R79" s="35"/>
      <c r="S79" s="35"/>
      <c r="T79" s="35"/>
      <c r="U79" s="35"/>
      <c r="V79" s="35"/>
      <c r="W79" s="35"/>
      <c r="X79" s="35"/>
      <c r="Y79" s="35"/>
      <c r="Z79" s="35"/>
      <c r="AA79" s="35"/>
      <c r="AB79" s="35"/>
      <c r="AC79" s="35"/>
      <c r="AD79" s="42">
        <f t="shared" si="3"/>
        <v>0</v>
      </c>
      <c r="AE79" s="43"/>
      <c r="AF79" s="43"/>
    </row>
    <row r="80" spans="1:32" hidden="1" x14ac:dyDescent="0.2">
      <c r="A80" s="28"/>
      <c r="B80" s="29"/>
      <c r="C80" s="47"/>
      <c r="D80" s="47"/>
      <c r="E80" s="48"/>
      <c r="F80" s="56">
        <v>46</v>
      </c>
      <c r="G80" s="30"/>
      <c r="H80" s="29"/>
      <c r="I80" s="35"/>
      <c r="J80" s="35"/>
      <c r="K80" s="35"/>
      <c r="L80" s="35"/>
      <c r="M80" s="35"/>
      <c r="N80" s="35"/>
      <c r="O80" s="35"/>
      <c r="P80" s="35"/>
      <c r="Q80" s="35"/>
      <c r="R80" s="35"/>
      <c r="S80" s="35"/>
      <c r="T80" s="35"/>
      <c r="U80" s="35"/>
      <c r="V80" s="35"/>
      <c r="W80" s="35"/>
      <c r="X80" s="35"/>
      <c r="Y80" s="35"/>
      <c r="Z80" s="35"/>
      <c r="AA80" s="35"/>
      <c r="AB80" s="35"/>
      <c r="AC80" s="35"/>
      <c r="AD80" s="42">
        <f t="shared" si="3"/>
        <v>0</v>
      </c>
      <c r="AE80" s="43"/>
      <c r="AF80" s="43"/>
    </row>
    <row r="81" spans="1:33" hidden="1" x14ac:dyDescent="0.2">
      <c r="A81" s="28"/>
      <c r="B81" s="29"/>
      <c r="C81" s="47"/>
      <c r="D81" s="47"/>
      <c r="E81" s="48"/>
      <c r="F81" s="56">
        <v>47</v>
      </c>
      <c r="G81" s="30"/>
      <c r="H81" s="29"/>
      <c r="I81" s="35"/>
      <c r="J81" s="35"/>
      <c r="K81" s="35"/>
      <c r="L81" s="35"/>
      <c r="M81" s="35"/>
      <c r="N81" s="35"/>
      <c r="O81" s="35"/>
      <c r="P81" s="35"/>
      <c r="Q81" s="35"/>
      <c r="R81" s="35"/>
      <c r="S81" s="35"/>
      <c r="T81" s="35"/>
      <c r="U81" s="35"/>
      <c r="V81" s="35"/>
      <c r="W81" s="35"/>
      <c r="X81" s="35"/>
      <c r="Y81" s="35"/>
      <c r="Z81" s="35"/>
      <c r="AA81" s="35"/>
      <c r="AB81" s="35"/>
      <c r="AC81" s="35"/>
      <c r="AD81" s="42">
        <f t="shared" si="3"/>
        <v>0</v>
      </c>
      <c r="AE81" s="43"/>
      <c r="AF81" s="43"/>
    </row>
    <row r="82" spans="1:33" hidden="1" x14ac:dyDescent="0.2">
      <c r="A82" s="28"/>
      <c r="B82" s="29"/>
      <c r="C82" s="47"/>
      <c r="D82" s="47"/>
      <c r="E82" s="48"/>
      <c r="F82" s="56">
        <v>48</v>
      </c>
      <c r="G82" s="30"/>
      <c r="H82" s="29"/>
      <c r="I82" s="35"/>
      <c r="J82" s="35"/>
      <c r="K82" s="35"/>
      <c r="L82" s="35"/>
      <c r="M82" s="35"/>
      <c r="N82" s="35"/>
      <c r="O82" s="35"/>
      <c r="P82" s="35"/>
      <c r="Q82" s="35"/>
      <c r="R82" s="35"/>
      <c r="S82" s="35"/>
      <c r="T82" s="35"/>
      <c r="U82" s="35"/>
      <c r="V82" s="35"/>
      <c r="W82" s="35"/>
      <c r="X82" s="35"/>
      <c r="Y82" s="35"/>
      <c r="Z82" s="35"/>
      <c r="AA82" s="35"/>
      <c r="AB82" s="35"/>
      <c r="AC82" s="35"/>
      <c r="AD82" s="42">
        <f t="shared" si="3"/>
        <v>0</v>
      </c>
      <c r="AE82" s="43"/>
      <c r="AF82" s="43"/>
    </row>
    <row r="83" spans="1:33" hidden="1" x14ac:dyDescent="0.2">
      <c r="A83" s="28"/>
      <c r="B83" s="29"/>
      <c r="C83" s="47"/>
      <c r="D83" s="47"/>
      <c r="E83" s="48"/>
      <c r="F83" s="56">
        <v>49</v>
      </c>
      <c r="G83" s="30"/>
      <c r="H83" s="29"/>
      <c r="I83" s="35"/>
      <c r="J83" s="35"/>
      <c r="K83" s="35"/>
      <c r="L83" s="35"/>
      <c r="M83" s="35"/>
      <c r="N83" s="35"/>
      <c r="O83" s="35"/>
      <c r="P83" s="35"/>
      <c r="Q83" s="35"/>
      <c r="R83" s="35"/>
      <c r="S83" s="35"/>
      <c r="T83" s="35"/>
      <c r="U83" s="35"/>
      <c r="V83" s="35"/>
      <c r="W83" s="35"/>
      <c r="X83" s="35"/>
      <c r="Y83" s="35"/>
      <c r="Z83" s="35"/>
      <c r="AA83" s="35"/>
      <c r="AB83" s="35"/>
      <c r="AC83" s="35"/>
      <c r="AD83" s="42">
        <f t="shared" si="3"/>
        <v>0</v>
      </c>
      <c r="AE83" s="43"/>
      <c r="AF83" s="43"/>
    </row>
    <row r="84" spans="1:33" hidden="1" x14ac:dyDescent="0.2">
      <c r="A84" s="28"/>
      <c r="B84" s="29"/>
      <c r="C84" s="47"/>
      <c r="D84" s="47"/>
      <c r="E84" s="48"/>
      <c r="F84" s="56">
        <v>50</v>
      </c>
      <c r="G84" s="30"/>
      <c r="H84" s="29"/>
      <c r="I84" s="35"/>
      <c r="J84" s="35"/>
      <c r="K84" s="35"/>
      <c r="L84" s="35"/>
      <c r="M84" s="35"/>
      <c r="N84" s="35"/>
      <c r="O84" s="35"/>
      <c r="P84" s="35"/>
      <c r="Q84" s="35"/>
      <c r="R84" s="35"/>
      <c r="S84" s="35"/>
      <c r="T84" s="35"/>
      <c r="U84" s="35"/>
      <c r="V84" s="35"/>
      <c r="W84" s="35"/>
      <c r="X84" s="35"/>
      <c r="Y84" s="35"/>
      <c r="Z84" s="35"/>
      <c r="AA84" s="35"/>
      <c r="AB84" s="35"/>
      <c r="AC84" s="35"/>
      <c r="AD84" s="42">
        <f t="shared" si="3"/>
        <v>0</v>
      </c>
      <c r="AE84" s="43"/>
      <c r="AF84" s="43"/>
    </row>
    <row r="85" spans="1:33" ht="111" customHeight="1" x14ac:dyDescent="0.2">
      <c r="A85" s="28"/>
      <c r="B85" s="29"/>
      <c r="C85" s="48" t="s">
        <v>154</v>
      </c>
      <c r="D85" s="47"/>
      <c r="E85" s="48"/>
      <c r="F85" s="56"/>
      <c r="G85" s="30"/>
      <c r="H85" s="29"/>
      <c r="I85" s="35"/>
      <c r="J85" s="35">
        <v>1</v>
      </c>
      <c r="K85" s="35">
        <v>2</v>
      </c>
      <c r="L85" s="35"/>
      <c r="M85" s="35"/>
      <c r="N85" s="35"/>
      <c r="O85" s="35"/>
      <c r="P85" s="35"/>
      <c r="Q85" s="35"/>
      <c r="R85" s="35">
        <v>1</v>
      </c>
      <c r="S85" s="35"/>
      <c r="T85" s="35"/>
      <c r="U85" s="35"/>
      <c r="V85" s="35"/>
      <c r="W85" s="35"/>
      <c r="X85" s="35"/>
      <c r="Y85" s="111">
        <v>83</v>
      </c>
      <c r="Z85" s="111">
        <v>19</v>
      </c>
      <c r="AA85" s="35"/>
      <c r="AB85" s="35"/>
      <c r="AC85" s="35"/>
      <c r="AD85" s="42"/>
      <c r="AE85" s="112">
        <v>152172</v>
      </c>
      <c r="AF85" s="43"/>
      <c r="AG85" s="45" t="s">
        <v>70</v>
      </c>
    </row>
    <row r="86" spans="1:33" x14ac:dyDescent="0.2">
      <c r="A86" s="174" t="s">
        <v>87</v>
      </c>
      <c r="B86" s="16" t="s">
        <v>88</v>
      </c>
      <c r="C86" s="51"/>
      <c r="D86" s="51"/>
      <c r="E86" s="51"/>
      <c r="F86" s="52"/>
      <c r="G86" s="53"/>
      <c r="H86" s="54"/>
      <c r="I86" s="55"/>
      <c r="J86" s="55"/>
      <c r="K86" s="55"/>
      <c r="L86" s="55"/>
      <c r="M86" s="55"/>
      <c r="N86" s="55"/>
      <c r="O86" s="55"/>
      <c r="P86" s="55"/>
      <c r="Q86" s="55"/>
      <c r="R86" s="55"/>
      <c r="S86" s="55"/>
      <c r="T86" s="55"/>
      <c r="U86" s="55"/>
      <c r="V86" s="55"/>
      <c r="W86" s="55"/>
      <c r="X86" s="55"/>
      <c r="Y86" s="55"/>
      <c r="Z86" s="55"/>
      <c r="AA86" s="55"/>
      <c r="AB86" s="55"/>
      <c r="AC86" s="55"/>
      <c r="AD86" s="42">
        <f t="shared" si="3"/>
        <v>0</v>
      </c>
      <c r="AE86" s="43"/>
      <c r="AF86" s="43"/>
    </row>
    <row r="87" spans="1:33" ht="39.75" customHeight="1" x14ac:dyDescent="0.2">
      <c r="A87" s="174"/>
      <c r="B87" s="29"/>
      <c r="C87" s="47" t="s">
        <v>89</v>
      </c>
      <c r="D87" s="47" t="s">
        <v>90</v>
      </c>
      <c r="E87" s="48" t="s">
        <v>91</v>
      </c>
      <c r="F87" s="49"/>
      <c r="G87" s="30"/>
      <c r="H87" s="29"/>
      <c r="I87" s="35"/>
      <c r="J87" s="35"/>
      <c r="K87" s="35">
        <v>0.25</v>
      </c>
      <c r="L87" s="35">
        <v>0.25</v>
      </c>
      <c r="M87" s="35"/>
      <c r="N87" s="35"/>
      <c r="O87" s="35"/>
      <c r="P87" s="35"/>
      <c r="Q87" s="35"/>
      <c r="R87" s="35"/>
      <c r="S87" s="35"/>
      <c r="T87" s="35"/>
      <c r="U87" s="35"/>
      <c r="V87" s="35"/>
      <c r="W87" s="35"/>
      <c r="X87" s="35"/>
      <c r="Y87" s="35"/>
      <c r="Z87" s="35"/>
      <c r="AA87" s="35"/>
      <c r="AB87" s="35"/>
      <c r="AC87" s="35"/>
      <c r="AD87" s="42">
        <f t="shared" si="3"/>
        <v>0.5</v>
      </c>
      <c r="AE87" s="43"/>
      <c r="AF87" s="43"/>
    </row>
    <row r="88" spans="1:33" ht="18" customHeight="1" x14ac:dyDescent="0.2">
      <c r="A88" s="174"/>
      <c r="B88" s="29"/>
      <c r="C88" s="47" t="s">
        <v>92</v>
      </c>
      <c r="D88" s="47"/>
      <c r="E88" s="48" t="s">
        <v>93</v>
      </c>
      <c r="F88" s="49"/>
      <c r="G88" s="30"/>
      <c r="H88" s="29"/>
      <c r="I88" s="35"/>
      <c r="J88" s="35"/>
      <c r="K88" s="35">
        <v>0.25</v>
      </c>
      <c r="L88" s="35">
        <v>0.25</v>
      </c>
      <c r="M88" s="35"/>
      <c r="N88" s="35"/>
      <c r="O88" s="35"/>
      <c r="P88" s="35"/>
      <c r="Q88" s="35"/>
      <c r="R88" s="35"/>
      <c r="S88" s="35"/>
      <c r="T88" s="35"/>
      <c r="U88" s="35"/>
      <c r="V88" s="35"/>
      <c r="W88" s="35"/>
      <c r="X88" s="35"/>
      <c r="Y88" s="35"/>
      <c r="Z88" s="35"/>
      <c r="AA88" s="35"/>
      <c r="AB88" s="35"/>
      <c r="AC88" s="35"/>
      <c r="AD88" s="42">
        <f t="shared" si="3"/>
        <v>0.5</v>
      </c>
      <c r="AE88" s="43"/>
      <c r="AF88" s="43"/>
    </row>
    <row r="89" spans="1:33" ht="19.5" customHeight="1" x14ac:dyDescent="0.2">
      <c r="A89" s="174"/>
      <c r="B89" s="29"/>
      <c r="C89" s="47" t="s">
        <v>94</v>
      </c>
      <c r="D89" s="47"/>
      <c r="E89" s="48" t="s">
        <v>95</v>
      </c>
      <c r="F89" s="49"/>
      <c r="G89" s="30"/>
      <c r="H89" s="29">
        <v>1</v>
      </c>
      <c r="I89" s="35"/>
      <c r="J89" s="35"/>
      <c r="K89" s="35"/>
      <c r="L89" s="35"/>
      <c r="M89" s="35"/>
      <c r="N89" s="35"/>
      <c r="O89" s="35"/>
      <c r="P89" s="35"/>
      <c r="Q89" s="35"/>
      <c r="R89" s="35"/>
      <c r="S89" s="35"/>
      <c r="T89" s="35"/>
      <c r="U89" s="35"/>
      <c r="V89" s="35"/>
      <c r="W89" s="35"/>
      <c r="X89" s="35"/>
      <c r="Y89" s="35"/>
      <c r="Z89" s="35"/>
      <c r="AA89" s="35"/>
      <c r="AB89" s="35"/>
      <c r="AC89" s="35"/>
      <c r="AD89" s="42">
        <f t="shared" si="3"/>
        <v>0</v>
      </c>
      <c r="AE89" s="43"/>
      <c r="AF89" s="43"/>
    </row>
    <row r="90" spans="1:33" ht="57" customHeight="1" x14ac:dyDescent="0.2">
      <c r="A90" s="174"/>
      <c r="B90" s="29"/>
      <c r="C90" s="47" t="s">
        <v>96</v>
      </c>
      <c r="D90" s="47"/>
      <c r="E90" s="48" t="s">
        <v>97</v>
      </c>
      <c r="F90" s="49"/>
      <c r="G90" s="30"/>
      <c r="H90" s="29"/>
      <c r="I90" s="35"/>
      <c r="J90" s="35">
        <v>1</v>
      </c>
      <c r="K90" s="35">
        <v>2</v>
      </c>
      <c r="L90" s="35">
        <v>0.5</v>
      </c>
      <c r="M90" s="35"/>
      <c r="N90" s="35"/>
      <c r="O90" s="35"/>
      <c r="P90" s="35"/>
      <c r="Q90" s="35"/>
      <c r="R90" s="35">
        <v>1.5</v>
      </c>
      <c r="S90" s="35"/>
      <c r="T90" s="35"/>
      <c r="U90" s="35"/>
      <c r="V90" s="35"/>
      <c r="W90" s="35"/>
      <c r="X90" s="35"/>
      <c r="Y90" s="35"/>
      <c r="Z90" s="35"/>
      <c r="AA90" s="35"/>
      <c r="AB90" s="35"/>
      <c r="AC90" s="35"/>
      <c r="AD90" s="42">
        <f t="shared" si="3"/>
        <v>5</v>
      </c>
      <c r="AE90" s="43"/>
      <c r="AF90" s="43"/>
    </row>
    <row r="91" spans="1:33" ht="16.5" customHeight="1" x14ac:dyDescent="0.2">
      <c r="A91" s="174"/>
      <c r="B91" s="29"/>
      <c r="C91" s="47" t="s">
        <v>98</v>
      </c>
      <c r="D91" s="47"/>
      <c r="E91" s="48" t="s">
        <v>99</v>
      </c>
      <c r="F91" s="49"/>
      <c r="G91" s="30"/>
      <c r="H91" s="29"/>
      <c r="I91" s="35"/>
      <c r="J91" s="35"/>
      <c r="K91" s="35"/>
      <c r="L91" s="35"/>
      <c r="M91" s="35"/>
      <c r="N91" s="35"/>
      <c r="O91" s="35"/>
      <c r="P91" s="35"/>
      <c r="Q91" s="35"/>
      <c r="R91" s="35"/>
      <c r="S91" s="35"/>
      <c r="T91" s="35"/>
      <c r="U91" s="35"/>
      <c r="V91" s="35"/>
      <c r="W91" s="35"/>
      <c r="X91" s="35"/>
      <c r="Y91" s="35"/>
      <c r="Z91" s="35"/>
      <c r="AA91" s="35"/>
      <c r="AB91" s="35"/>
      <c r="AC91" s="35"/>
      <c r="AD91" s="42">
        <f t="shared" si="3"/>
        <v>0</v>
      </c>
      <c r="AE91" s="43"/>
      <c r="AF91" s="43"/>
    </row>
    <row r="92" spans="1:33" ht="15" customHeight="1" x14ac:dyDescent="0.2">
      <c r="A92" s="174"/>
      <c r="B92" s="29"/>
      <c r="C92" s="47" t="s">
        <v>100</v>
      </c>
      <c r="D92" s="47"/>
      <c r="E92" s="47" t="s">
        <v>100</v>
      </c>
      <c r="F92" s="50"/>
      <c r="G92" s="30"/>
      <c r="H92" s="29"/>
      <c r="I92" s="35"/>
      <c r="J92" s="35"/>
      <c r="K92" s="35"/>
      <c r="L92" s="35"/>
      <c r="M92" s="35"/>
      <c r="N92" s="35"/>
      <c r="O92" s="35"/>
      <c r="P92" s="35"/>
      <c r="Q92" s="35"/>
      <c r="R92" s="35"/>
      <c r="S92" s="35"/>
      <c r="T92" s="35"/>
      <c r="U92" s="35"/>
      <c r="V92" s="35"/>
      <c r="W92" s="35"/>
      <c r="X92" s="35"/>
      <c r="Y92" s="35"/>
      <c r="Z92" s="35"/>
      <c r="AA92" s="35"/>
      <c r="AB92" s="35"/>
      <c r="AC92" s="35"/>
      <c r="AD92" s="42">
        <f t="shared" si="3"/>
        <v>0</v>
      </c>
      <c r="AE92" s="43"/>
      <c r="AF92" s="43"/>
    </row>
    <row r="93" spans="1:33" x14ac:dyDescent="0.2">
      <c r="A93" s="174" t="s">
        <v>101</v>
      </c>
      <c r="B93" s="16" t="s">
        <v>102</v>
      </c>
      <c r="C93" s="51"/>
      <c r="D93" s="51"/>
      <c r="E93" s="51"/>
      <c r="F93" s="52"/>
      <c r="G93" s="66"/>
      <c r="H93" s="51"/>
      <c r="I93" s="67"/>
      <c r="J93" s="67"/>
      <c r="K93" s="67"/>
      <c r="L93" s="67"/>
      <c r="M93" s="67"/>
      <c r="N93" s="67"/>
      <c r="O93" s="67"/>
      <c r="P93" s="67"/>
      <c r="Q93" s="67"/>
      <c r="R93" s="67"/>
      <c r="S93" s="67"/>
      <c r="T93" s="67"/>
      <c r="U93" s="67"/>
      <c r="V93" s="67"/>
      <c r="W93" s="67"/>
      <c r="X93" s="67"/>
      <c r="Y93" s="67"/>
      <c r="Z93" s="67"/>
      <c r="AA93" s="67"/>
      <c r="AB93" s="67"/>
      <c r="AC93" s="67"/>
      <c r="AD93" s="68">
        <f t="shared" si="3"/>
        <v>0</v>
      </c>
      <c r="AE93" s="69"/>
      <c r="AF93" s="69"/>
    </row>
    <row r="94" spans="1:33" ht="28.5" customHeight="1" x14ac:dyDescent="0.2">
      <c r="A94" s="174"/>
      <c r="B94" s="29"/>
      <c r="C94" s="47" t="s">
        <v>103</v>
      </c>
      <c r="D94" s="47" t="s">
        <v>104</v>
      </c>
      <c r="E94" s="48" t="s">
        <v>105</v>
      </c>
      <c r="F94" s="49"/>
      <c r="G94" s="70"/>
      <c r="H94" s="62"/>
      <c r="I94" s="35"/>
      <c r="J94" s="35"/>
      <c r="K94" s="35">
        <v>0.25</v>
      </c>
      <c r="L94" s="35">
        <v>0.25</v>
      </c>
      <c r="M94" s="35"/>
      <c r="N94" s="35"/>
      <c r="O94" s="35"/>
      <c r="P94" s="35"/>
      <c r="Q94" s="35"/>
      <c r="R94" s="35"/>
      <c r="S94" s="35"/>
      <c r="T94" s="35"/>
      <c r="U94" s="35"/>
      <c r="V94" s="35"/>
      <c r="W94" s="35"/>
      <c r="X94" s="35"/>
      <c r="Y94" s="35"/>
      <c r="Z94" s="35"/>
      <c r="AA94" s="35"/>
      <c r="AB94" s="35"/>
      <c r="AC94" s="35"/>
      <c r="AD94" s="42">
        <f t="shared" si="3"/>
        <v>0.5</v>
      </c>
      <c r="AE94" s="43"/>
      <c r="AF94" s="43"/>
    </row>
    <row r="95" spans="1:33" ht="40.5" customHeight="1" x14ac:dyDescent="0.2">
      <c r="A95" s="174"/>
      <c r="B95" s="29"/>
      <c r="C95" s="47" t="s">
        <v>106</v>
      </c>
      <c r="D95" s="47" t="s">
        <v>104</v>
      </c>
      <c r="E95" s="48" t="s">
        <v>107</v>
      </c>
      <c r="F95" s="49"/>
      <c r="G95" s="70"/>
      <c r="H95" s="62"/>
      <c r="I95" s="35"/>
      <c r="J95" s="35"/>
      <c r="K95" s="35">
        <v>0.25</v>
      </c>
      <c r="L95" s="35">
        <v>0.25</v>
      </c>
      <c r="M95" s="35"/>
      <c r="N95" s="35"/>
      <c r="O95" s="35"/>
      <c r="P95" s="35"/>
      <c r="Q95" s="35"/>
      <c r="R95" s="35"/>
      <c r="S95" s="35"/>
      <c r="T95" s="35"/>
      <c r="U95" s="35"/>
      <c r="V95" s="35"/>
      <c r="W95" s="35"/>
      <c r="X95" s="35"/>
      <c r="Y95" s="35"/>
      <c r="Z95" s="35"/>
      <c r="AA95" s="35">
        <v>3</v>
      </c>
      <c r="AB95" s="35"/>
      <c r="AC95" s="35"/>
      <c r="AD95" s="42">
        <f t="shared" si="3"/>
        <v>3.5</v>
      </c>
      <c r="AE95" s="43"/>
      <c r="AF95" s="43"/>
    </row>
    <row r="96" spans="1:33" ht="36.75" customHeight="1" x14ac:dyDescent="0.2">
      <c r="A96" s="174"/>
      <c r="B96" s="29"/>
      <c r="C96" s="47" t="s">
        <v>108</v>
      </c>
      <c r="D96" s="47" t="s">
        <v>104</v>
      </c>
      <c r="E96" s="48" t="s">
        <v>109</v>
      </c>
      <c r="F96" s="49"/>
      <c r="G96" s="70"/>
      <c r="H96" s="62"/>
      <c r="I96" s="35"/>
      <c r="J96" s="35"/>
      <c r="K96" s="35">
        <v>0.5</v>
      </c>
      <c r="L96" s="35">
        <v>0.5</v>
      </c>
      <c r="M96" s="35"/>
      <c r="N96" s="35"/>
      <c r="O96" s="35"/>
      <c r="P96" s="35"/>
      <c r="Q96" s="35">
        <v>1</v>
      </c>
      <c r="R96" s="35"/>
      <c r="S96" s="35"/>
      <c r="T96" s="35"/>
      <c r="U96" s="35"/>
      <c r="V96" s="35"/>
      <c r="W96" s="35"/>
      <c r="X96" s="35"/>
      <c r="Y96" s="35"/>
      <c r="Z96" s="35"/>
      <c r="AA96" s="35"/>
      <c r="AB96" s="35"/>
      <c r="AC96" s="35"/>
      <c r="AD96" s="42">
        <f t="shared" si="3"/>
        <v>2</v>
      </c>
      <c r="AE96" s="43"/>
      <c r="AF96" s="43"/>
    </row>
    <row r="97" spans="1:33" ht="38.25" customHeight="1" x14ac:dyDescent="0.2">
      <c r="A97" s="174"/>
      <c r="B97" s="29"/>
      <c r="C97" s="47" t="s">
        <v>110</v>
      </c>
      <c r="D97" s="47" t="s">
        <v>104</v>
      </c>
      <c r="E97" s="48" t="s">
        <v>111</v>
      </c>
      <c r="F97" s="49"/>
      <c r="G97" s="70"/>
      <c r="H97" s="62"/>
      <c r="I97" s="35"/>
      <c r="J97" s="35">
        <v>1</v>
      </c>
      <c r="K97" s="35"/>
      <c r="L97" s="35"/>
      <c r="M97" s="35"/>
      <c r="N97" s="35"/>
      <c r="O97" s="35"/>
      <c r="P97" s="35"/>
      <c r="Q97" s="35"/>
      <c r="R97" s="35"/>
      <c r="S97" s="35"/>
      <c r="T97" s="35"/>
      <c r="U97" s="35"/>
      <c r="V97" s="35"/>
      <c r="W97" s="35"/>
      <c r="X97" s="35"/>
      <c r="Y97" s="35"/>
      <c r="Z97" s="35"/>
      <c r="AA97" s="35"/>
      <c r="AB97" s="35"/>
      <c r="AC97" s="35"/>
      <c r="AD97" s="42">
        <f t="shared" si="3"/>
        <v>1</v>
      </c>
      <c r="AE97" s="43"/>
      <c r="AF97" s="43"/>
    </row>
    <row r="98" spans="1:33" ht="56.25" customHeight="1" x14ac:dyDescent="0.2">
      <c r="A98" s="174"/>
      <c r="B98" s="29"/>
      <c r="C98" s="47" t="s">
        <v>112</v>
      </c>
      <c r="D98" s="47" t="s">
        <v>104</v>
      </c>
      <c r="E98" s="48" t="s">
        <v>113</v>
      </c>
      <c r="F98" s="49"/>
      <c r="G98" s="70"/>
      <c r="H98" s="62"/>
      <c r="I98" s="35"/>
      <c r="J98" s="35"/>
      <c r="K98" s="35">
        <v>0.25</v>
      </c>
      <c r="L98" s="35">
        <v>0.25</v>
      </c>
      <c r="M98" s="35"/>
      <c r="N98" s="35"/>
      <c r="O98" s="35"/>
      <c r="P98" s="35"/>
      <c r="Q98" s="35"/>
      <c r="R98" s="35"/>
      <c r="S98" s="35"/>
      <c r="T98" s="35"/>
      <c r="U98" s="35"/>
      <c r="V98" s="35"/>
      <c r="W98" s="35"/>
      <c r="X98" s="35"/>
      <c r="Y98" s="35"/>
      <c r="Z98" s="35"/>
      <c r="AA98" s="35"/>
      <c r="AB98" s="35"/>
      <c r="AC98" s="35"/>
      <c r="AD98" s="42">
        <f t="shared" si="3"/>
        <v>0.5</v>
      </c>
      <c r="AE98" s="43"/>
      <c r="AF98" s="43"/>
    </row>
    <row r="99" spans="1:33" ht="54.75" customHeight="1" x14ac:dyDescent="0.2">
      <c r="A99" s="174"/>
      <c r="B99" s="29"/>
      <c r="C99" s="47" t="s">
        <v>114</v>
      </c>
      <c r="D99" s="47"/>
      <c r="E99" s="48" t="s">
        <v>115</v>
      </c>
      <c r="F99" s="49"/>
      <c r="G99" s="30"/>
      <c r="H99" s="29"/>
      <c r="I99" s="35"/>
      <c r="J99" s="35"/>
      <c r="K99" s="35">
        <v>0.25</v>
      </c>
      <c r="L99" s="35">
        <v>0.25</v>
      </c>
      <c r="M99" s="35"/>
      <c r="N99" s="35"/>
      <c r="O99" s="35"/>
      <c r="P99" s="35"/>
      <c r="Q99" s="35"/>
      <c r="R99" s="35"/>
      <c r="S99" s="35"/>
      <c r="T99" s="35"/>
      <c r="U99" s="35"/>
      <c r="V99" s="35"/>
      <c r="W99" s="35"/>
      <c r="X99" s="35">
        <v>2</v>
      </c>
      <c r="Y99" s="35"/>
      <c r="Z99" s="35"/>
      <c r="AA99" s="35"/>
      <c r="AB99" s="35"/>
      <c r="AC99" s="35"/>
      <c r="AD99" s="42">
        <f t="shared" si="3"/>
        <v>2.5</v>
      </c>
      <c r="AE99" s="43"/>
      <c r="AF99" s="43"/>
    </row>
    <row r="100" spans="1:33" ht="57" customHeight="1" x14ac:dyDescent="0.2">
      <c r="A100" s="174"/>
      <c r="B100" s="29"/>
      <c r="C100" s="47" t="s">
        <v>116</v>
      </c>
      <c r="D100" s="47"/>
      <c r="E100" s="48" t="s">
        <v>117</v>
      </c>
      <c r="F100" s="49"/>
      <c r="G100" s="30"/>
      <c r="H100" s="29"/>
      <c r="I100" s="35"/>
      <c r="J100" s="35"/>
      <c r="K100" s="35">
        <v>0.5</v>
      </c>
      <c r="L100" s="35"/>
      <c r="M100" s="35"/>
      <c r="N100" s="35"/>
      <c r="O100" s="35"/>
      <c r="P100" s="35"/>
      <c r="Q100" s="35"/>
      <c r="R100" s="35"/>
      <c r="S100" s="35"/>
      <c r="T100" s="35"/>
      <c r="U100" s="35"/>
      <c r="V100" s="35"/>
      <c r="W100" s="35"/>
      <c r="X100" s="35"/>
      <c r="Y100" s="35"/>
      <c r="Z100" s="35"/>
      <c r="AA100" s="35"/>
      <c r="AB100" s="35"/>
      <c r="AC100" s="35"/>
      <c r="AD100" s="42">
        <f t="shared" si="3"/>
        <v>0.5</v>
      </c>
      <c r="AE100" s="43"/>
      <c r="AF100" s="43"/>
    </row>
    <row r="101" spans="1:33" x14ac:dyDescent="0.2">
      <c r="A101" s="174"/>
      <c r="B101" s="29"/>
      <c r="C101" s="47" t="s">
        <v>118</v>
      </c>
      <c r="D101" s="47"/>
      <c r="E101" s="48"/>
      <c r="F101" s="49"/>
      <c r="G101" s="30"/>
      <c r="H101" s="29"/>
      <c r="I101" s="35"/>
      <c r="J101" s="35"/>
      <c r="K101" s="35"/>
      <c r="L101" s="35"/>
      <c r="M101" s="35"/>
      <c r="N101" s="35"/>
      <c r="O101" s="35"/>
      <c r="P101" s="35"/>
      <c r="Q101" s="35"/>
      <c r="R101" s="35"/>
      <c r="S101" s="35"/>
      <c r="T101" s="35"/>
      <c r="U101" s="35"/>
      <c r="V101" s="35"/>
      <c r="W101" s="35"/>
      <c r="X101" s="35"/>
      <c r="Y101" s="35"/>
      <c r="Z101" s="35"/>
      <c r="AA101" s="35"/>
      <c r="AB101" s="35"/>
      <c r="AC101" s="35"/>
      <c r="AD101" s="42">
        <f t="shared" si="3"/>
        <v>0</v>
      </c>
      <c r="AE101" s="43"/>
      <c r="AF101" s="43"/>
    </row>
    <row r="102" spans="1:33" x14ac:dyDescent="0.2">
      <c r="A102" s="174"/>
      <c r="B102" s="29"/>
      <c r="C102" s="47" t="s">
        <v>119</v>
      </c>
      <c r="D102" s="47"/>
      <c r="E102" s="47" t="s">
        <v>119</v>
      </c>
      <c r="F102" s="50"/>
      <c r="G102" s="30"/>
      <c r="H102" s="29"/>
      <c r="I102" s="35"/>
      <c r="J102" s="35"/>
      <c r="K102" s="35"/>
      <c r="L102" s="35"/>
      <c r="M102" s="35"/>
      <c r="N102" s="35"/>
      <c r="O102" s="35"/>
      <c r="P102" s="35"/>
      <c r="Q102" s="35"/>
      <c r="R102" s="35"/>
      <c r="S102" s="35"/>
      <c r="T102" s="35"/>
      <c r="U102" s="35"/>
      <c r="V102" s="35"/>
      <c r="W102" s="35"/>
      <c r="X102" s="35"/>
      <c r="Y102" s="35"/>
      <c r="Z102" s="35"/>
      <c r="AA102" s="35"/>
      <c r="AB102" s="35"/>
      <c r="AC102" s="35"/>
      <c r="AD102" s="42">
        <f t="shared" si="3"/>
        <v>0</v>
      </c>
      <c r="AE102" s="43"/>
      <c r="AF102" s="43"/>
    </row>
    <row r="103" spans="1:33" ht="42.75" x14ac:dyDescent="0.2">
      <c r="A103" s="174"/>
      <c r="B103" s="29"/>
      <c r="C103" s="47" t="s">
        <v>120</v>
      </c>
      <c r="D103" s="47"/>
      <c r="E103" s="48" t="s">
        <v>121</v>
      </c>
      <c r="F103" s="49"/>
      <c r="G103" s="30"/>
      <c r="H103" s="29"/>
      <c r="I103" s="35"/>
      <c r="J103" s="35"/>
      <c r="K103" s="35"/>
      <c r="L103" s="35"/>
      <c r="M103" s="35"/>
      <c r="N103" s="35"/>
      <c r="O103" s="35"/>
      <c r="P103" s="35"/>
      <c r="Q103" s="35"/>
      <c r="R103" s="35">
        <v>1</v>
      </c>
      <c r="S103" s="35"/>
      <c r="T103" s="35"/>
      <c r="U103" s="35"/>
      <c r="V103" s="35"/>
      <c r="W103" s="35"/>
      <c r="X103" s="35"/>
      <c r="Y103" s="35"/>
      <c r="Z103" s="35"/>
      <c r="AA103" s="35"/>
      <c r="AB103" s="35"/>
      <c r="AC103" s="35"/>
      <c r="AD103" s="42">
        <f t="shared" si="3"/>
        <v>1</v>
      </c>
      <c r="AE103" s="43"/>
      <c r="AF103" s="43"/>
    </row>
    <row r="104" spans="1:33" x14ac:dyDescent="0.2">
      <c r="A104" s="174"/>
      <c r="B104" s="29"/>
      <c r="C104" s="47" t="s">
        <v>122</v>
      </c>
      <c r="D104" s="47"/>
      <c r="E104" s="47" t="s">
        <v>122</v>
      </c>
      <c r="F104" s="50"/>
      <c r="G104" s="30"/>
      <c r="H104" s="29"/>
      <c r="I104" s="35"/>
      <c r="J104" s="35"/>
      <c r="K104" s="35"/>
      <c r="L104" s="35"/>
      <c r="M104" s="35"/>
      <c r="N104" s="35"/>
      <c r="O104" s="35"/>
      <c r="P104" s="35"/>
      <c r="Q104" s="35"/>
      <c r="R104" s="35"/>
      <c r="S104" s="35"/>
      <c r="T104" s="35"/>
      <c r="U104" s="35"/>
      <c r="V104" s="35"/>
      <c r="W104" s="35"/>
      <c r="X104" s="35"/>
      <c r="Y104" s="35"/>
      <c r="Z104" s="35"/>
      <c r="AA104" s="35"/>
      <c r="AB104" s="35"/>
      <c r="AC104" s="35"/>
      <c r="AD104" s="42">
        <f t="shared" si="3"/>
        <v>0</v>
      </c>
      <c r="AE104" s="43"/>
      <c r="AF104" s="43"/>
    </row>
    <row r="105" spans="1:33" x14ac:dyDescent="0.2">
      <c r="A105" s="174"/>
      <c r="B105" s="29"/>
      <c r="C105" s="47" t="s">
        <v>123</v>
      </c>
      <c r="D105" s="47"/>
      <c r="E105" s="47" t="s">
        <v>121</v>
      </c>
      <c r="F105" s="50"/>
      <c r="G105" s="30"/>
      <c r="H105" s="29"/>
      <c r="I105" s="35"/>
      <c r="J105" s="35"/>
      <c r="K105" s="35"/>
      <c r="L105" s="35"/>
      <c r="M105" s="35"/>
      <c r="N105" s="35"/>
      <c r="O105" s="35"/>
      <c r="P105" s="35"/>
      <c r="Q105" s="35"/>
      <c r="R105" s="35"/>
      <c r="S105" s="35"/>
      <c r="T105" s="35"/>
      <c r="U105" s="35"/>
      <c r="V105" s="35"/>
      <c r="W105" s="35"/>
      <c r="X105" s="35"/>
      <c r="Y105" s="35"/>
      <c r="Z105" s="35"/>
      <c r="AA105" s="35"/>
      <c r="AB105" s="35"/>
      <c r="AC105" s="71"/>
      <c r="AD105" s="42">
        <f t="shared" si="3"/>
        <v>0</v>
      </c>
      <c r="AE105" s="43"/>
      <c r="AF105" s="43"/>
    </row>
    <row r="106" spans="1:33" s="7" customFormat="1" ht="18.75" customHeight="1" x14ac:dyDescent="0.2">
      <c r="A106" s="72"/>
      <c r="B106" s="8" t="s">
        <v>124</v>
      </c>
      <c r="C106" s="73"/>
      <c r="D106" s="73"/>
      <c r="E106" s="73"/>
      <c r="F106" s="73"/>
      <c r="G106" s="74"/>
      <c r="H106" s="74" t="s">
        <v>125</v>
      </c>
      <c r="I106" s="75">
        <f t="shared" ref="I106:AC106" si="4">SUM(I4:I105)</f>
        <v>0</v>
      </c>
      <c r="J106" s="75">
        <f t="shared" si="4"/>
        <v>22.5</v>
      </c>
      <c r="K106" s="75">
        <f t="shared" si="4"/>
        <v>11.5</v>
      </c>
      <c r="L106" s="75">
        <f t="shared" si="4"/>
        <v>6</v>
      </c>
      <c r="M106" s="75">
        <f t="shared" si="4"/>
        <v>0</v>
      </c>
      <c r="N106" s="75">
        <f t="shared" si="4"/>
        <v>0</v>
      </c>
      <c r="O106" s="75">
        <f t="shared" si="4"/>
        <v>0</v>
      </c>
      <c r="P106" s="75">
        <f t="shared" si="4"/>
        <v>0</v>
      </c>
      <c r="Q106" s="75">
        <f t="shared" si="4"/>
        <v>1</v>
      </c>
      <c r="R106" s="75">
        <f t="shared" si="4"/>
        <v>4.5</v>
      </c>
      <c r="S106" s="75">
        <f t="shared" si="4"/>
        <v>0</v>
      </c>
      <c r="T106" s="75">
        <f t="shared" si="4"/>
        <v>3</v>
      </c>
      <c r="U106" s="75">
        <f t="shared" si="4"/>
        <v>1.5</v>
      </c>
      <c r="V106" s="75">
        <f t="shared" si="4"/>
        <v>3</v>
      </c>
      <c r="W106" s="75">
        <f t="shared" si="4"/>
        <v>0</v>
      </c>
      <c r="X106" s="75">
        <f t="shared" si="4"/>
        <v>2</v>
      </c>
      <c r="Y106" s="75">
        <f t="shared" si="4"/>
        <v>84</v>
      </c>
      <c r="Z106" s="75">
        <f t="shared" si="4"/>
        <v>19.5</v>
      </c>
      <c r="AA106" s="75">
        <f t="shared" si="4"/>
        <v>3</v>
      </c>
      <c r="AB106" s="75">
        <f t="shared" si="4"/>
        <v>0</v>
      </c>
      <c r="AC106" s="75">
        <f t="shared" si="4"/>
        <v>0</v>
      </c>
      <c r="AD106" s="76">
        <f t="shared" si="3"/>
        <v>161.5</v>
      </c>
      <c r="AE106" s="77"/>
      <c r="AF106" s="77"/>
      <c r="AG106" s="6"/>
    </row>
    <row r="107" spans="1:33" x14ac:dyDescent="0.2">
      <c r="H107" s="80" t="s">
        <v>126</v>
      </c>
      <c r="I107" s="81">
        <v>8500</v>
      </c>
      <c r="J107" s="82">
        <v>14000</v>
      </c>
      <c r="K107" s="81">
        <v>8500</v>
      </c>
      <c r="L107" s="81">
        <v>8500</v>
      </c>
      <c r="M107" s="81">
        <v>14000</v>
      </c>
      <c r="N107" s="81">
        <v>8500</v>
      </c>
      <c r="O107" s="81">
        <v>14000</v>
      </c>
      <c r="P107" s="81">
        <v>8500</v>
      </c>
      <c r="Q107" s="81">
        <v>14000</v>
      </c>
      <c r="R107" s="81">
        <v>8500</v>
      </c>
      <c r="S107" s="81">
        <v>14000</v>
      </c>
      <c r="T107" s="81">
        <v>8500</v>
      </c>
      <c r="U107" s="81">
        <v>8500</v>
      </c>
      <c r="V107" s="81">
        <v>14000</v>
      </c>
      <c r="W107" s="81">
        <v>8500</v>
      </c>
      <c r="X107" s="81">
        <v>8500</v>
      </c>
      <c r="Y107" s="81">
        <v>8500</v>
      </c>
      <c r="Z107" s="81">
        <v>14000</v>
      </c>
      <c r="AA107" s="81">
        <v>8500</v>
      </c>
      <c r="AB107" s="81">
        <v>8500</v>
      </c>
      <c r="AC107" s="83">
        <v>14000</v>
      </c>
      <c r="AD107" s="84"/>
      <c r="AE107" s="85"/>
      <c r="AF107" s="85"/>
    </row>
    <row r="108" spans="1:33" ht="15" thickBot="1" x14ac:dyDescent="0.25">
      <c r="H108" s="86" t="s">
        <v>127</v>
      </c>
      <c r="I108" s="87">
        <f>SUM(I2:I103)*I107</f>
        <v>0</v>
      </c>
      <c r="J108" s="87">
        <f>J106*J107</f>
        <v>315000</v>
      </c>
      <c r="K108" s="87">
        <f>K106*K107</f>
        <v>97750</v>
      </c>
      <c r="L108" s="87">
        <f t="shared" ref="L108:AC108" si="5">SUM(L3:L103)*L107</f>
        <v>51000</v>
      </c>
      <c r="M108" s="87">
        <f t="shared" si="5"/>
        <v>0</v>
      </c>
      <c r="N108" s="87">
        <f t="shared" si="5"/>
        <v>0</v>
      </c>
      <c r="O108" s="87">
        <f t="shared" si="5"/>
        <v>0</v>
      </c>
      <c r="P108" s="87">
        <f t="shared" si="5"/>
        <v>0</v>
      </c>
      <c r="Q108" s="87">
        <f t="shared" si="5"/>
        <v>14000</v>
      </c>
      <c r="R108" s="87">
        <f t="shared" si="5"/>
        <v>38250</v>
      </c>
      <c r="S108" s="87">
        <f t="shared" si="5"/>
        <v>0</v>
      </c>
      <c r="T108" s="87">
        <f t="shared" si="5"/>
        <v>25500</v>
      </c>
      <c r="U108" s="87">
        <f t="shared" si="5"/>
        <v>12750</v>
      </c>
      <c r="V108" s="87">
        <f t="shared" si="5"/>
        <v>42000</v>
      </c>
      <c r="W108" s="87">
        <f t="shared" si="5"/>
        <v>0</v>
      </c>
      <c r="X108" s="87">
        <f t="shared" si="5"/>
        <v>17000</v>
      </c>
      <c r="Y108" s="87">
        <f t="shared" si="5"/>
        <v>714000</v>
      </c>
      <c r="Z108" s="87">
        <f t="shared" si="5"/>
        <v>273000</v>
      </c>
      <c r="AA108" s="87">
        <f t="shared" si="5"/>
        <v>25500</v>
      </c>
      <c r="AB108" s="87">
        <f t="shared" si="5"/>
        <v>0</v>
      </c>
      <c r="AC108" s="88">
        <f t="shared" si="5"/>
        <v>0</v>
      </c>
      <c r="AD108" s="85"/>
      <c r="AE108" s="85"/>
      <c r="AF108" s="85"/>
    </row>
    <row r="109" spans="1:33" x14ac:dyDescent="0.2">
      <c r="G109" s="89"/>
      <c r="H109" s="90"/>
      <c r="I109" s="90"/>
      <c r="J109" s="91"/>
      <c r="K109" s="91"/>
      <c r="L109" s="91"/>
      <c r="M109" s="91"/>
      <c r="N109" s="91"/>
      <c r="O109" s="91"/>
      <c r="P109" s="91"/>
      <c r="Q109" s="91"/>
      <c r="R109" s="91"/>
      <c r="S109" s="91"/>
      <c r="T109" s="91"/>
      <c r="U109" s="91"/>
      <c r="V109" s="91"/>
      <c r="W109" s="91"/>
      <c r="X109" s="91"/>
      <c r="Y109" s="91"/>
      <c r="Z109" s="91"/>
      <c r="AA109" s="92"/>
      <c r="AB109" s="93" t="s">
        <v>128</v>
      </c>
      <c r="AC109" s="94">
        <f>ROUNDUP(SUM(I108:AC108),0)</f>
        <v>1625750</v>
      </c>
      <c r="AD109" s="85"/>
      <c r="AE109" s="85"/>
      <c r="AF109" s="85"/>
    </row>
    <row r="111" spans="1:33" ht="14.25" customHeight="1" x14ac:dyDescent="0.2">
      <c r="F111" s="169"/>
      <c r="AE111" s="156"/>
    </row>
    <row r="112" spans="1:33" ht="14.25" customHeight="1" x14ac:dyDescent="0.2">
      <c r="C112" s="98"/>
      <c r="E112" s="169"/>
    </row>
    <row r="113" spans="2:33" ht="14.25" customHeight="1" x14ac:dyDescent="0.2">
      <c r="E113" s="100"/>
      <c r="AB113" s="155"/>
      <c r="AD113" s="46" t="s">
        <v>255</v>
      </c>
    </row>
    <row r="114" spans="2:33" ht="14.25" customHeight="1" x14ac:dyDescent="0.2">
      <c r="E114" s="169"/>
      <c r="F114" s="170"/>
      <c r="J114" s="100"/>
      <c r="AD114" s="85" t="s">
        <v>129</v>
      </c>
      <c r="AE114" s="85">
        <f>SUMIF(AG:AG,"Y",AE:AE)-AE26</f>
        <v>2807806.25</v>
      </c>
      <c r="AF114" s="85">
        <f>SUM(AF3:AF106)</f>
        <v>121000.00000000001</v>
      </c>
    </row>
    <row r="115" spans="2:33" ht="14.25" customHeight="1" thickBot="1" x14ac:dyDescent="0.25">
      <c r="B115" s="27" t="s">
        <v>131</v>
      </c>
      <c r="J115" s="100"/>
      <c r="AD115" s="95" t="s">
        <v>273</v>
      </c>
      <c r="AE115" s="85">
        <f>SUMIF(AG:AG,"Y",AE:AE)-AE26</f>
        <v>2807806.25</v>
      </c>
      <c r="AF115" s="85">
        <f>SUMIF(AG:AG,"Y",AF:AF)</f>
        <v>121000.00000000001</v>
      </c>
    </row>
    <row r="116" spans="2:33" ht="37.5" customHeight="1" thickBot="1" x14ac:dyDescent="0.25">
      <c r="D116" s="101" t="s">
        <v>132</v>
      </c>
      <c r="E116" s="102" t="s">
        <v>133</v>
      </c>
      <c r="F116" s="102" t="s">
        <v>134</v>
      </c>
      <c r="J116" s="100"/>
      <c r="AD116" s="96" t="s">
        <v>130</v>
      </c>
      <c r="AE116" s="97">
        <f>AC109+AE115+AF115</f>
        <v>4554556.25</v>
      </c>
      <c r="AF116" s="97"/>
    </row>
    <row r="117" spans="2:33" ht="23.25" customHeight="1" thickBot="1" x14ac:dyDescent="0.25">
      <c r="B117" s="103" t="s">
        <v>135</v>
      </c>
      <c r="C117" s="104" t="s">
        <v>136</v>
      </c>
      <c r="D117" s="46">
        <v>22.5</v>
      </c>
      <c r="E117" s="105">
        <v>14000</v>
      </c>
      <c r="F117" s="106">
        <f>D117*E117</f>
        <v>315000</v>
      </c>
      <c r="J117" s="100"/>
      <c r="AG117" s="156">
        <v>116225</v>
      </c>
    </row>
    <row r="118" spans="2:33" ht="14.25" customHeight="1" thickBot="1" x14ac:dyDescent="0.25">
      <c r="B118" s="107" t="s">
        <v>137</v>
      </c>
      <c r="C118" s="108" t="s">
        <v>138</v>
      </c>
      <c r="D118" s="46">
        <v>4.5</v>
      </c>
      <c r="E118" s="105">
        <v>8500</v>
      </c>
      <c r="F118" s="106">
        <f t="shared" ref="F118:F128" si="6">D118*E118</f>
        <v>38250</v>
      </c>
      <c r="Y118" s="168"/>
      <c r="Z118" s="156"/>
      <c r="AA118" s="99"/>
      <c r="AB118" s="156"/>
      <c r="AE118" s="46"/>
      <c r="AF118" s="46"/>
      <c r="AG118" s="46"/>
    </row>
    <row r="119" spans="2:33" ht="14.25" customHeight="1" thickBot="1" x14ac:dyDescent="0.25">
      <c r="B119" s="107" t="s">
        <v>139</v>
      </c>
      <c r="C119" s="108" t="s">
        <v>140</v>
      </c>
      <c r="D119" s="46">
        <v>11.5</v>
      </c>
      <c r="E119" s="105">
        <v>8500</v>
      </c>
      <c r="F119" s="106">
        <f t="shared" si="6"/>
        <v>97750</v>
      </c>
      <c r="Z119" s="156"/>
      <c r="AA119" s="99"/>
      <c r="AB119" s="45"/>
      <c r="AE119" s="46"/>
      <c r="AF119" s="46"/>
      <c r="AG119" s="46"/>
    </row>
    <row r="120" spans="2:33" s="78" customFormat="1" ht="14.25" customHeight="1" thickBot="1" x14ac:dyDescent="0.25">
      <c r="B120" s="107" t="s">
        <v>141</v>
      </c>
      <c r="C120" s="108" t="s">
        <v>142</v>
      </c>
      <c r="D120" s="46">
        <v>1</v>
      </c>
      <c r="E120" s="105">
        <v>14000</v>
      </c>
      <c r="F120" s="106">
        <f t="shared" si="6"/>
        <v>14000</v>
      </c>
      <c r="H120" s="46"/>
      <c r="I120" s="46"/>
      <c r="J120" s="46"/>
      <c r="K120" s="46"/>
      <c r="L120" s="46"/>
      <c r="M120" s="46"/>
      <c r="N120" s="46"/>
      <c r="O120" s="46"/>
      <c r="P120" s="46"/>
      <c r="Q120" s="46"/>
      <c r="R120" s="46"/>
      <c r="S120" s="46"/>
      <c r="T120" s="46"/>
      <c r="U120" s="46"/>
      <c r="V120" s="46"/>
      <c r="W120" s="46"/>
      <c r="X120" s="46"/>
      <c r="Y120" s="46"/>
      <c r="Z120" s="99"/>
      <c r="AA120" s="99"/>
      <c r="AB120" s="45"/>
    </row>
    <row r="121" spans="2:33" s="78" customFormat="1" ht="14.25" customHeight="1" thickBot="1" x14ac:dyDescent="0.25">
      <c r="B121" s="107" t="s">
        <v>33</v>
      </c>
      <c r="C121" s="108" t="s">
        <v>140</v>
      </c>
      <c r="D121" s="46">
        <v>6</v>
      </c>
      <c r="E121" s="105">
        <v>8500</v>
      </c>
      <c r="F121" s="106">
        <f t="shared" si="6"/>
        <v>51000</v>
      </c>
      <c r="H121" s="46"/>
      <c r="I121" s="46"/>
      <c r="J121" s="46"/>
      <c r="K121" s="46"/>
      <c r="L121" s="46"/>
      <c r="M121" s="46"/>
      <c r="N121" s="46"/>
      <c r="O121" s="46"/>
      <c r="P121" s="46"/>
      <c r="Q121" s="46"/>
      <c r="R121" s="46"/>
      <c r="S121" s="46"/>
      <c r="T121" s="46"/>
      <c r="U121" s="46"/>
      <c r="V121" s="46"/>
      <c r="W121" s="46"/>
      <c r="X121" s="46"/>
      <c r="Y121" s="46"/>
      <c r="Z121" s="99"/>
      <c r="AA121" s="99"/>
      <c r="AB121" s="45"/>
    </row>
    <row r="122" spans="2:33" s="78" customFormat="1" ht="14.25" customHeight="1" thickBot="1" x14ac:dyDescent="0.25">
      <c r="B122" s="107" t="s">
        <v>143</v>
      </c>
      <c r="C122" s="108" t="s">
        <v>140</v>
      </c>
      <c r="D122" s="46">
        <v>3</v>
      </c>
      <c r="E122" s="105">
        <v>8500</v>
      </c>
      <c r="F122" s="106">
        <f t="shared" si="6"/>
        <v>25500</v>
      </c>
      <c r="H122" s="46"/>
      <c r="I122" s="46"/>
      <c r="J122" s="46"/>
      <c r="K122" s="46"/>
      <c r="L122" s="46"/>
      <c r="M122" s="46"/>
      <c r="N122" s="46"/>
      <c r="O122" s="46"/>
      <c r="P122" s="46"/>
      <c r="Q122" s="46"/>
      <c r="R122" s="46"/>
      <c r="S122" s="46"/>
      <c r="T122" s="46"/>
      <c r="U122" s="46"/>
      <c r="V122" s="46"/>
      <c r="W122" s="46"/>
      <c r="X122" s="46"/>
      <c r="Y122" s="46"/>
      <c r="Z122" s="99"/>
      <c r="AA122" s="99"/>
      <c r="AB122" s="45"/>
    </row>
    <row r="123" spans="2:33" s="78" customFormat="1" ht="14.25" customHeight="1" thickBot="1" x14ac:dyDescent="0.25">
      <c r="B123" s="107" t="s">
        <v>36</v>
      </c>
      <c r="C123" s="108" t="s">
        <v>140</v>
      </c>
      <c r="D123" s="46">
        <v>1.5</v>
      </c>
      <c r="E123" s="105">
        <v>8500</v>
      </c>
      <c r="F123" s="106">
        <f t="shared" si="6"/>
        <v>12750</v>
      </c>
      <c r="H123" s="46"/>
      <c r="I123" s="46"/>
      <c r="J123" s="46"/>
      <c r="K123" s="46"/>
      <c r="L123" s="46"/>
      <c r="M123" s="46"/>
      <c r="N123" s="46"/>
      <c r="O123" s="46"/>
      <c r="P123" s="46"/>
      <c r="Q123" s="46"/>
      <c r="R123" s="46"/>
      <c r="S123" s="46"/>
      <c r="T123" s="46"/>
      <c r="U123" s="46"/>
      <c r="V123" s="46"/>
      <c r="W123" s="46"/>
      <c r="X123" s="46"/>
      <c r="Y123" s="46"/>
      <c r="Z123" s="99"/>
      <c r="AA123" s="99"/>
      <c r="AB123" s="45"/>
    </row>
    <row r="124" spans="2:33" s="78" customFormat="1" ht="14.25" customHeight="1" thickBot="1" x14ac:dyDescent="0.25">
      <c r="B124" s="107" t="s">
        <v>144</v>
      </c>
      <c r="C124" s="108" t="s">
        <v>145</v>
      </c>
      <c r="D124" s="46">
        <v>19.5</v>
      </c>
      <c r="E124" s="105">
        <v>14000</v>
      </c>
      <c r="F124" s="106">
        <f t="shared" si="6"/>
        <v>273000</v>
      </c>
      <c r="H124" s="46"/>
      <c r="I124" s="46"/>
      <c r="J124" s="46"/>
      <c r="K124" s="46"/>
      <c r="L124" s="46"/>
      <c r="M124" s="46"/>
      <c r="N124" s="46"/>
      <c r="O124" s="46"/>
      <c r="P124" s="46"/>
      <c r="Q124" s="46"/>
      <c r="R124" s="46"/>
      <c r="S124" s="46"/>
      <c r="T124" s="46"/>
      <c r="U124" s="46"/>
      <c r="V124" s="46"/>
      <c r="W124" s="46"/>
      <c r="X124" s="46"/>
      <c r="Y124" s="46"/>
      <c r="Z124" s="99"/>
      <c r="AA124" s="99"/>
      <c r="AB124" s="45"/>
    </row>
    <row r="125" spans="2:33" s="78" customFormat="1" ht="14.25" customHeight="1" thickBot="1" x14ac:dyDescent="0.25">
      <c r="B125" s="107" t="s">
        <v>146</v>
      </c>
      <c r="C125" s="108" t="s">
        <v>145</v>
      </c>
      <c r="D125" s="46">
        <v>84</v>
      </c>
      <c r="E125" s="105">
        <v>8500</v>
      </c>
      <c r="F125" s="106">
        <f t="shared" si="6"/>
        <v>714000</v>
      </c>
      <c r="H125" s="46"/>
      <c r="I125" s="46"/>
      <c r="J125" s="46"/>
      <c r="K125" s="46"/>
      <c r="L125" s="46"/>
      <c r="M125" s="46"/>
      <c r="N125" s="46"/>
      <c r="O125" s="46"/>
      <c r="P125" s="46"/>
      <c r="Q125" s="46"/>
      <c r="R125" s="46"/>
      <c r="S125" s="46"/>
      <c r="T125" s="46"/>
      <c r="U125" s="46"/>
      <c r="V125" s="46"/>
      <c r="W125" s="46"/>
      <c r="X125" s="46"/>
      <c r="Y125" s="46"/>
      <c r="Z125" s="99"/>
      <c r="AA125" s="99"/>
      <c r="AB125" s="45"/>
    </row>
    <row r="126" spans="2:33" s="78" customFormat="1" ht="14.25" customHeight="1" thickBot="1" x14ac:dyDescent="0.25">
      <c r="B126" s="107" t="s">
        <v>147</v>
      </c>
      <c r="C126" s="108" t="s">
        <v>148</v>
      </c>
      <c r="D126" s="46">
        <v>3</v>
      </c>
      <c r="E126" s="105">
        <v>8500</v>
      </c>
      <c r="F126" s="106">
        <f t="shared" si="6"/>
        <v>25500</v>
      </c>
      <c r="H126" s="46"/>
      <c r="I126" s="46"/>
      <c r="J126" s="46"/>
      <c r="K126" s="46"/>
      <c r="L126" s="46"/>
      <c r="M126" s="46"/>
      <c r="N126" s="46"/>
      <c r="O126" s="46"/>
      <c r="P126" s="46"/>
      <c r="Q126" s="46"/>
      <c r="R126" s="46"/>
      <c r="S126" s="46"/>
      <c r="T126" s="46"/>
      <c r="U126" s="46"/>
      <c r="V126" s="46"/>
      <c r="W126" s="46"/>
      <c r="X126" s="46"/>
      <c r="Y126" s="46"/>
      <c r="Z126" s="99"/>
      <c r="AA126" s="99"/>
      <c r="AB126" s="45"/>
    </row>
    <row r="127" spans="2:33" s="78" customFormat="1" ht="14.25" customHeight="1" thickBot="1" x14ac:dyDescent="0.25">
      <c r="B127" s="109" t="s">
        <v>149</v>
      </c>
      <c r="C127" s="110" t="s">
        <v>150</v>
      </c>
      <c r="D127" s="46">
        <v>2</v>
      </c>
      <c r="E127" s="105">
        <v>8500</v>
      </c>
      <c r="F127" s="106">
        <f t="shared" si="6"/>
        <v>17000</v>
      </c>
      <c r="H127" s="46"/>
      <c r="I127" s="46"/>
      <c r="J127" s="46"/>
      <c r="K127" s="46"/>
      <c r="L127" s="46"/>
      <c r="M127" s="46"/>
      <c r="N127" s="46"/>
      <c r="O127" s="46"/>
      <c r="P127" s="46"/>
      <c r="Q127" s="46"/>
      <c r="R127" s="46"/>
      <c r="S127" s="46"/>
      <c r="T127" s="46"/>
      <c r="U127" s="46"/>
      <c r="V127" s="46"/>
      <c r="W127" s="46"/>
      <c r="X127" s="46"/>
      <c r="Y127" s="46"/>
      <c r="Z127" s="99"/>
      <c r="AA127" s="99"/>
      <c r="AB127" s="45"/>
    </row>
    <row r="128" spans="2:33" s="78" customFormat="1" ht="14.25" customHeight="1" thickBot="1" x14ac:dyDescent="0.25">
      <c r="B128" s="103" t="s">
        <v>257</v>
      </c>
      <c r="C128" s="110" t="s">
        <v>256</v>
      </c>
      <c r="D128" s="46">
        <v>3</v>
      </c>
      <c r="E128" s="105">
        <v>14000</v>
      </c>
      <c r="F128" s="106">
        <f t="shared" si="6"/>
        <v>42000</v>
      </c>
      <c r="H128" s="46"/>
      <c r="I128" s="46"/>
      <c r="J128" s="46"/>
      <c r="K128" s="46"/>
      <c r="L128" s="46"/>
      <c r="M128" s="46"/>
      <c r="N128" s="46"/>
      <c r="O128" s="46"/>
      <c r="P128" s="46"/>
      <c r="Q128" s="46"/>
      <c r="R128" s="46"/>
      <c r="S128" s="46"/>
      <c r="T128" s="46"/>
      <c r="U128" s="46"/>
      <c r="V128" s="46"/>
      <c r="W128" s="46"/>
      <c r="X128" s="46"/>
      <c r="Y128" s="46"/>
      <c r="Z128" s="99"/>
      <c r="AA128" s="99"/>
      <c r="AB128" s="45"/>
    </row>
    <row r="129" spans="2:28" s="78" customFormat="1" ht="14.25" customHeight="1" x14ac:dyDescent="0.2">
      <c r="B129" s="46"/>
      <c r="C129" s="46"/>
      <c r="D129" s="46"/>
      <c r="E129" s="46" t="s">
        <v>151</v>
      </c>
      <c r="F129" s="106">
        <f>ROUNDUP(SUM(F117:F128),0)</f>
        <v>1625750</v>
      </c>
      <c r="H129" s="46"/>
      <c r="I129" s="46"/>
      <c r="J129" s="46"/>
      <c r="K129" s="46"/>
      <c r="L129" s="46"/>
      <c r="M129" s="46"/>
      <c r="N129" s="46"/>
      <c r="O129" s="46"/>
      <c r="P129" s="46"/>
      <c r="Q129" s="46"/>
      <c r="R129" s="46"/>
      <c r="S129" s="46"/>
      <c r="T129" s="46"/>
      <c r="U129" s="46"/>
      <c r="V129" s="46"/>
      <c r="W129" s="46"/>
      <c r="X129" s="46"/>
      <c r="Y129" s="46"/>
      <c r="Z129" s="99"/>
      <c r="AA129" s="99"/>
      <c r="AB129" s="45"/>
    </row>
    <row r="130" spans="2:28" s="78" customFormat="1" ht="14.25" customHeight="1" x14ac:dyDescent="0.2">
      <c r="B130" s="46"/>
      <c r="C130" s="46"/>
      <c r="D130" s="46"/>
      <c r="E130" s="46" t="s">
        <v>152</v>
      </c>
      <c r="F130" s="106">
        <f>ROUNDUP(AE115,0)</f>
        <v>2807807</v>
      </c>
      <c r="H130" s="46"/>
      <c r="I130" s="46"/>
      <c r="J130" s="46"/>
      <c r="K130" s="46"/>
      <c r="L130" s="46"/>
      <c r="M130" s="46"/>
      <c r="N130" s="46"/>
      <c r="O130" s="46"/>
      <c r="P130" s="46"/>
      <c r="Q130" s="46"/>
      <c r="R130" s="46"/>
      <c r="S130" s="46"/>
      <c r="T130" s="46"/>
      <c r="U130" s="46"/>
      <c r="V130" s="46"/>
      <c r="W130" s="46"/>
      <c r="X130" s="46"/>
      <c r="Y130" s="46"/>
      <c r="Z130" s="99"/>
      <c r="AA130" s="99"/>
      <c r="AB130" s="45"/>
    </row>
    <row r="131" spans="2:28" s="78" customFormat="1" ht="14.25" customHeight="1" x14ac:dyDescent="0.2">
      <c r="B131" s="46"/>
      <c r="C131" s="46"/>
      <c r="D131" s="46"/>
      <c r="E131" s="46" t="s">
        <v>153</v>
      </c>
      <c r="F131" s="106">
        <v>121000.00000000001</v>
      </c>
      <c r="G131" s="161"/>
      <c r="H131" s="46"/>
      <c r="I131" s="46"/>
      <c r="J131" s="46"/>
      <c r="K131" s="46"/>
      <c r="L131" s="46"/>
      <c r="M131" s="46"/>
      <c r="N131" s="46"/>
      <c r="O131" s="46"/>
      <c r="P131" s="46"/>
      <c r="Q131" s="46"/>
      <c r="R131" s="46"/>
      <c r="S131" s="46"/>
      <c r="T131" s="46"/>
      <c r="U131" s="46"/>
      <c r="V131" s="46"/>
      <c r="W131" s="46"/>
      <c r="X131" s="46"/>
      <c r="Y131" s="46"/>
      <c r="Z131" s="99"/>
      <c r="AA131" s="99"/>
      <c r="AB131" s="45"/>
    </row>
    <row r="132" spans="2:28" s="78" customFormat="1" ht="14.25" customHeight="1" x14ac:dyDescent="0.2">
      <c r="B132" s="46"/>
      <c r="C132" s="46"/>
      <c r="D132" s="46"/>
      <c r="E132" s="46"/>
      <c r="F132" s="160">
        <f>ROUNDUP(SUM(F129:F131),0)</f>
        <v>4554557</v>
      </c>
      <c r="H132" s="46"/>
      <c r="I132" s="46"/>
      <c r="J132" s="46"/>
      <c r="K132" s="46"/>
      <c r="L132" s="46"/>
      <c r="M132" s="46"/>
      <c r="N132" s="46"/>
      <c r="O132" s="46"/>
      <c r="P132" s="46"/>
      <c r="Q132" s="46"/>
      <c r="R132" s="46"/>
      <c r="S132" s="46"/>
      <c r="T132" s="46"/>
      <c r="U132" s="46"/>
      <c r="V132" s="46"/>
      <c r="W132" s="46"/>
      <c r="X132" s="46"/>
      <c r="Y132" s="46"/>
      <c r="Z132" s="99"/>
      <c r="AA132" s="99"/>
      <c r="AB132" s="45"/>
    </row>
  </sheetData>
  <sheetProtection formatCells="0" formatColumns="0" formatRows="0" insertColumns="0" insertRows="0" insertHyperlinks="0" deleteColumns="0" deleteRows="0" sort="0" autoFilter="0" pivotTables="0"/>
  <autoFilter ref="B3:E100" xr:uid="{00000000-0009-0000-0000-000003000000}"/>
  <mergeCells count="8">
    <mergeCell ref="I1:AD1"/>
    <mergeCell ref="A6:A18"/>
    <mergeCell ref="A19:A22"/>
    <mergeCell ref="A86:A92"/>
    <mergeCell ref="A93:A105"/>
    <mergeCell ref="A1:A3"/>
    <mergeCell ref="G1:G3"/>
    <mergeCell ref="H1:H3"/>
  </mergeCells>
  <pageMargins left="0.70866141732283472" right="0.70866141732283472" top="0.74803149606299213" bottom="0.74803149606299213" header="0.31496062992125984" footer="0.31496062992125984"/>
  <pageSetup paperSize="9" orientation="portrait" r:id="rId1"/>
  <headerFooter>
    <oddFooter>&amp;Cระดับชั้น ข้อมูลใช้ภายใน</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CDD2-5BF6-4414-B798-F00BDAC67A75}">
  <sheetPr>
    <pageSetUpPr fitToPage="1"/>
  </sheetPr>
  <dimension ref="A1:G108"/>
  <sheetViews>
    <sheetView showGridLines="0" zoomScale="85" zoomScaleNormal="85" workbookViewId="0">
      <selection activeCell="C25" sqref="C25"/>
    </sheetView>
  </sheetViews>
  <sheetFormatPr defaultColWidth="8.875" defaultRowHeight="14.25" x14ac:dyDescent="0.2"/>
  <cols>
    <col min="1" max="1" width="16" style="113" customWidth="1"/>
    <col min="2" max="2" width="23.25" style="113" customWidth="1"/>
    <col min="3" max="3" width="83" style="113" customWidth="1"/>
    <col min="4" max="4" width="18.875" style="113" customWidth="1"/>
    <col min="5" max="5" width="17.375" style="113" customWidth="1"/>
    <col min="6" max="6" width="8.875" style="113"/>
    <col min="7" max="7" width="10.375" style="113" customWidth="1"/>
    <col min="8" max="16384" width="8.875" style="113"/>
  </cols>
  <sheetData>
    <row r="1" spans="1:6" x14ac:dyDescent="0.2">
      <c r="E1" s="114" t="s">
        <v>156</v>
      </c>
    </row>
    <row r="2" spans="1:6" ht="26.25" customHeight="1" x14ac:dyDescent="0.2">
      <c r="C2" s="115" t="s">
        <v>157</v>
      </c>
      <c r="D2" s="116">
        <f>584000-51000</f>
        <v>533000</v>
      </c>
      <c r="E2" s="116">
        <v>504750</v>
      </c>
    </row>
    <row r="3" spans="1:6" ht="26.25" customHeight="1" x14ac:dyDescent="0.2">
      <c r="C3" s="115" t="s">
        <v>158</v>
      </c>
      <c r="D3" s="116">
        <v>51000</v>
      </c>
      <c r="E3" s="116">
        <v>51000</v>
      </c>
    </row>
    <row r="4" spans="1:6" ht="26.25" customHeight="1" x14ac:dyDescent="0.2">
      <c r="C4" s="115" t="s">
        <v>159</v>
      </c>
      <c r="D4" s="116">
        <f>D13+D16+D18+D21+D25+D27+D30+D32+D34+D36+D38+D42+D43+D45+D49+D52+D54+D57+D59+D61+D63+D66+D68+D71+D78+D80+D83+D85+D87+D89+D92+D94+D96+D98+D100+D102+D104+D106+D108</f>
        <v>2807806.25</v>
      </c>
      <c r="E4" s="116">
        <f>E13+E16+E18+E21+E25+E27+E30+E32+E34+E36+E38+E42+E43+E45+E49+E52+E54+E57+E59+E61+E63+E66+E68+E71+E78+E80+E83+E85+E87+E89+E92+E94+E96+E98+E100+E102+E104</f>
        <v>3318315</v>
      </c>
    </row>
    <row r="5" spans="1:6" ht="26.25" customHeight="1" x14ac:dyDescent="0.2">
      <c r="C5" s="115" t="s">
        <v>160</v>
      </c>
      <c r="D5" s="116">
        <f>D39</f>
        <v>121000.00000000001</v>
      </c>
      <c r="E5" s="116">
        <f>E39</f>
        <v>121000.00000000001</v>
      </c>
    </row>
    <row r="6" spans="1:6" ht="26.25" customHeight="1" x14ac:dyDescent="0.2">
      <c r="C6" s="115" t="s">
        <v>161</v>
      </c>
      <c r="D6" s="116">
        <f>IF(D7=0,0,266000)</f>
        <v>0</v>
      </c>
      <c r="E6" s="116">
        <v>266000</v>
      </c>
    </row>
    <row r="7" spans="1:6" ht="26.25" customHeight="1" x14ac:dyDescent="0.2">
      <c r="C7" s="115" t="s">
        <v>162</v>
      </c>
      <c r="D7" s="116">
        <f>D22</f>
        <v>0</v>
      </c>
      <c r="E7" s="116">
        <f>E22</f>
        <v>1555400.0000000002</v>
      </c>
    </row>
    <row r="8" spans="1:6" ht="26.25" customHeight="1" x14ac:dyDescent="0.2">
      <c r="C8" s="115" t="s">
        <v>163</v>
      </c>
      <c r="D8" s="116">
        <f>D23</f>
        <v>0</v>
      </c>
      <c r="E8" s="116">
        <f>E23</f>
        <v>1235250</v>
      </c>
    </row>
    <row r="9" spans="1:6" ht="26.25" customHeight="1" x14ac:dyDescent="0.2">
      <c r="C9" s="115" t="s">
        <v>164</v>
      </c>
      <c r="D9" s="116">
        <f>D46</f>
        <v>0</v>
      </c>
      <c r="E9" s="116">
        <f>E46</f>
        <v>976000</v>
      </c>
    </row>
    <row r="10" spans="1:6" ht="24" customHeight="1" x14ac:dyDescent="0.2">
      <c r="C10" s="117" t="s">
        <v>130</v>
      </c>
      <c r="D10" s="118">
        <f>SUM(D2:D9)</f>
        <v>3512806.25</v>
      </c>
      <c r="E10" s="119">
        <f>SUM(E2:E9)</f>
        <v>8027715</v>
      </c>
    </row>
    <row r="11" spans="1:6" ht="39.950000000000003" customHeight="1" x14ac:dyDescent="0.2">
      <c r="A11" s="120"/>
      <c r="B11" s="121" t="s">
        <v>165</v>
      </c>
      <c r="C11" s="121" t="s">
        <v>166</v>
      </c>
      <c r="D11" s="122" t="s">
        <v>167</v>
      </c>
      <c r="F11" s="120" t="s">
        <v>28</v>
      </c>
    </row>
    <row r="12" spans="1:6" ht="35.1" customHeight="1" x14ac:dyDescent="0.2">
      <c r="A12" s="113" t="s">
        <v>168</v>
      </c>
      <c r="B12" s="123" t="s">
        <v>69</v>
      </c>
      <c r="C12" s="124"/>
      <c r="D12" s="125"/>
      <c r="E12" s="126"/>
    </row>
    <row r="13" spans="1:6" ht="48.75" customHeight="1" x14ac:dyDescent="0.2">
      <c r="B13" s="127"/>
      <c r="C13" s="128" t="s">
        <v>169</v>
      </c>
      <c r="D13" s="129">
        <v>12271.875000000002</v>
      </c>
      <c r="E13" s="130">
        <v>12271.875000000002</v>
      </c>
      <c r="F13" s="113" t="s">
        <v>70</v>
      </c>
    </row>
    <row r="14" spans="1:6" ht="35.1" customHeight="1" x14ac:dyDescent="0.2">
      <c r="A14" s="113" t="s">
        <v>168</v>
      </c>
      <c r="B14" s="123" t="s">
        <v>170</v>
      </c>
      <c r="C14" s="124"/>
      <c r="D14" s="125"/>
      <c r="E14" s="126"/>
    </row>
    <row r="15" spans="1:6" ht="35.1" customHeight="1" x14ac:dyDescent="0.2">
      <c r="B15" s="127"/>
      <c r="C15" s="131" t="s">
        <v>171</v>
      </c>
      <c r="D15" s="131"/>
      <c r="E15" s="132"/>
    </row>
    <row r="16" spans="1:6" ht="71.25" customHeight="1" x14ac:dyDescent="0.2">
      <c r="B16" s="127"/>
      <c r="C16" s="133" t="s">
        <v>172</v>
      </c>
      <c r="D16" s="129"/>
      <c r="E16" s="130">
        <v>12271.875000000002</v>
      </c>
    </row>
    <row r="17" spans="1:6" ht="35.1" customHeight="1" x14ac:dyDescent="0.2">
      <c r="B17" s="127"/>
      <c r="C17" s="134" t="s">
        <v>173</v>
      </c>
      <c r="D17" s="135"/>
      <c r="E17" s="136"/>
    </row>
    <row r="18" spans="1:6" ht="62.25" customHeight="1" x14ac:dyDescent="0.2">
      <c r="B18" s="127"/>
      <c r="C18" s="137" t="s">
        <v>174</v>
      </c>
      <c r="D18" s="129"/>
      <c r="E18" s="130">
        <v>2454.375</v>
      </c>
    </row>
    <row r="19" spans="1:6" ht="35.1" customHeight="1" x14ac:dyDescent="0.2">
      <c r="A19" s="113" t="s">
        <v>168</v>
      </c>
      <c r="B19" s="123" t="s">
        <v>71</v>
      </c>
      <c r="C19" s="124"/>
      <c r="D19" s="125"/>
      <c r="E19" s="126"/>
    </row>
    <row r="20" spans="1:6" ht="35.1" customHeight="1" x14ac:dyDescent="0.2">
      <c r="B20" s="138" t="s">
        <v>175</v>
      </c>
      <c r="C20" s="139" t="s">
        <v>176</v>
      </c>
      <c r="D20" s="140"/>
      <c r="E20" s="141"/>
    </row>
    <row r="21" spans="1:6" ht="156.75" x14ac:dyDescent="0.2">
      <c r="B21" s="142" t="s">
        <v>168</v>
      </c>
      <c r="C21" s="143" t="s">
        <v>177</v>
      </c>
      <c r="D21" s="129">
        <v>34361.25</v>
      </c>
      <c r="E21" s="130">
        <v>34361.25</v>
      </c>
      <c r="F21" s="113" t="s">
        <v>70</v>
      </c>
    </row>
    <row r="22" spans="1:6" ht="99.75" customHeight="1" x14ac:dyDescent="0.2">
      <c r="B22" s="142" t="s">
        <v>178</v>
      </c>
      <c r="C22" s="143" t="s">
        <v>179</v>
      </c>
      <c r="D22" s="130"/>
      <c r="E22" s="130">
        <v>1555400.0000000002</v>
      </c>
    </row>
    <row r="23" spans="1:6" ht="71.25" customHeight="1" x14ac:dyDescent="0.2">
      <c r="B23" s="142" t="s">
        <v>180</v>
      </c>
      <c r="C23" s="143" t="s">
        <v>181</v>
      </c>
      <c r="D23" s="130"/>
      <c r="E23" s="130">
        <v>1235250</v>
      </c>
    </row>
    <row r="24" spans="1:6" ht="35.1" customHeight="1" x14ac:dyDescent="0.2">
      <c r="A24" s="113" t="s">
        <v>168</v>
      </c>
      <c r="B24" s="123" t="s">
        <v>72</v>
      </c>
      <c r="C24" s="124"/>
      <c r="D24" s="125"/>
      <c r="E24" s="126"/>
    </row>
    <row r="25" spans="1:6" ht="90.75" customHeight="1" x14ac:dyDescent="0.2">
      <c r="B25" s="142"/>
      <c r="C25" s="143" t="s">
        <v>182</v>
      </c>
      <c r="D25" s="129">
        <v>56450.625000000007</v>
      </c>
      <c r="E25" s="130">
        <v>56450.625000000007</v>
      </c>
      <c r="F25" s="113" t="s">
        <v>70</v>
      </c>
    </row>
    <row r="26" spans="1:6" ht="35.1" customHeight="1" x14ac:dyDescent="0.2">
      <c r="A26" s="113" t="s">
        <v>168</v>
      </c>
      <c r="B26" s="123" t="s">
        <v>183</v>
      </c>
      <c r="C26" s="124"/>
      <c r="D26" s="125"/>
      <c r="E26" s="126"/>
    </row>
    <row r="27" spans="1:6" ht="35.1" customHeight="1" x14ac:dyDescent="0.2">
      <c r="B27" s="138"/>
      <c r="C27" s="144" t="s">
        <v>184</v>
      </c>
      <c r="D27" s="129"/>
      <c r="E27" s="130">
        <v>12271.875000000002</v>
      </c>
    </row>
    <row r="28" spans="1:6" ht="35.1" customHeight="1" x14ac:dyDescent="0.2">
      <c r="A28" s="113" t="s">
        <v>168</v>
      </c>
      <c r="B28" s="123" t="s">
        <v>185</v>
      </c>
      <c r="C28" s="124"/>
      <c r="D28" s="125"/>
      <c r="E28" s="126"/>
    </row>
    <row r="29" spans="1:6" ht="35.1" customHeight="1" x14ac:dyDescent="0.2">
      <c r="B29" s="138" t="s">
        <v>175</v>
      </c>
      <c r="C29" s="139" t="s">
        <v>186</v>
      </c>
      <c r="D29" s="140"/>
      <c r="E29" s="141"/>
    </row>
    <row r="30" spans="1:6" ht="57" x14ac:dyDescent="0.2">
      <c r="B30" s="138"/>
      <c r="C30" s="143" t="s">
        <v>187</v>
      </c>
      <c r="D30" s="130"/>
      <c r="E30" s="130">
        <v>58905.000000000007</v>
      </c>
    </row>
    <row r="31" spans="1:6" ht="35.1" customHeight="1" x14ac:dyDescent="0.2">
      <c r="B31" s="138" t="s">
        <v>175</v>
      </c>
      <c r="C31" s="139" t="s">
        <v>188</v>
      </c>
      <c r="D31" s="140"/>
      <c r="E31" s="141"/>
    </row>
    <row r="32" spans="1:6" ht="57" customHeight="1" x14ac:dyDescent="0.2">
      <c r="B32" s="138"/>
      <c r="C32" s="143" t="s">
        <v>189</v>
      </c>
      <c r="D32" s="130"/>
      <c r="E32" s="130">
        <v>24543.750000000004</v>
      </c>
    </row>
    <row r="33" spans="1:7" ht="35.1" customHeight="1" x14ac:dyDescent="0.2">
      <c r="A33" s="113" t="s">
        <v>168</v>
      </c>
      <c r="B33" s="123" t="s">
        <v>190</v>
      </c>
      <c r="C33" s="124"/>
      <c r="D33" s="125"/>
      <c r="E33" s="126"/>
    </row>
    <row r="34" spans="1:7" ht="93" customHeight="1" x14ac:dyDescent="0.2">
      <c r="B34" s="138"/>
      <c r="C34" s="145" t="s">
        <v>191</v>
      </c>
      <c r="D34" s="130"/>
      <c r="E34" s="130">
        <v>51541.875000000007</v>
      </c>
    </row>
    <row r="35" spans="1:7" ht="35.1" customHeight="1" x14ac:dyDescent="0.2">
      <c r="A35" s="113" t="s">
        <v>168</v>
      </c>
      <c r="B35" s="123" t="s">
        <v>192</v>
      </c>
      <c r="C35" s="124"/>
      <c r="D35" s="125"/>
      <c r="E35" s="126"/>
    </row>
    <row r="36" spans="1:7" ht="164.25" customHeight="1" x14ac:dyDescent="0.2">
      <c r="B36" s="138"/>
      <c r="C36" s="133" t="s">
        <v>193</v>
      </c>
      <c r="D36" s="130"/>
      <c r="E36" s="130">
        <v>130081.87500000001</v>
      </c>
    </row>
    <row r="37" spans="1:7" ht="35.1" customHeight="1" x14ac:dyDescent="0.2">
      <c r="A37" s="113" t="s">
        <v>168</v>
      </c>
      <c r="B37" s="123" t="s">
        <v>73</v>
      </c>
      <c r="C37" s="124"/>
      <c r="D37" s="125"/>
      <c r="E37" s="126"/>
    </row>
    <row r="38" spans="1:7" ht="50.25" customHeight="1" x14ac:dyDescent="0.2">
      <c r="B38" s="138"/>
      <c r="C38" s="143" t="s">
        <v>194</v>
      </c>
      <c r="D38" s="129">
        <v>22089.375</v>
      </c>
      <c r="E38" s="130">
        <v>22089.375</v>
      </c>
      <c r="F38" s="113" t="s">
        <v>70</v>
      </c>
      <c r="G38" s="146"/>
    </row>
    <row r="39" spans="1:7" ht="75" customHeight="1" x14ac:dyDescent="0.2">
      <c r="A39" s="113" t="s">
        <v>155</v>
      </c>
      <c r="B39" s="138"/>
      <c r="C39" s="143" t="s">
        <v>195</v>
      </c>
      <c r="D39" s="129">
        <v>121000.00000000001</v>
      </c>
      <c r="E39" s="130">
        <v>121000.00000000001</v>
      </c>
      <c r="F39" s="113" t="s">
        <v>70</v>
      </c>
      <c r="G39" s="146"/>
    </row>
    <row r="40" spans="1:7" ht="35.1" customHeight="1" x14ac:dyDescent="0.2">
      <c r="A40" s="113" t="s">
        <v>168</v>
      </c>
      <c r="B40" s="123" t="s">
        <v>74</v>
      </c>
      <c r="C40" s="124"/>
      <c r="D40" s="125"/>
      <c r="E40" s="126"/>
      <c r="G40" s="146"/>
    </row>
    <row r="41" spans="1:7" ht="35.1" customHeight="1" x14ac:dyDescent="0.2">
      <c r="B41" s="138"/>
      <c r="C41" s="139" t="s">
        <v>196</v>
      </c>
      <c r="D41" s="140"/>
      <c r="E41" s="141"/>
      <c r="G41" s="146"/>
    </row>
    <row r="42" spans="1:7" ht="35.1" customHeight="1" x14ac:dyDescent="0.2">
      <c r="B42" s="138"/>
      <c r="C42" s="133" t="s">
        <v>197</v>
      </c>
      <c r="D42" s="129"/>
      <c r="E42" s="158">
        <v>83448.75</v>
      </c>
      <c r="F42" s="113" t="s">
        <v>70</v>
      </c>
      <c r="G42" s="146"/>
    </row>
    <row r="43" spans="1:7" ht="35.1" customHeight="1" x14ac:dyDescent="0.2">
      <c r="B43" s="138"/>
      <c r="C43" s="147" t="s">
        <v>198</v>
      </c>
      <c r="D43" s="129"/>
      <c r="E43" s="158">
        <v>39270</v>
      </c>
      <c r="F43" s="113" t="s">
        <v>70</v>
      </c>
      <c r="G43" s="146"/>
    </row>
    <row r="44" spans="1:7" ht="35.1" customHeight="1" x14ac:dyDescent="0.2">
      <c r="B44" s="138"/>
      <c r="C44" s="139" t="s">
        <v>199</v>
      </c>
      <c r="D44" s="140"/>
      <c r="E44" s="159"/>
      <c r="G44" s="146"/>
    </row>
    <row r="45" spans="1:7" ht="71.25" customHeight="1" x14ac:dyDescent="0.2">
      <c r="B45" s="138"/>
      <c r="C45" s="143" t="s">
        <v>200</v>
      </c>
      <c r="D45" s="129"/>
      <c r="E45" s="158">
        <v>88357.5</v>
      </c>
      <c r="F45" s="113" t="s">
        <v>70</v>
      </c>
      <c r="G45" s="146"/>
    </row>
    <row r="46" spans="1:7" ht="87" customHeight="1" x14ac:dyDescent="0.2">
      <c r="A46" s="113" t="s">
        <v>201</v>
      </c>
      <c r="B46" s="138"/>
      <c r="C46" s="143" t="s">
        <v>202</v>
      </c>
      <c r="D46" s="129"/>
      <c r="E46" s="130">
        <v>976000</v>
      </c>
      <c r="G46" s="146"/>
    </row>
    <row r="47" spans="1:7" ht="35.1" customHeight="1" x14ac:dyDescent="0.2">
      <c r="A47" s="113" t="s">
        <v>168</v>
      </c>
      <c r="B47" s="123" t="s">
        <v>75</v>
      </c>
      <c r="C47" s="124"/>
      <c r="D47" s="125"/>
      <c r="E47" s="126"/>
      <c r="G47" s="146"/>
    </row>
    <row r="48" spans="1:7" ht="35.1" customHeight="1" x14ac:dyDescent="0.2">
      <c r="B48" s="138" t="s">
        <v>175</v>
      </c>
      <c r="C48" s="139" t="s">
        <v>203</v>
      </c>
      <c r="D48" s="140"/>
      <c r="E48" s="141"/>
      <c r="G48" s="146"/>
    </row>
    <row r="49" spans="1:7" ht="60.75" customHeight="1" x14ac:dyDescent="0.2">
      <c r="B49" s="138"/>
      <c r="C49" s="143" t="s">
        <v>204</v>
      </c>
      <c r="D49" s="129">
        <v>19635</v>
      </c>
      <c r="E49" s="130">
        <v>19635</v>
      </c>
      <c r="F49" s="113" t="s">
        <v>70</v>
      </c>
      <c r="G49" s="146"/>
    </row>
    <row r="50" spans="1:7" ht="35.1" customHeight="1" x14ac:dyDescent="0.2">
      <c r="A50" s="113" t="s">
        <v>168</v>
      </c>
      <c r="B50" s="123" t="s">
        <v>205</v>
      </c>
      <c r="C50" s="124"/>
      <c r="D50" s="125"/>
      <c r="E50" s="126"/>
      <c r="G50" s="146"/>
    </row>
    <row r="51" spans="1:7" ht="35.1" customHeight="1" x14ac:dyDescent="0.2">
      <c r="B51" s="138" t="s">
        <v>175</v>
      </c>
      <c r="C51" s="139" t="s">
        <v>206</v>
      </c>
      <c r="D51" s="148"/>
      <c r="E51" s="149"/>
      <c r="G51" s="146"/>
    </row>
    <row r="52" spans="1:7" ht="51" customHeight="1" x14ac:dyDescent="0.2">
      <c r="B52" s="138"/>
      <c r="C52" s="143" t="s">
        <v>207</v>
      </c>
      <c r="D52" s="129"/>
      <c r="E52" s="130">
        <v>14726.250000000002</v>
      </c>
      <c r="G52" s="146"/>
    </row>
    <row r="53" spans="1:7" ht="35.1" customHeight="1" x14ac:dyDescent="0.2">
      <c r="B53" s="138" t="s">
        <v>175</v>
      </c>
      <c r="C53" s="139" t="s">
        <v>208</v>
      </c>
      <c r="D53" s="148"/>
      <c r="E53" s="149"/>
      <c r="G53" s="146"/>
    </row>
    <row r="54" spans="1:7" ht="46.5" customHeight="1" x14ac:dyDescent="0.2">
      <c r="B54" s="138"/>
      <c r="C54" s="143" t="s">
        <v>209</v>
      </c>
      <c r="D54" s="129"/>
      <c r="E54" s="130">
        <v>14726.250000000002</v>
      </c>
      <c r="G54" s="146"/>
    </row>
    <row r="55" spans="1:7" ht="35.1" customHeight="1" x14ac:dyDescent="0.2">
      <c r="A55" s="113" t="s">
        <v>168</v>
      </c>
      <c r="B55" s="123" t="s">
        <v>76</v>
      </c>
      <c r="C55" s="124"/>
      <c r="D55" s="125"/>
      <c r="E55" s="126"/>
      <c r="G55" s="146"/>
    </row>
    <row r="56" spans="1:7" ht="35.1" customHeight="1" x14ac:dyDescent="0.2">
      <c r="B56" s="138" t="s">
        <v>175</v>
      </c>
      <c r="C56" s="139" t="s">
        <v>210</v>
      </c>
      <c r="D56" s="148"/>
      <c r="E56" s="149"/>
      <c r="G56" s="146"/>
    </row>
    <row r="57" spans="1:7" ht="75" customHeight="1" x14ac:dyDescent="0.2">
      <c r="B57" s="138"/>
      <c r="C57" s="143" t="s">
        <v>211</v>
      </c>
      <c r="D57" s="129">
        <v>34361.25</v>
      </c>
      <c r="E57" s="130">
        <v>34361.25</v>
      </c>
      <c r="F57" s="113" t="s">
        <v>70</v>
      </c>
      <c r="G57" s="146"/>
    </row>
    <row r="58" spans="1:7" ht="35.1" customHeight="1" x14ac:dyDescent="0.2">
      <c r="B58" s="138" t="s">
        <v>175</v>
      </c>
      <c r="C58" s="139" t="s">
        <v>212</v>
      </c>
      <c r="D58" s="148"/>
      <c r="E58" s="149"/>
      <c r="G58" s="146"/>
    </row>
    <row r="59" spans="1:7" ht="102" customHeight="1" x14ac:dyDescent="0.2">
      <c r="B59" s="138"/>
      <c r="C59" s="143" t="s">
        <v>213</v>
      </c>
      <c r="D59" s="129">
        <v>22089.375</v>
      </c>
      <c r="E59" s="130">
        <v>22089.375</v>
      </c>
      <c r="F59" s="113" t="s">
        <v>70</v>
      </c>
      <c r="G59" s="146"/>
    </row>
    <row r="60" spans="1:7" ht="35.1" customHeight="1" x14ac:dyDescent="0.2">
      <c r="A60" s="113" t="s">
        <v>168</v>
      </c>
      <c r="B60" s="123" t="s">
        <v>77</v>
      </c>
      <c r="C60" s="124"/>
      <c r="D60" s="125"/>
      <c r="E60" s="126"/>
      <c r="G60" s="146"/>
    </row>
    <row r="61" spans="1:7" ht="35.1" customHeight="1" x14ac:dyDescent="0.2">
      <c r="B61" s="138"/>
      <c r="C61" s="143" t="s">
        <v>214</v>
      </c>
      <c r="D61" s="129">
        <v>7363.1250000000009</v>
      </c>
      <c r="E61" s="130">
        <v>7363.1250000000009</v>
      </c>
      <c r="F61" s="113" t="s">
        <v>70</v>
      </c>
      <c r="G61" s="146"/>
    </row>
    <row r="62" spans="1:7" ht="35.1" customHeight="1" x14ac:dyDescent="0.2">
      <c r="A62" s="113" t="s">
        <v>168</v>
      </c>
      <c r="B62" s="123" t="s">
        <v>215</v>
      </c>
      <c r="C62" s="124"/>
      <c r="D62" s="125"/>
      <c r="E62" s="126"/>
      <c r="G62" s="146"/>
    </row>
    <row r="63" spans="1:7" ht="99.75" x14ac:dyDescent="0.2">
      <c r="B63" s="138"/>
      <c r="C63" s="143" t="s">
        <v>216</v>
      </c>
      <c r="D63" s="130"/>
      <c r="E63" s="130">
        <v>39270</v>
      </c>
      <c r="G63" s="146"/>
    </row>
    <row r="64" spans="1:7" ht="35.1" customHeight="1" x14ac:dyDescent="0.2">
      <c r="A64" s="113" t="s">
        <v>168</v>
      </c>
      <c r="B64" s="123" t="s">
        <v>78</v>
      </c>
      <c r="C64" s="124"/>
      <c r="D64" s="125"/>
      <c r="E64" s="126"/>
      <c r="G64" s="146"/>
    </row>
    <row r="65" spans="1:7" ht="35.1" customHeight="1" x14ac:dyDescent="0.2">
      <c r="B65" s="138" t="s">
        <v>175</v>
      </c>
      <c r="C65" s="150" t="s">
        <v>217</v>
      </c>
      <c r="D65" s="148"/>
      <c r="E65" s="149"/>
      <c r="G65" s="146"/>
    </row>
    <row r="66" spans="1:7" ht="75.75" customHeight="1" x14ac:dyDescent="0.2">
      <c r="B66" s="138"/>
      <c r="C66" s="143" t="s">
        <v>218</v>
      </c>
      <c r="D66" s="129">
        <v>17180.625</v>
      </c>
      <c r="E66" s="130">
        <v>17180.625</v>
      </c>
      <c r="F66" s="113" t="s">
        <v>70</v>
      </c>
      <c r="G66" s="146"/>
    </row>
    <row r="67" spans="1:7" ht="35.1" customHeight="1" x14ac:dyDescent="0.2">
      <c r="A67" s="113" t="s">
        <v>168</v>
      </c>
      <c r="B67" s="123" t="s">
        <v>219</v>
      </c>
      <c r="C67" s="124"/>
      <c r="D67" s="125"/>
      <c r="E67" s="126"/>
      <c r="G67" s="146"/>
    </row>
    <row r="68" spans="1:7" ht="52.5" customHeight="1" x14ac:dyDescent="0.2">
      <c r="B68" s="138"/>
      <c r="C68" s="143" t="s">
        <v>220</v>
      </c>
      <c r="D68" s="130"/>
      <c r="E68" s="130">
        <v>100629.37500000001</v>
      </c>
      <c r="G68" s="146"/>
    </row>
    <row r="69" spans="1:7" ht="35.1" customHeight="1" x14ac:dyDescent="0.2">
      <c r="A69" s="113" t="s">
        <v>168</v>
      </c>
      <c r="B69" s="123" t="s">
        <v>79</v>
      </c>
      <c r="C69" s="124"/>
      <c r="D69" s="125"/>
      <c r="E69" s="126"/>
      <c r="G69" s="146"/>
    </row>
    <row r="70" spans="1:7" ht="35.1" customHeight="1" x14ac:dyDescent="0.2">
      <c r="B70" s="151"/>
      <c r="C70" s="150" t="s">
        <v>221</v>
      </c>
      <c r="D70" s="148"/>
      <c r="E70" s="149"/>
      <c r="G70" s="146"/>
    </row>
    <row r="71" spans="1:7" ht="35.1" customHeight="1" x14ac:dyDescent="0.2">
      <c r="B71" s="151"/>
      <c r="C71" s="143" t="s">
        <v>222</v>
      </c>
      <c r="D71" s="152">
        <v>1413720</v>
      </c>
      <c r="E71" s="130">
        <v>1413720</v>
      </c>
      <c r="G71" s="146"/>
    </row>
    <row r="72" spans="1:7" ht="35.1" customHeight="1" x14ac:dyDescent="0.2">
      <c r="B72" s="151"/>
      <c r="C72" s="150" t="s">
        <v>223</v>
      </c>
      <c r="D72" s="148"/>
      <c r="E72" s="149"/>
      <c r="G72" s="146"/>
    </row>
    <row r="73" spans="1:7" ht="35.1" customHeight="1" x14ac:dyDescent="0.2">
      <c r="B73" s="151"/>
      <c r="C73" s="143" t="s">
        <v>224</v>
      </c>
      <c r="D73" s="129"/>
      <c r="E73" s="130">
        <v>235620.00000000003</v>
      </c>
      <c r="G73" s="146"/>
    </row>
    <row r="74" spans="1:7" ht="35.1" customHeight="1" x14ac:dyDescent="0.2">
      <c r="B74" s="151"/>
      <c r="C74" s="150" t="s">
        <v>225</v>
      </c>
      <c r="D74" s="148"/>
      <c r="E74" s="149"/>
      <c r="G74" s="146"/>
    </row>
    <row r="75" spans="1:7" ht="35.1" customHeight="1" x14ac:dyDescent="0.2">
      <c r="B75" s="151"/>
      <c r="C75" s="143" t="s">
        <v>226</v>
      </c>
      <c r="D75" s="129"/>
      <c r="E75" s="130">
        <v>107992.50000000001</v>
      </c>
      <c r="G75" s="146"/>
    </row>
    <row r="76" spans="1:7" ht="35.1" customHeight="1" x14ac:dyDescent="0.2">
      <c r="A76" s="113" t="s">
        <v>168</v>
      </c>
      <c r="B76" s="123" t="s">
        <v>80</v>
      </c>
      <c r="C76" s="124"/>
      <c r="D76" s="125"/>
      <c r="E76" s="126"/>
      <c r="G76" s="146"/>
    </row>
    <row r="77" spans="1:7" ht="35.1" customHeight="1" x14ac:dyDescent="0.2">
      <c r="B77" s="151"/>
      <c r="C77" s="150" t="s">
        <v>227</v>
      </c>
      <c r="D77" s="148"/>
      <c r="E77" s="149"/>
      <c r="G77" s="146"/>
    </row>
    <row r="78" spans="1:7" ht="35.1" customHeight="1" x14ac:dyDescent="0.2">
      <c r="B78" s="151"/>
      <c r="C78" s="143" t="s">
        <v>228</v>
      </c>
      <c r="D78" s="152">
        <v>117810.00000000001</v>
      </c>
      <c r="E78" s="130">
        <v>117810.00000000001</v>
      </c>
      <c r="G78" s="146"/>
    </row>
    <row r="79" spans="1:7" ht="35.1" customHeight="1" x14ac:dyDescent="0.2">
      <c r="B79" s="151"/>
      <c r="C79" s="150" t="s">
        <v>229</v>
      </c>
      <c r="D79" s="148"/>
      <c r="E79" s="149"/>
      <c r="G79" s="146"/>
    </row>
    <row r="80" spans="1:7" ht="48" customHeight="1" x14ac:dyDescent="0.2">
      <c r="B80" s="151"/>
      <c r="C80" s="143" t="s">
        <v>230</v>
      </c>
      <c r="D80" s="152">
        <v>147262.5</v>
      </c>
      <c r="E80" s="130">
        <v>147262.5</v>
      </c>
      <c r="G80" s="146"/>
    </row>
    <row r="81" spans="1:7" ht="35.1" customHeight="1" x14ac:dyDescent="0.2">
      <c r="A81" s="113" t="s">
        <v>168</v>
      </c>
      <c r="B81" s="123" t="s">
        <v>231</v>
      </c>
      <c r="C81" s="124"/>
      <c r="D81" s="125"/>
      <c r="E81" s="126"/>
      <c r="G81" s="146"/>
    </row>
    <row r="82" spans="1:7" ht="35.1" customHeight="1" x14ac:dyDescent="0.2">
      <c r="B82" s="151"/>
      <c r="C82" s="150" t="s">
        <v>232</v>
      </c>
      <c r="D82" s="148"/>
      <c r="E82" s="149"/>
      <c r="G82" s="146"/>
    </row>
    <row r="83" spans="1:7" ht="90" customHeight="1" x14ac:dyDescent="0.2">
      <c r="B83" s="151"/>
      <c r="C83" s="143" t="s">
        <v>233</v>
      </c>
      <c r="D83" s="152">
        <v>68722.5</v>
      </c>
      <c r="E83" s="130">
        <v>68722.5</v>
      </c>
      <c r="G83" s="146"/>
    </row>
    <row r="84" spans="1:7" ht="35.1" customHeight="1" x14ac:dyDescent="0.2">
      <c r="B84" s="151"/>
      <c r="C84" s="150" t="s">
        <v>234</v>
      </c>
      <c r="D84" s="148"/>
      <c r="E84" s="149"/>
      <c r="G84" s="146"/>
    </row>
    <row r="85" spans="1:7" ht="111.75" customHeight="1" x14ac:dyDescent="0.2">
      <c r="B85" s="151"/>
      <c r="C85" s="143" t="s">
        <v>235</v>
      </c>
      <c r="D85" s="152">
        <v>36815.625</v>
      </c>
      <c r="E85" s="130">
        <v>36815.625</v>
      </c>
      <c r="G85" s="146"/>
    </row>
    <row r="86" spans="1:7" ht="35.1" customHeight="1" x14ac:dyDescent="0.2">
      <c r="B86" s="151"/>
      <c r="C86" s="150" t="s">
        <v>236</v>
      </c>
      <c r="D86" s="148"/>
      <c r="E86" s="149"/>
      <c r="G86" s="146"/>
    </row>
    <row r="87" spans="1:7" ht="114.75" customHeight="1" x14ac:dyDescent="0.2">
      <c r="B87" s="151"/>
      <c r="C87" s="147" t="s">
        <v>237</v>
      </c>
      <c r="D87" s="152">
        <v>39270</v>
      </c>
      <c r="E87" s="130">
        <v>39270</v>
      </c>
      <c r="G87" s="146"/>
    </row>
    <row r="88" spans="1:7" ht="35.1" customHeight="1" x14ac:dyDescent="0.2">
      <c r="B88" s="151"/>
      <c r="C88" s="150" t="s">
        <v>238</v>
      </c>
      <c r="D88" s="148"/>
      <c r="E88" s="149"/>
      <c r="G88" s="146"/>
    </row>
    <row r="89" spans="1:7" ht="107.25" customHeight="1" x14ac:dyDescent="0.2">
      <c r="B89" s="151"/>
      <c r="C89" s="143" t="s">
        <v>239</v>
      </c>
      <c r="D89" s="152">
        <v>201258.75000000003</v>
      </c>
      <c r="E89" s="130">
        <v>201258.75000000003</v>
      </c>
      <c r="G89" s="146"/>
    </row>
    <row r="90" spans="1:7" ht="35.1" customHeight="1" x14ac:dyDescent="0.2">
      <c r="A90" s="113" t="s">
        <v>168</v>
      </c>
      <c r="B90" s="123" t="s">
        <v>82</v>
      </c>
      <c r="C90" s="124"/>
      <c r="D90" s="125"/>
      <c r="E90" s="126"/>
      <c r="G90" s="146"/>
    </row>
    <row r="91" spans="1:7" ht="35.1" customHeight="1" x14ac:dyDescent="0.2">
      <c r="B91" s="151"/>
      <c r="C91" s="150" t="s">
        <v>240</v>
      </c>
      <c r="D91" s="148"/>
      <c r="E91" s="149"/>
      <c r="G91" s="146"/>
    </row>
    <row r="92" spans="1:7" ht="41.25" customHeight="1" x14ac:dyDescent="0.2">
      <c r="B92" s="151"/>
      <c r="C92" s="143" t="s">
        <v>241</v>
      </c>
      <c r="D92" s="152">
        <v>88357.5</v>
      </c>
      <c r="E92" s="130">
        <v>88357.5</v>
      </c>
      <c r="G92" s="146"/>
    </row>
    <row r="93" spans="1:7" ht="35.1" customHeight="1" x14ac:dyDescent="0.2">
      <c r="B93" s="151"/>
      <c r="C93" s="139" t="s">
        <v>242</v>
      </c>
      <c r="D93" s="148"/>
      <c r="E93" s="149"/>
      <c r="G93" s="146"/>
    </row>
    <row r="94" spans="1:7" ht="35.1" customHeight="1" x14ac:dyDescent="0.2">
      <c r="B94" s="151"/>
      <c r="C94" s="143" t="s">
        <v>243</v>
      </c>
      <c r="D94" s="152">
        <v>14726.250000000002</v>
      </c>
      <c r="E94" s="130">
        <v>14726.250000000002</v>
      </c>
      <c r="G94" s="146"/>
    </row>
    <row r="95" spans="1:7" ht="35.1" customHeight="1" x14ac:dyDescent="0.2">
      <c r="B95" s="151"/>
      <c r="C95" s="150" t="s">
        <v>244</v>
      </c>
      <c r="D95" s="148"/>
      <c r="E95" s="149"/>
      <c r="G95" s="146"/>
    </row>
    <row r="96" spans="1:7" ht="35.1" customHeight="1" x14ac:dyDescent="0.2">
      <c r="B96" s="151"/>
      <c r="C96" s="143" t="s">
        <v>245</v>
      </c>
      <c r="D96" s="152">
        <v>12271.875000000002</v>
      </c>
      <c r="E96" s="130">
        <v>12271.875000000002</v>
      </c>
      <c r="G96" s="146"/>
    </row>
    <row r="97" spans="1:7" ht="35.1" customHeight="1" x14ac:dyDescent="0.2">
      <c r="B97" s="151"/>
      <c r="C97" s="150" t="s">
        <v>246</v>
      </c>
      <c r="D97" s="148"/>
      <c r="E97" s="149"/>
      <c r="G97" s="146"/>
    </row>
    <row r="98" spans="1:7" ht="57.75" customHeight="1" x14ac:dyDescent="0.2">
      <c r="B98" s="151"/>
      <c r="C98" s="143" t="s">
        <v>247</v>
      </c>
      <c r="D98" s="152">
        <v>132536.25</v>
      </c>
      <c r="E98" s="130">
        <v>132536.25</v>
      </c>
      <c r="G98" s="146"/>
    </row>
    <row r="99" spans="1:7" ht="35.1" customHeight="1" x14ac:dyDescent="0.2">
      <c r="B99" s="151"/>
      <c r="C99" s="153" t="s">
        <v>248</v>
      </c>
      <c r="D99" s="148"/>
      <c r="E99" s="149"/>
      <c r="G99" s="146"/>
    </row>
    <row r="100" spans="1:7" ht="103.5" customHeight="1" x14ac:dyDescent="0.2">
      <c r="B100" s="151"/>
      <c r="C100" s="143" t="s">
        <v>249</v>
      </c>
      <c r="D100" s="152">
        <v>58905.000000000007</v>
      </c>
      <c r="E100" s="130">
        <v>58905.000000000007</v>
      </c>
      <c r="G100" s="146"/>
    </row>
    <row r="101" spans="1:7" ht="35.1" customHeight="1" x14ac:dyDescent="0.2">
      <c r="B101" s="151"/>
      <c r="C101" s="154" t="s">
        <v>250</v>
      </c>
      <c r="D101" s="148"/>
      <c r="E101" s="149"/>
      <c r="G101" s="146"/>
    </row>
    <row r="102" spans="1:7" ht="35.1" customHeight="1" x14ac:dyDescent="0.2">
      <c r="B102" s="151"/>
      <c r="C102" s="143" t="s">
        <v>251</v>
      </c>
      <c r="D102" s="152">
        <v>53996.250000000007</v>
      </c>
      <c r="E102" s="130">
        <v>53996.250000000007</v>
      </c>
      <c r="G102" s="146"/>
    </row>
    <row r="103" spans="1:7" ht="35.1" customHeight="1" x14ac:dyDescent="0.2">
      <c r="B103" s="151"/>
      <c r="C103" s="150" t="s">
        <v>252</v>
      </c>
      <c r="D103" s="148"/>
      <c r="E103" s="149"/>
      <c r="G103" s="146"/>
    </row>
    <row r="104" spans="1:7" ht="35.1" customHeight="1" x14ac:dyDescent="0.2">
      <c r="B104" s="151"/>
      <c r="C104" s="143" t="s">
        <v>253</v>
      </c>
      <c r="D104" s="152">
        <v>34361.25</v>
      </c>
      <c r="E104" s="130">
        <v>34361.25</v>
      </c>
      <c r="G104" s="146"/>
    </row>
    <row r="105" spans="1:7" ht="35.1" customHeight="1" x14ac:dyDescent="0.2">
      <c r="A105" s="113" t="s">
        <v>168</v>
      </c>
      <c r="B105" s="123" t="s">
        <v>254</v>
      </c>
      <c r="C105" s="124"/>
      <c r="D105" s="125"/>
      <c r="E105" s="126"/>
      <c r="G105" s="146"/>
    </row>
    <row r="106" spans="1:7" ht="108" customHeight="1" x14ac:dyDescent="0.2">
      <c r="B106" s="151"/>
      <c r="C106" s="150" t="s">
        <v>154</v>
      </c>
      <c r="D106" s="152">
        <v>152172</v>
      </c>
      <c r="E106" s="130">
        <v>152172</v>
      </c>
      <c r="G106" s="146"/>
    </row>
    <row r="107" spans="1:7" ht="35.1" customHeight="1" x14ac:dyDescent="0.2">
      <c r="A107" s="113" t="s">
        <v>168</v>
      </c>
      <c r="B107" s="123" t="s">
        <v>86</v>
      </c>
      <c r="C107" s="124"/>
      <c r="D107" s="125"/>
      <c r="E107" s="126"/>
      <c r="G107" s="146"/>
    </row>
    <row r="108" spans="1:7" ht="108" customHeight="1" x14ac:dyDescent="0.2">
      <c r="B108" s="151"/>
      <c r="C108" s="150" t="s">
        <v>86</v>
      </c>
      <c r="D108" s="152">
        <v>9818</v>
      </c>
      <c r="E108" s="130">
        <v>9818</v>
      </c>
      <c r="G108" s="146"/>
    </row>
  </sheetData>
  <pageMargins left="0.31496062992125984" right="0.27559055118110237" top="0.43307086614173229" bottom="0.43307086614173229" header="0.31496062992125984" footer="0.31496062992125984"/>
  <pageSetup paperSize="9" scale="86" fitToHeight="10" orientation="portrait" verticalDpi="1200" r:id="rId1"/>
  <headerFooter>
    <oddFooter>&amp;Cระดับชั้น ข้อมูลความลับ</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6BE2-4619-4446-BA09-D25DF992EE5F}">
  <dimension ref="A1:AH12"/>
  <sheetViews>
    <sheetView zoomScale="85" zoomScaleNormal="85" workbookViewId="0">
      <selection activeCell="AA38" sqref="AA38"/>
    </sheetView>
  </sheetViews>
  <sheetFormatPr defaultRowHeight="14.25" x14ac:dyDescent="0.2"/>
  <cols>
    <col min="1" max="1" width="4.5" customWidth="1"/>
    <col min="2" max="2" width="27.25" customWidth="1"/>
    <col min="3" max="33" width="4.625" customWidth="1"/>
    <col min="34" max="34" width="5.5" customWidth="1"/>
  </cols>
  <sheetData>
    <row r="1" spans="1:34" s="163" customFormat="1" ht="20.100000000000001" customHeight="1" x14ac:dyDescent="0.2">
      <c r="A1" s="178" t="s">
        <v>258</v>
      </c>
      <c r="B1" s="179" t="s">
        <v>166</v>
      </c>
      <c r="C1" s="178" t="s">
        <v>274</v>
      </c>
      <c r="D1" s="178"/>
      <c r="E1" s="178"/>
      <c r="F1" s="178"/>
      <c r="G1" s="178" t="s">
        <v>275</v>
      </c>
      <c r="H1" s="178"/>
      <c r="I1" s="178"/>
      <c r="J1" s="178"/>
      <c r="K1" s="178" t="s">
        <v>276</v>
      </c>
      <c r="L1" s="178"/>
      <c r="M1" s="178"/>
      <c r="N1" s="178"/>
      <c r="O1" s="178" t="s">
        <v>277</v>
      </c>
      <c r="P1" s="178"/>
      <c r="Q1" s="178"/>
      <c r="R1" s="178"/>
      <c r="S1" s="178" t="s">
        <v>278</v>
      </c>
      <c r="T1" s="178"/>
      <c r="U1" s="178"/>
      <c r="V1" s="178"/>
      <c r="W1" s="178" t="s">
        <v>279</v>
      </c>
      <c r="X1" s="178"/>
      <c r="Y1" s="178"/>
      <c r="Z1" s="178"/>
      <c r="AA1" s="178" t="s">
        <v>280</v>
      </c>
      <c r="AB1" s="178"/>
      <c r="AC1" s="178"/>
      <c r="AD1" s="178"/>
      <c r="AE1" s="178" t="s">
        <v>281</v>
      </c>
      <c r="AF1" s="178"/>
      <c r="AG1" s="178"/>
      <c r="AH1" s="178"/>
    </row>
    <row r="2" spans="1:34" s="163" customFormat="1" ht="20.100000000000001" customHeight="1" x14ac:dyDescent="0.2">
      <c r="A2" s="178"/>
      <c r="B2" s="179"/>
      <c r="C2" s="164" t="s">
        <v>259</v>
      </c>
      <c r="D2" s="164" t="s">
        <v>260</v>
      </c>
      <c r="E2" s="164" t="s">
        <v>261</v>
      </c>
      <c r="F2" s="164" t="s">
        <v>262</v>
      </c>
      <c r="G2" s="164" t="s">
        <v>259</v>
      </c>
      <c r="H2" s="164" t="s">
        <v>260</v>
      </c>
      <c r="I2" s="164" t="s">
        <v>261</v>
      </c>
      <c r="J2" s="164" t="s">
        <v>262</v>
      </c>
      <c r="K2" s="164" t="s">
        <v>259</v>
      </c>
      <c r="L2" s="164" t="s">
        <v>260</v>
      </c>
      <c r="M2" s="164" t="s">
        <v>261</v>
      </c>
      <c r="N2" s="164" t="s">
        <v>262</v>
      </c>
      <c r="O2" s="164" t="s">
        <v>259</v>
      </c>
      <c r="P2" s="164" t="s">
        <v>260</v>
      </c>
      <c r="Q2" s="164" t="s">
        <v>261</v>
      </c>
      <c r="R2" s="164" t="s">
        <v>262</v>
      </c>
      <c r="S2" s="164" t="s">
        <v>259</v>
      </c>
      <c r="T2" s="164" t="s">
        <v>260</v>
      </c>
      <c r="U2" s="164" t="s">
        <v>261</v>
      </c>
      <c r="V2" s="164" t="s">
        <v>262</v>
      </c>
      <c r="W2" s="164" t="s">
        <v>259</v>
      </c>
      <c r="X2" s="164" t="s">
        <v>260</v>
      </c>
      <c r="Y2" s="164" t="s">
        <v>261</v>
      </c>
      <c r="Z2" s="164" t="s">
        <v>262</v>
      </c>
      <c r="AA2" s="164" t="s">
        <v>259</v>
      </c>
      <c r="AB2" s="164" t="s">
        <v>260</v>
      </c>
      <c r="AC2" s="164" t="s">
        <v>261</v>
      </c>
      <c r="AD2" s="164" t="s">
        <v>262</v>
      </c>
      <c r="AE2" s="164" t="s">
        <v>259</v>
      </c>
      <c r="AF2" s="164" t="s">
        <v>260</v>
      </c>
      <c r="AG2" s="164" t="s">
        <v>261</v>
      </c>
      <c r="AH2" s="164" t="s">
        <v>262</v>
      </c>
    </row>
    <row r="3" spans="1:34" s="163" customFormat="1" ht="22.5" customHeight="1" x14ac:dyDescent="0.2">
      <c r="A3" s="162">
        <v>1</v>
      </c>
      <c r="B3" s="165" t="s">
        <v>263</v>
      </c>
      <c r="C3" s="166"/>
      <c r="D3" s="166"/>
      <c r="E3" s="166"/>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row>
    <row r="4" spans="1:34" s="163" customFormat="1" ht="22.5" customHeight="1" x14ac:dyDescent="0.2">
      <c r="A4" s="162">
        <v>2</v>
      </c>
      <c r="B4" s="165" t="s">
        <v>264</v>
      </c>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2"/>
      <c r="AC4" s="162"/>
      <c r="AD4" s="162"/>
      <c r="AE4" s="162"/>
      <c r="AF4" s="162"/>
      <c r="AG4" s="162"/>
      <c r="AH4" s="162"/>
    </row>
    <row r="5" spans="1:34" s="163" customFormat="1" ht="22.5" customHeight="1" x14ac:dyDescent="0.2">
      <c r="A5" s="162">
        <v>3</v>
      </c>
      <c r="B5" s="165" t="s">
        <v>265</v>
      </c>
      <c r="C5" s="167"/>
      <c r="D5" s="167"/>
      <c r="E5" s="167"/>
      <c r="F5" s="167"/>
      <c r="G5" s="167"/>
      <c r="H5" s="167"/>
      <c r="I5" s="167"/>
      <c r="J5" s="167"/>
      <c r="K5" s="167"/>
      <c r="L5" s="167"/>
      <c r="M5" s="167"/>
      <c r="N5" s="167"/>
      <c r="O5" s="167"/>
      <c r="P5" s="167"/>
      <c r="Q5" s="167"/>
      <c r="R5" s="167"/>
      <c r="S5" s="167"/>
      <c r="T5" s="166"/>
      <c r="U5" s="167"/>
      <c r="V5" s="167"/>
      <c r="W5" s="167"/>
      <c r="X5" s="167"/>
      <c r="Y5" s="167"/>
      <c r="Z5" s="167"/>
      <c r="AA5" s="167"/>
      <c r="AB5" s="167"/>
      <c r="AC5" s="167"/>
      <c r="AD5" s="167"/>
      <c r="AE5" s="167"/>
      <c r="AF5" s="167"/>
      <c r="AG5" s="167"/>
      <c r="AH5" s="167"/>
    </row>
    <row r="6" spans="1:34" s="163" customFormat="1" ht="22.5" customHeight="1" x14ac:dyDescent="0.2">
      <c r="A6" s="162">
        <v>4</v>
      </c>
      <c r="B6" s="165" t="s">
        <v>266</v>
      </c>
      <c r="C6" s="167"/>
      <c r="D6" s="167"/>
      <c r="E6" s="167"/>
      <c r="F6" s="167"/>
      <c r="G6" s="167"/>
      <c r="H6" s="167"/>
      <c r="I6" s="167"/>
      <c r="J6" s="167"/>
      <c r="K6" s="167"/>
      <c r="L6" s="167"/>
      <c r="M6" s="167"/>
      <c r="N6" s="167"/>
      <c r="O6" s="167"/>
      <c r="P6" s="167"/>
      <c r="Q6" s="167"/>
      <c r="R6" s="167"/>
      <c r="S6" s="167"/>
      <c r="T6" s="166"/>
      <c r="U6" s="166"/>
      <c r="V6" s="166"/>
      <c r="W6" s="167"/>
      <c r="X6" s="167"/>
      <c r="Y6" s="167"/>
      <c r="Z6" s="167"/>
      <c r="AA6" s="167"/>
      <c r="AB6" s="167"/>
      <c r="AC6" s="167"/>
      <c r="AD6" s="167"/>
      <c r="AE6" s="167"/>
      <c r="AF6" s="167"/>
      <c r="AG6" s="167"/>
      <c r="AH6" s="167"/>
    </row>
    <row r="7" spans="1:34" s="163" customFormat="1" ht="22.5" customHeight="1" x14ac:dyDescent="0.2">
      <c r="A7" s="162">
        <v>7</v>
      </c>
      <c r="B7" s="165" t="s">
        <v>267</v>
      </c>
      <c r="C7" s="167"/>
      <c r="D7" s="167"/>
      <c r="E7" s="167"/>
      <c r="F7" s="167"/>
      <c r="G7" s="167"/>
      <c r="H7" s="167"/>
      <c r="I7" s="167"/>
      <c r="J7" s="167"/>
      <c r="K7" s="167"/>
      <c r="L7" s="167"/>
      <c r="M7" s="162"/>
      <c r="N7" s="162"/>
      <c r="O7" s="167"/>
      <c r="P7" s="167"/>
      <c r="Q7" s="167"/>
      <c r="R7" s="167"/>
      <c r="S7" s="167"/>
      <c r="T7" s="167"/>
      <c r="U7" s="167"/>
      <c r="V7" s="167"/>
      <c r="W7" s="167"/>
      <c r="X7" s="167"/>
      <c r="Y7" s="167"/>
      <c r="Z7" s="167"/>
      <c r="AA7" s="166"/>
      <c r="AB7" s="167"/>
      <c r="AC7" s="167"/>
      <c r="AD7" s="167"/>
      <c r="AE7" s="167"/>
      <c r="AF7" s="167"/>
      <c r="AG7" s="167"/>
      <c r="AH7" s="167"/>
    </row>
    <row r="8" spans="1:34" s="163" customFormat="1" ht="22.5" customHeight="1" x14ac:dyDescent="0.2">
      <c r="A8" s="162">
        <v>8</v>
      </c>
      <c r="B8" s="165" t="s">
        <v>268</v>
      </c>
      <c r="C8" s="167"/>
      <c r="D8" s="167"/>
      <c r="E8" s="167"/>
      <c r="F8" s="167"/>
      <c r="G8" s="167"/>
      <c r="H8" s="167"/>
      <c r="I8" s="167"/>
      <c r="J8" s="167"/>
      <c r="K8" s="167"/>
      <c r="L8" s="167"/>
      <c r="M8" s="162"/>
      <c r="N8" s="162"/>
      <c r="O8" s="167"/>
      <c r="P8" s="167"/>
      <c r="Q8" s="167"/>
      <c r="R8" s="167"/>
      <c r="S8" s="167"/>
      <c r="T8" s="167"/>
      <c r="U8" s="167"/>
      <c r="V8" s="167"/>
      <c r="W8" s="167"/>
      <c r="X8" s="167"/>
      <c r="Y8" s="167"/>
      <c r="Z8" s="167"/>
      <c r="AA8" s="166"/>
      <c r="AB8" s="166"/>
      <c r="AC8" s="167"/>
      <c r="AD8" s="167"/>
      <c r="AE8" s="167"/>
      <c r="AF8" s="167"/>
      <c r="AG8" s="167"/>
      <c r="AH8" s="167"/>
    </row>
    <row r="9" spans="1:34" s="163" customFormat="1" ht="22.5" customHeight="1" x14ac:dyDescent="0.2">
      <c r="A9" s="162">
        <v>9</v>
      </c>
      <c r="B9" s="165" t="s">
        <v>269</v>
      </c>
      <c r="C9" s="167"/>
      <c r="D9" s="167"/>
      <c r="E9" s="167"/>
      <c r="F9" s="167"/>
      <c r="G9" s="167"/>
      <c r="H9" s="167"/>
      <c r="I9" s="167"/>
      <c r="J9" s="167"/>
      <c r="K9" s="167"/>
      <c r="L9" s="167"/>
      <c r="M9" s="162"/>
      <c r="N9" s="162"/>
      <c r="O9" s="167"/>
      <c r="P9" s="167"/>
      <c r="Q9" s="167"/>
      <c r="R9" s="167"/>
      <c r="S9" s="167"/>
      <c r="T9" s="167"/>
      <c r="U9" s="167"/>
      <c r="V9" s="167"/>
      <c r="W9" s="167"/>
      <c r="X9" s="167"/>
      <c r="Y9" s="167"/>
      <c r="Z9" s="167"/>
      <c r="AA9" s="167"/>
      <c r="AB9" s="167"/>
      <c r="AC9" s="166"/>
      <c r="AD9" s="167"/>
      <c r="AE9" s="167"/>
      <c r="AF9" s="167"/>
      <c r="AG9" s="167"/>
      <c r="AH9" s="167"/>
    </row>
    <row r="10" spans="1:34" s="163" customFormat="1" ht="22.5" customHeight="1" x14ac:dyDescent="0.2">
      <c r="A10" s="162">
        <v>10</v>
      </c>
      <c r="B10" s="165" t="s">
        <v>270</v>
      </c>
      <c r="C10" s="167"/>
      <c r="D10" s="167"/>
      <c r="E10" s="167"/>
      <c r="F10" s="167"/>
      <c r="G10" s="167"/>
      <c r="H10" s="167"/>
      <c r="I10" s="167"/>
      <c r="J10" s="167"/>
      <c r="K10" s="167"/>
      <c r="L10" s="167"/>
      <c r="M10" s="162"/>
      <c r="N10" s="162"/>
      <c r="O10" s="167"/>
      <c r="P10" s="167"/>
      <c r="Q10" s="167"/>
      <c r="R10" s="167"/>
      <c r="S10" s="167"/>
      <c r="T10" s="167"/>
      <c r="U10" s="167"/>
      <c r="V10" s="167"/>
      <c r="W10" s="167"/>
      <c r="X10" s="167"/>
      <c r="Y10" s="167"/>
      <c r="Z10" s="167"/>
      <c r="AA10" s="167"/>
      <c r="AB10" s="167"/>
      <c r="AC10" s="166"/>
      <c r="AD10" s="166"/>
      <c r="AE10" s="167"/>
      <c r="AF10" s="167"/>
      <c r="AG10" s="167"/>
      <c r="AH10" s="167"/>
    </row>
    <row r="11" spans="1:34" s="163" customFormat="1" ht="22.5" customHeight="1" x14ac:dyDescent="0.2">
      <c r="A11" s="162">
        <v>11</v>
      </c>
      <c r="B11" s="165" t="s">
        <v>271</v>
      </c>
      <c r="C11" s="167"/>
      <c r="D11" s="167"/>
      <c r="E11" s="167"/>
      <c r="F11" s="167"/>
      <c r="G11" s="167"/>
      <c r="H11" s="167"/>
      <c r="I11" s="167"/>
      <c r="J11" s="167"/>
      <c r="K11" s="167"/>
      <c r="L11" s="167"/>
      <c r="M11" s="162"/>
      <c r="N11" s="162"/>
      <c r="O11" s="167"/>
      <c r="P11" s="167"/>
      <c r="Q11" s="167"/>
      <c r="R11" s="167"/>
      <c r="S11" s="167"/>
      <c r="T11" s="167"/>
      <c r="U11" s="167"/>
      <c r="V11" s="167"/>
      <c r="W11" s="167"/>
      <c r="X11" s="167"/>
      <c r="Y11" s="167"/>
      <c r="Z11" s="167"/>
      <c r="AA11" s="167"/>
      <c r="AB11" s="167"/>
      <c r="AC11" s="167"/>
      <c r="AD11" s="166"/>
      <c r="AE11" s="166"/>
      <c r="AF11" s="166"/>
      <c r="AG11" s="166"/>
      <c r="AH11" s="167"/>
    </row>
    <row r="12" spans="1:34" s="163" customFormat="1" ht="22.5" customHeight="1" x14ac:dyDescent="0.2">
      <c r="A12" s="162">
        <v>13</v>
      </c>
      <c r="B12" s="165" t="s">
        <v>272</v>
      </c>
      <c r="C12" s="167"/>
      <c r="D12" s="167"/>
      <c r="E12" s="167"/>
      <c r="F12" s="167"/>
      <c r="G12" s="167"/>
      <c r="H12" s="167"/>
      <c r="I12" s="167"/>
      <c r="J12" s="167"/>
      <c r="K12" s="167"/>
      <c r="L12" s="167"/>
      <c r="M12" s="162"/>
      <c r="N12" s="162"/>
      <c r="O12" s="167"/>
      <c r="P12" s="167"/>
      <c r="Q12" s="167"/>
      <c r="R12" s="167"/>
      <c r="S12" s="167"/>
      <c r="T12" s="167"/>
      <c r="U12" s="167"/>
      <c r="V12" s="167"/>
      <c r="W12" s="167"/>
      <c r="X12" s="167"/>
      <c r="Y12" s="167"/>
      <c r="Z12" s="167"/>
      <c r="AA12" s="167"/>
      <c r="AB12" s="167"/>
      <c r="AC12" s="167"/>
      <c r="AD12" s="167"/>
      <c r="AE12" s="167"/>
      <c r="AF12" s="167"/>
      <c r="AG12" s="167"/>
      <c r="AH12" s="166"/>
    </row>
  </sheetData>
  <mergeCells count="10">
    <mergeCell ref="AE1:AH1"/>
    <mergeCell ref="A1:A2"/>
    <mergeCell ref="B1:B2"/>
    <mergeCell ref="C1:F1"/>
    <mergeCell ref="G1:J1"/>
    <mergeCell ref="K1:N1"/>
    <mergeCell ref="O1:R1"/>
    <mergeCell ref="S1:V1"/>
    <mergeCell ref="W1:Z1"/>
    <mergeCell ref="AA1:AD1"/>
  </mergeCells>
  <phoneticPr fontId="35"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53330AF424484386F0A03DE1C50FEE" ma:contentTypeVersion="0" ma:contentTypeDescription="Create a new document." ma:contentTypeScope="" ma:versionID="2b372ff3092c8c37f3982edabca56205">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F84227-C52F-4410-A325-20BFBE1C7094}"/>
</file>

<file path=customXml/itemProps2.xml><?xml version="1.0" encoding="utf-8"?>
<ds:datastoreItem xmlns:ds="http://schemas.openxmlformats.org/officeDocument/2006/customXml" ds:itemID="{DEAE58F8-3EB0-49AF-A360-D0E6234C47A6}"/>
</file>

<file path=customXml/itemProps3.xml><?xml version="1.0" encoding="utf-8"?>
<ds:datastoreItem xmlns:ds="http://schemas.openxmlformats.org/officeDocument/2006/customXml" ds:itemID="{E91F85AF-A223-4D8A-8CD8-5D1545D93B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E-Recruit adjust before EA</vt:lpstr>
      <vt:lpstr>Scope overview dblink cut scope</vt:lpstr>
      <vt:lpstr>plan (2)</vt:lpstr>
      <vt:lpstr>'Scope overview dblink cut scope'!Print_Area</vt:lpstr>
      <vt:lpstr>'Scope overview dblink cut scope'!Print_Titles</vt:lpstr>
    </vt:vector>
  </TitlesOfParts>
  <Company>PTT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Kanlaya Rojanavalee</dc:creator>
  <cp:lastModifiedBy>Kanlaya Rojanavalee</cp:lastModifiedBy>
  <dcterms:created xsi:type="dcterms:W3CDTF">2026-02-16T03:49:51Z</dcterms:created>
  <dcterms:modified xsi:type="dcterms:W3CDTF">2026-03-27T03:04:55Z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0x010100DB53330AF424484386F0A03DE1C50FEE</vt:lpwstr>
  </property>
</Properties>
</file>