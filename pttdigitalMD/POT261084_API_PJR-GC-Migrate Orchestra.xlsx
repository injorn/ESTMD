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panita.y\OneDrive - PTT GROUP\Desktop\POT\MigrateOrchestra\"/>
    </mc:Choice>
  </mc:AlternateContent>
  <xr:revisionPtr revIDLastSave="0" documentId="13_ncr:1_{626A940B-27AB-4681-B034-C6CCDDDE6C0D}" xr6:coauthVersionLast="47" xr6:coauthVersionMax="47" xr10:uidLastSave="{00000000-0000-0000-0000-000000000000}"/>
  <bookViews>
    <workbookView xWindow="-120" yWindow="-16320" windowWidth="29040" windowHeight="15720" tabRatio="771" activeTab="2" xr2:uid="{00000000-000D-0000-FFFF-FFFF00000000}"/>
  </bookViews>
  <sheets>
    <sheet name="Total" sheetId="7" r:id="rId1"/>
    <sheet name="Vendor Cost" sheetId="9" r:id="rId2"/>
    <sheet name="Digital_Manday" sheetId="8" r:id="rId3"/>
    <sheet name="Timeline" sheetId="10" state="hidden" r:id="rId4"/>
    <sheet name="Other Expense" sheetId="12" state="hidden" r:id="rId5"/>
  </sheets>
  <definedNames>
    <definedName name="_xlnm.Print_Area" localSheetId="2">Digital_Manday!$A$1:$S$31</definedName>
    <definedName name="_xlnm.Print_Area" localSheetId="0">Total!$B$1:$K$60</definedName>
    <definedName name="_xlnm.Print_Area" localSheetId="1">'Vendor Cost'!$C$2:$F$24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H29" i="8"/>
  <c r="I29" i="8"/>
  <c r="J29" i="8"/>
  <c r="K29" i="8"/>
  <c r="L29" i="8"/>
  <c r="M29" i="8"/>
  <c r="N29" i="8"/>
  <c r="K21" i="8"/>
  <c r="L21" i="8"/>
  <c r="M21" i="8"/>
  <c r="N21" i="8"/>
  <c r="N26" i="8" s="1"/>
  <c r="C6" i="7"/>
  <c r="L30" i="8" l="1"/>
  <c r="K30" i="8"/>
  <c r="E24" i="9"/>
  <c r="K25" i="8" l="1"/>
  <c r="L25" i="8"/>
  <c r="K26" i="8"/>
  <c r="L26" i="8"/>
  <c r="F29" i="8"/>
  <c r="F25" i="8"/>
  <c r="F21" i="8"/>
  <c r="A2" i="8"/>
  <c r="F30" i="8" l="1"/>
  <c r="F26" i="8"/>
  <c r="I21" i="8"/>
  <c r="I26" i="8" s="1"/>
  <c r="I25" i="8"/>
  <c r="I30" i="8" l="1"/>
  <c r="A1" i="8"/>
  <c r="C2" i="9" l="1"/>
  <c r="J25" i="8" l="1"/>
  <c r="J21" i="8"/>
  <c r="J26" i="8" s="1"/>
  <c r="J30" i="8" l="1"/>
  <c r="M25" i="8"/>
  <c r="H25" i="8"/>
  <c r="G25" i="8"/>
  <c r="H21" i="8"/>
  <c r="H26" i="8" s="1"/>
  <c r="H30" i="8" l="1"/>
  <c r="M26" i="8" l="1"/>
  <c r="M30" i="8" l="1"/>
  <c r="D25" i="8" l="1"/>
  <c r="H11" i="12" l="1"/>
  <c r="G11" i="12"/>
  <c r="F11" i="12"/>
  <c r="E11" i="12"/>
  <c r="D11" i="12"/>
  <c r="C11" i="12"/>
  <c r="C16" i="12" l="1"/>
  <c r="D16" i="12" s="1"/>
  <c r="F12" i="12"/>
  <c r="D15" i="12"/>
  <c r="C12" i="12"/>
  <c r="C15" i="12"/>
  <c r="C17" i="12"/>
  <c r="D17" i="12"/>
  <c r="D18" i="12" l="1"/>
  <c r="C30" i="7"/>
  <c r="E13" i="9" l="1"/>
  <c r="E20" i="7" l="1"/>
  <c r="E19" i="7"/>
  <c r="E18" i="7"/>
  <c r="E13" i="7"/>
  <c r="E14" i="7"/>
  <c r="E12" i="7"/>
  <c r="E29" i="8"/>
  <c r="G29" i="8"/>
  <c r="D29" i="8"/>
  <c r="E21" i="7" l="1"/>
  <c r="E15" i="7"/>
  <c r="E15" i="9"/>
  <c r="D21" i="8"/>
  <c r="D30" i="8" s="1"/>
  <c r="E25" i="8"/>
  <c r="E21" i="8"/>
  <c r="E30" i="8" s="1"/>
  <c r="G21" i="8"/>
  <c r="G26" i="8" s="1"/>
  <c r="N25" i="8"/>
  <c r="G30" i="8" l="1"/>
  <c r="E26" i="8"/>
  <c r="D26" i="8"/>
  <c r="N30" i="8"/>
  <c r="O25" i="8"/>
  <c r="C3" i="7" s="1"/>
  <c r="O30" i="8" l="1"/>
  <c r="O31" i="8" s="1"/>
  <c r="O26" i="8"/>
  <c r="C4" i="7" s="1"/>
  <c r="C8" i="7" s="1"/>
  <c r="D26" i="7" l="1"/>
  <c r="D25" i="7"/>
  <c r="O27" i="8"/>
  <c r="D30" i="7" l="1"/>
</calcChain>
</file>

<file path=xl/sharedStrings.xml><?xml version="1.0" encoding="utf-8"?>
<sst xmlns="http://schemas.openxmlformats.org/spreadsheetml/2006/main" count="174" uniqueCount="118">
  <si>
    <t>Design</t>
  </si>
  <si>
    <t>Software Development</t>
  </si>
  <si>
    <t>Total</t>
  </si>
  <si>
    <t>Phase</t>
  </si>
  <si>
    <t>Business Development</t>
  </si>
  <si>
    <t>Project Planning</t>
  </si>
  <si>
    <t>Kick-Off Meeting</t>
  </si>
  <si>
    <t>Final Preparation</t>
  </si>
  <si>
    <t>Project Closure</t>
  </si>
  <si>
    <t>Create Project closure report and Completion sign-off</t>
  </si>
  <si>
    <t>Details</t>
  </si>
  <si>
    <t>Deliverables</t>
  </si>
  <si>
    <t>PM</t>
  </si>
  <si>
    <t>Gather Initial Requirements</t>
  </si>
  <si>
    <t>Vendor Selection</t>
  </si>
  <si>
    <t>Impact analyst</t>
  </si>
  <si>
    <t>Create Project Plan, Other Plans and Integrate to Project Plan</t>
  </si>
  <si>
    <t>Prepare and setup Development Environment</t>
  </si>
  <si>
    <t>Go-live Support and Go-live Sign off</t>
  </si>
  <si>
    <t>Sign-Off GO Live</t>
  </si>
  <si>
    <t>Order</t>
  </si>
  <si>
    <t>Description</t>
  </si>
  <si>
    <t>Cost</t>
  </si>
  <si>
    <t>ราคานี้ยังไม่รวม Vat 7%</t>
  </si>
  <si>
    <t xml:space="preserve"> </t>
  </si>
  <si>
    <t>Discount</t>
  </si>
  <si>
    <t>Grand Total</t>
  </si>
  <si>
    <t>%</t>
  </si>
  <si>
    <t>จำนวนเงิน</t>
  </si>
  <si>
    <t>Rev/ Day</t>
  </si>
  <si>
    <t>Rev (BD Phase)</t>
  </si>
  <si>
    <t>Rev (Development Phase)</t>
  </si>
  <si>
    <t>Digital Rev</t>
  </si>
  <si>
    <t>Digital Cost</t>
  </si>
  <si>
    <t>Cost/ Day</t>
  </si>
  <si>
    <t>Cost (Development Phase)</t>
  </si>
  <si>
    <t>Digital Rev (BD Phase)</t>
  </si>
  <si>
    <t>Digital Rev (Development Phase)</t>
  </si>
  <si>
    <t>ค่าเดินทาง</t>
  </si>
  <si>
    <t>จำนวนครั้ง</t>
  </si>
  <si>
    <t>ครั้งละ</t>
  </si>
  <si>
    <t>รวมค่าเดินทาง</t>
  </si>
  <si>
    <t>ค่าเบี้ยเลี้ยง</t>
  </si>
  <si>
    <t>รวมค่าเบี้ยเลี้ยง</t>
  </si>
  <si>
    <t>Cost Performance</t>
  </si>
  <si>
    <t>Month 1</t>
  </si>
  <si>
    <t>Month 2</t>
  </si>
  <si>
    <t>Month 3</t>
  </si>
  <si>
    <t>Development</t>
  </si>
  <si>
    <t>Go-Live</t>
  </si>
  <si>
    <t>SIT</t>
  </si>
  <si>
    <t>UAT</t>
  </si>
  <si>
    <t>Migrate Data</t>
  </si>
  <si>
    <t>Task/Timeline</t>
  </si>
  <si>
    <t>Requirement Gathering</t>
  </si>
  <si>
    <t>Confirm Prototype</t>
  </si>
  <si>
    <t>Sign off Requirement and Design Specification</t>
  </si>
  <si>
    <t>Security Scan and Performance Test</t>
  </si>
  <si>
    <t xml:space="preserve">Implement Production </t>
  </si>
  <si>
    <t>Of1</t>
  </si>
  <si>
    <t>หัวข้อ</t>
  </si>
  <si>
    <t>ครั้งที่ 1</t>
  </si>
  <si>
    <t>ครั้งที่ 2</t>
  </si>
  <si>
    <t>ครั้งที่ 3</t>
  </si>
  <si>
    <t>ครั้งที่ 4</t>
  </si>
  <si>
    <t>ครั้งที่ 5</t>
  </si>
  <si>
    <t>ครั้งที่ 6</t>
  </si>
  <si>
    <t>ครั้งที่ 7</t>
  </si>
  <si>
    <t>ครั้งที่ 8</t>
  </si>
  <si>
    <t>ครั้งที่ 9</t>
  </si>
  <si>
    <t>ครั้งที่ 10</t>
  </si>
  <si>
    <t>คน</t>
  </si>
  <si>
    <t>คัน</t>
  </si>
  <si>
    <t>ค้าง</t>
  </si>
  <si>
    <t>BD</t>
  </si>
  <si>
    <t>Kick-Off</t>
  </si>
  <si>
    <t>Sum</t>
  </si>
  <si>
    <t>ค่าที่พัก</t>
  </si>
  <si>
    <t>ต่าเบี้ยเลี้ยง</t>
  </si>
  <si>
    <t>Confirm Requirement and Design</t>
  </si>
  <si>
    <t>Training</t>
  </si>
  <si>
    <t>Proposal</t>
  </si>
  <si>
    <t>Develop Software</t>
  </si>
  <si>
    <t>Kick Off Presentation, Project Schedule</t>
  </si>
  <si>
    <t>งวดการชำระเงิน PTTOR &gt;&gt; PTT Digital</t>
  </si>
  <si>
    <t>Unit Test</t>
  </si>
  <si>
    <t>Of2</t>
  </si>
  <si>
    <t xml:space="preserve">Vendor :  </t>
  </si>
  <si>
    <t>งวดการชำระเงิน PTT Digital &gt;&gt; Vendor</t>
  </si>
  <si>
    <t>Sr2</t>
  </si>
  <si>
    <t>Sr1</t>
  </si>
  <si>
    <t>งวดที่ 1 : Sign-Off M1</t>
  </si>
  <si>
    <t>งวดที่ 2 : Sign-Off M2</t>
  </si>
  <si>
    <t>Vendor Cost + 10 %</t>
  </si>
  <si>
    <t>PJR-GC-Migrate Orchestra</t>
  </si>
  <si>
    <t>SIMPLICITY ODM</t>
  </si>
  <si>
    <t>Panita Y.</t>
  </si>
  <si>
    <t>Benjo C.</t>
  </si>
  <si>
    <t>Thanakorn B.</t>
  </si>
  <si>
    <t>Legacy Team</t>
  </si>
  <si>
    <t>MuleSoft</t>
  </si>
  <si>
    <t>Tawit C.</t>
  </si>
  <si>
    <t>Thongchai T.</t>
  </si>
  <si>
    <t>Weerapol K.</t>
  </si>
  <si>
    <t>Warisara B.</t>
  </si>
  <si>
    <t>Pantawat K.</t>
  </si>
  <si>
    <t>QA</t>
  </si>
  <si>
    <t>Sinvisa N.</t>
  </si>
  <si>
    <t>Network</t>
  </si>
  <si>
    <t>Panuwat K.</t>
  </si>
  <si>
    <t>Infra</t>
  </si>
  <si>
    <t>Pawinee K.</t>
  </si>
  <si>
    <t>Sign-Off M1</t>
  </si>
  <si>
    <t>Prepare Transport</t>
  </si>
  <si>
    <t>Prepare Firewall</t>
  </si>
  <si>
    <t xml:space="preserve">Technical </t>
  </si>
  <si>
    <t>Send URL Mulesoft</t>
  </si>
  <si>
    <t>Confirm with 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</si>
</sst>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฿&quot;* #,##0.00_-;\-&quot;฿&quot;* #,##0.00_-;_-&quot;฿&quot;* &quot;-&quot;??_-;_-@_-"/>
    <numFmt numFmtId="165" formatCode="_-* #,##0.00_-;\-* #,##0.00_-;_-* &quot;-&quot;??_-;_-@_-"/>
    <numFmt numFmtId="166" formatCode="&quot;฿&quot;#,##0.00"/>
    <numFmt numFmtId="167" formatCode="_-[$฿-41E]* #,##0.00_-;\-[$฿-41E]* #,##0.00_-;_-[$฿-41E]* &quot;-&quot;??_-;_-@_-"/>
    <numFmt numFmtId="169" formatCode="_-* #,##0_-;\-* #,##0_-;_-* &quot;-&quot;??_-;_-@_-"/>
  </numFmts>
  <fonts count="2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FFFF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0"/>
      <color rgb="FFFF0000"/>
      <name val="Calibri"/>
      <family val="2"/>
      <charset val="22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b/>
      <sz val="10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athu"/>
      <family val="2"/>
    </font>
    <font>
      <b/>
      <sz val="14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ordia New"/>
      <family val="2"/>
    </font>
    <font>
      <sz val="10"/>
      <color rgb="FFFF0000"/>
      <name val="Cordia New"/>
      <family val="2"/>
    </font>
    <font>
      <sz val="14"/>
      <color theme="1"/>
      <name val="Cordia New"/>
      <family val="2"/>
    </font>
    <font>
      <b/>
      <sz val="18"/>
      <color theme="0"/>
      <name val="Cordia New"/>
      <family val="2"/>
    </font>
    <font>
      <sz val="14"/>
      <name val="Cordia New"/>
      <family val="2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CF0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6" fillId="0" borderId="0"/>
    <xf numFmtId="9" fontId="2" fillId="0" borderId="0" applyFont="0" applyFill="0" applyBorder="0" applyAlignment="0" applyProtection="0"/>
    <xf numFmtId="0" fontId="25" fillId="0" borderId="0"/>
    <xf numFmtId="0" fontId="1" fillId="0" borderId="0"/>
  </cellStyleXfs>
  <cellXfs count="145">
    <xf numFmtId="0" fontId="0" fillId="0" borderId="0" xfId="0"/>
    <xf numFmtId="0" fontId="5" fillId="3" borderId="5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8" fillId="0" borderId="0" xfId="0" applyFont="1"/>
    <xf numFmtId="166" fontId="0" fillId="0" borderId="0" xfId="0" applyNumberFormat="1"/>
    <xf numFmtId="0" fontId="5" fillId="3" borderId="9" xfId="0" applyFont="1" applyFill="1" applyBorder="1" applyAlignment="1">
      <alignment vertical="center" wrapText="1"/>
    </xf>
    <xf numFmtId="166" fontId="12" fillId="6" borderId="14" xfId="0" applyNumberFormat="1" applyFont="1" applyFill="1" applyBorder="1"/>
    <xf numFmtId="166" fontId="12" fillId="6" borderId="4" xfId="0" applyNumberFormat="1" applyFont="1" applyFill="1" applyBorder="1"/>
    <xf numFmtId="166" fontId="13" fillId="6" borderId="6" xfId="0" applyNumberFormat="1" applyFont="1" applyFill="1" applyBorder="1"/>
    <xf numFmtId="166" fontId="14" fillId="6" borderId="16" xfId="0" applyNumberFormat="1" applyFont="1" applyFill="1" applyBorder="1"/>
    <xf numFmtId="0" fontId="10" fillId="0" borderId="0" xfId="0" applyFont="1" applyAlignment="1">
      <alignment horizontal="left"/>
    </xf>
    <xf numFmtId="0" fontId="4" fillId="0" borderId="0" xfId="0" applyFont="1"/>
    <xf numFmtId="0" fontId="10" fillId="0" borderId="0" xfId="0" applyFont="1"/>
    <xf numFmtId="0" fontId="5" fillId="7" borderId="10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66" fontId="4" fillId="2" borderId="17" xfId="0" applyNumberFormat="1" applyFont="1" applyFill="1" applyBorder="1"/>
    <xf numFmtId="166" fontId="10" fillId="2" borderId="18" xfId="0" applyNumberFormat="1" applyFont="1" applyFill="1" applyBorder="1" applyAlignment="1">
      <alignment horizontal="right" vertical="center"/>
    </xf>
    <xf numFmtId="166" fontId="15" fillId="8" borderId="19" xfId="0" applyNumberFormat="1" applyFont="1" applyFill="1" applyBorder="1" applyAlignment="1">
      <alignment horizontal="left" indent="1"/>
    </xf>
    <xf numFmtId="166" fontId="9" fillId="8" borderId="15" xfId="0" applyNumberFormat="1" applyFont="1" applyFill="1" applyBorder="1" applyAlignment="1">
      <alignment horizontal="right" vertical="center"/>
    </xf>
    <xf numFmtId="166" fontId="15" fillId="8" borderId="21" xfId="0" applyNumberFormat="1" applyFont="1" applyFill="1" applyBorder="1" applyAlignment="1">
      <alignment horizontal="left" indent="1"/>
    </xf>
    <xf numFmtId="166" fontId="9" fillId="8" borderId="22" xfId="0" applyNumberFormat="1" applyFont="1" applyFill="1" applyBorder="1" applyAlignment="1">
      <alignment horizontal="right" vertical="center"/>
    </xf>
    <xf numFmtId="0" fontId="17" fillId="0" borderId="15" xfId="3" applyFont="1" applyBorder="1"/>
    <xf numFmtId="0" fontId="0" fillId="0" borderId="0" xfId="0" applyAlignment="1">
      <alignment horizontal="right"/>
    </xf>
    <xf numFmtId="0" fontId="4" fillId="5" borderId="15" xfId="3" applyFont="1" applyFill="1" applyBorder="1" applyAlignment="1">
      <alignment horizontal="left" indent="1"/>
    </xf>
    <xf numFmtId="0" fontId="19" fillId="0" borderId="8" xfId="0" applyFont="1" applyBorder="1"/>
    <xf numFmtId="166" fontId="18" fillId="9" borderId="28" xfId="0" applyNumberFormat="1" applyFont="1" applyFill="1" applyBorder="1" applyAlignment="1">
      <alignment horizontal="right" vertical="center"/>
    </xf>
    <xf numFmtId="166" fontId="18" fillId="9" borderId="1" xfId="0" applyNumberFormat="1" applyFont="1" applyFill="1" applyBorder="1" applyAlignment="1">
      <alignment horizontal="right" vertical="center"/>
    </xf>
    <xf numFmtId="0" fontId="20" fillId="5" borderId="27" xfId="0" applyFont="1" applyFill="1" applyBorder="1" applyAlignment="1">
      <alignment horizontal="center"/>
    </xf>
    <xf numFmtId="0" fontId="21" fillId="0" borderId="0" xfId="0" applyFont="1" applyAlignment="1">
      <alignment horizontal="left" vertical="center" indent="3"/>
    </xf>
    <xf numFmtId="9" fontId="10" fillId="0" borderId="15" xfId="4" applyFont="1" applyBorder="1"/>
    <xf numFmtId="0" fontId="22" fillId="0" borderId="21" xfId="0" applyFont="1" applyBorder="1" applyAlignment="1">
      <alignment horizontal="left" vertical="center" indent="3"/>
    </xf>
    <xf numFmtId="9" fontId="10" fillId="0" borderId="22" xfId="0" applyNumberFormat="1" applyFont="1" applyBorder="1"/>
    <xf numFmtId="0" fontId="10" fillId="0" borderId="25" xfId="0" applyFont="1" applyBorder="1"/>
    <xf numFmtId="166" fontId="10" fillId="0" borderId="26" xfId="0" applyNumberFormat="1" applyFont="1" applyBorder="1"/>
    <xf numFmtId="0" fontId="4" fillId="10" borderId="24" xfId="0" applyFont="1" applyFill="1" applyBorder="1" applyAlignment="1">
      <alignment horizontal="center"/>
    </xf>
    <xf numFmtId="1" fontId="4" fillId="10" borderId="12" xfId="0" applyNumberFormat="1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166" fontId="4" fillId="0" borderId="23" xfId="0" applyNumberFormat="1" applyFont="1" applyBorder="1"/>
    <xf numFmtId="167" fontId="12" fillId="6" borderId="10" xfId="0" applyNumberFormat="1" applyFont="1" applyFill="1" applyBorder="1"/>
    <xf numFmtId="167" fontId="12" fillId="6" borderId="2" xfId="0" applyNumberFormat="1" applyFont="1" applyFill="1" applyBorder="1"/>
    <xf numFmtId="167" fontId="13" fillId="6" borderId="5" xfId="0" applyNumberFormat="1" applyFont="1" applyFill="1" applyBorder="1"/>
    <xf numFmtId="167" fontId="14" fillId="6" borderId="16" xfId="0" applyNumberFormat="1" applyFont="1" applyFill="1" applyBorder="1"/>
    <xf numFmtId="166" fontId="18" fillId="9" borderId="27" xfId="0" applyNumberFormat="1" applyFont="1" applyFill="1" applyBorder="1"/>
    <xf numFmtId="0" fontId="4" fillId="10" borderId="29" xfId="0" applyFont="1" applyFill="1" applyBorder="1" applyAlignment="1">
      <alignment horizontal="center"/>
    </xf>
    <xf numFmtId="0" fontId="0" fillId="0" borderId="15" xfId="0" applyBorder="1"/>
    <xf numFmtId="0" fontId="0" fillId="0" borderId="30" xfId="0" applyBorder="1"/>
    <xf numFmtId="167" fontId="3" fillId="0" borderId="15" xfId="3" applyNumberFormat="1" applyFont="1" applyBorder="1"/>
    <xf numFmtId="0" fontId="3" fillId="0" borderId="15" xfId="3" applyFont="1" applyBorder="1" applyAlignment="1">
      <alignment horizontal="center"/>
    </xf>
    <xf numFmtId="0" fontId="10" fillId="5" borderId="15" xfId="0" applyFont="1" applyFill="1" applyBorder="1"/>
    <xf numFmtId="167" fontId="10" fillId="5" borderId="15" xfId="0" applyNumberFormat="1" applyFont="1" applyFill="1" applyBorder="1"/>
    <xf numFmtId="166" fontId="13" fillId="6" borderId="4" xfId="0" applyNumberFormat="1" applyFont="1" applyFill="1" applyBorder="1"/>
    <xf numFmtId="167" fontId="13" fillId="6" borderId="2" xfId="0" applyNumberFormat="1" applyFont="1" applyFill="1" applyBorder="1"/>
    <xf numFmtId="0" fontId="10" fillId="0" borderId="31" xfId="0" applyFont="1" applyBorder="1"/>
    <xf numFmtId="9" fontId="10" fillId="0" borderId="32" xfId="4" applyFont="1" applyBorder="1"/>
    <xf numFmtId="0" fontId="23" fillId="0" borderId="5" xfId="0" applyFont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vertical="top" wrapText="1"/>
    </xf>
    <xf numFmtId="0" fontId="23" fillId="0" borderId="9" xfId="0" applyFont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4" fillId="12" borderId="5" xfId="0" applyFont="1" applyFill="1" applyBorder="1" applyAlignment="1">
      <alignment horizontal="center" vertical="center" wrapText="1"/>
    </xf>
    <xf numFmtId="0" fontId="19" fillId="14" borderId="19" xfId="0" applyFont="1" applyFill="1" applyBorder="1" applyAlignment="1">
      <alignment horizontal="center" vertical="center"/>
    </xf>
    <xf numFmtId="0" fontId="19" fillId="14" borderId="15" xfId="0" applyFont="1" applyFill="1" applyBorder="1" applyAlignment="1">
      <alignment horizontal="center" vertical="center"/>
    </xf>
    <xf numFmtId="0" fontId="19" fillId="14" borderId="20" xfId="0" applyFont="1" applyFill="1" applyBorder="1" applyAlignment="1">
      <alignment horizontal="center" vertical="center"/>
    </xf>
    <xf numFmtId="0" fontId="0" fillId="0" borderId="3" xfId="0" applyBorder="1"/>
    <xf numFmtId="0" fontId="0" fillId="15" borderId="19" xfId="0" applyFill="1" applyBorder="1"/>
    <xf numFmtId="0" fontId="0" fillId="16" borderId="15" xfId="0" applyFill="1" applyBorder="1"/>
    <xf numFmtId="0" fontId="0" fillId="0" borderId="20" xfId="0" applyBorder="1"/>
    <xf numFmtId="0" fontId="0" fillId="15" borderId="21" xfId="0" applyFill="1" applyBorder="1"/>
    <xf numFmtId="0" fontId="0" fillId="16" borderId="22" xfId="0" applyFill="1" applyBorder="1"/>
    <xf numFmtId="0" fontId="0" fillId="0" borderId="23" xfId="0" applyBorder="1"/>
    <xf numFmtId="0" fontId="19" fillId="0" borderId="3" xfId="0" applyFont="1" applyBorder="1" applyAlignment="1">
      <alignment horizontal="right"/>
    </xf>
    <xf numFmtId="0" fontId="19" fillId="15" borderId="24" xfId="0" applyFont="1" applyFill="1" applyBorder="1" applyAlignment="1">
      <alignment horizontal="center"/>
    </xf>
    <xf numFmtId="0" fontId="19" fillId="15" borderId="12" xfId="0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7" fillId="4" borderId="37" xfId="0" applyFont="1" applyFill="1" applyBorder="1" applyAlignment="1">
      <alignment vertical="center" wrapText="1"/>
    </xf>
    <xf numFmtId="0" fontId="4" fillId="0" borderId="0" xfId="3" applyFont="1"/>
    <xf numFmtId="0" fontId="11" fillId="7" borderId="15" xfId="3" applyFont="1" applyFill="1" applyBorder="1" applyAlignment="1">
      <alignment horizontal="center" vertical="center"/>
    </xf>
    <xf numFmtId="0" fontId="4" fillId="5" borderId="15" xfId="3" applyFont="1" applyFill="1" applyBorder="1" applyAlignment="1">
      <alignment horizontal="center"/>
    </xf>
    <xf numFmtId="167" fontId="11" fillId="5" borderId="15" xfId="3" applyNumberFormat="1" applyFont="1" applyFill="1" applyBorder="1"/>
    <xf numFmtId="0" fontId="18" fillId="9" borderId="15" xfId="3" applyFont="1" applyFill="1" applyBorder="1" applyAlignment="1">
      <alignment horizontal="center"/>
    </xf>
    <xf numFmtId="0" fontId="18" fillId="9" borderId="15" xfId="3" applyFont="1" applyFill="1" applyBorder="1" applyAlignment="1">
      <alignment horizontal="left" indent="1"/>
    </xf>
    <xf numFmtId="167" fontId="18" fillId="9" borderId="15" xfId="3" applyNumberFormat="1" applyFont="1" applyFill="1" applyBorder="1"/>
    <xf numFmtId="0" fontId="0" fillId="0" borderId="0" xfId="0" applyAlignment="1">
      <alignment horizontal="center"/>
    </xf>
    <xf numFmtId="0" fontId="3" fillId="13" borderId="15" xfId="3" applyFont="1" applyFill="1" applyBorder="1" applyAlignment="1">
      <alignment horizontal="center"/>
    </xf>
    <xf numFmtId="0" fontId="17" fillId="13" borderId="15" xfId="3" applyFont="1" applyFill="1" applyBorder="1"/>
    <xf numFmtId="167" fontId="3" fillId="13" borderId="15" xfId="3" applyNumberFormat="1" applyFont="1" applyFill="1" applyBorder="1"/>
    <xf numFmtId="0" fontId="10" fillId="13" borderId="0" xfId="0" applyFont="1" applyFill="1"/>
    <xf numFmtId="0" fontId="10" fillId="13" borderId="15" xfId="0" applyFont="1" applyFill="1" applyBorder="1"/>
    <xf numFmtId="0" fontId="3" fillId="13" borderId="0" xfId="3" applyFont="1" applyFill="1"/>
    <xf numFmtId="0" fontId="4" fillId="13" borderId="0" xfId="3" applyFont="1" applyFill="1"/>
    <xf numFmtId="3" fontId="3" fillId="13" borderId="0" xfId="3" applyNumberFormat="1" applyFont="1" applyFill="1"/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18" borderId="7" xfId="0" applyFont="1" applyFill="1" applyBorder="1" applyAlignment="1">
      <alignment horizontal="center" vertical="center" wrapText="1"/>
    </xf>
    <xf numFmtId="0" fontId="7" fillId="18" borderId="8" xfId="0" applyFont="1" applyFill="1" applyBorder="1" applyAlignment="1">
      <alignment horizontal="center" vertical="center" wrapText="1"/>
    </xf>
    <xf numFmtId="0" fontId="7" fillId="17" borderId="7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horizontal="center" vertical="center" wrapText="1"/>
    </xf>
    <xf numFmtId="0" fontId="7" fillId="17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167" fontId="0" fillId="0" borderId="0" xfId="0" applyNumberFormat="1"/>
    <xf numFmtId="0" fontId="4" fillId="13" borderId="0" xfId="3" applyFont="1" applyFill="1" applyAlignment="1">
      <alignment horizontal="left"/>
    </xf>
    <xf numFmtId="0" fontId="7" fillId="17" borderId="7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horizontal="center" vertical="center" wrapText="1"/>
    </xf>
    <xf numFmtId="0" fontId="7" fillId="17" borderId="9" xfId="0" applyFont="1" applyFill="1" applyBorder="1" applyAlignment="1">
      <alignment horizontal="center" vertical="center" wrapText="1"/>
    </xf>
    <xf numFmtId="0" fontId="7" fillId="18" borderId="7" xfId="0" applyFont="1" applyFill="1" applyBorder="1" applyAlignment="1">
      <alignment horizontal="center" vertical="center" wrapText="1"/>
    </xf>
    <xf numFmtId="0" fontId="7" fillId="18" borderId="8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24" fillId="12" borderId="7" xfId="0" applyFont="1" applyFill="1" applyBorder="1" applyAlignment="1">
      <alignment horizontal="center" vertical="center" wrapText="1"/>
    </xf>
    <xf numFmtId="0" fontId="24" fillId="12" borderId="9" xfId="0" applyFont="1" applyFill="1" applyBorder="1" applyAlignment="1">
      <alignment horizontal="center" vertical="center" wrapText="1"/>
    </xf>
    <xf numFmtId="0" fontId="24" fillId="12" borderId="35" xfId="0" applyFont="1" applyFill="1" applyBorder="1" applyAlignment="1">
      <alignment horizontal="center" vertical="center" wrapText="1"/>
    </xf>
    <xf numFmtId="0" fontId="24" fillId="12" borderId="34" xfId="0" applyFont="1" applyFill="1" applyBorder="1" applyAlignment="1">
      <alignment horizontal="center" vertical="center" wrapText="1"/>
    </xf>
    <xf numFmtId="0" fontId="24" fillId="12" borderId="33" xfId="0" applyFont="1" applyFill="1" applyBorder="1" applyAlignment="1">
      <alignment horizontal="center" vertical="center" wrapText="1"/>
    </xf>
    <xf numFmtId="0" fontId="19" fillId="14" borderId="3" xfId="0" applyFont="1" applyFill="1" applyBorder="1" applyAlignment="1">
      <alignment horizontal="center" vertical="center"/>
    </xf>
    <xf numFmtId="0" fontId="19" fillId="14" borderId="17" xfId="0" applyFont="1" applyFill="1" applyBorder="1" applyAlignment="1">
      <alignment horizontal="center" vertical="center"/>
    </xf>
    <xf numFmtId="0" fontId="19" fillId="14" borderId="18" xfId="0" applyFont="1" applyFill="1" applyBorder="1" applyAlignment="1">
      <alignment horizontal="center" vertical="center"/>
    </xf>
    <xf numFmtId="0" fontId="19" fillId="14" borderId="36" xfId="0" applyFont="1" applyFill="1" applyBorder="1" applyAlignment="1">
      <alignment horizontal="center" vertical="center"/>
    </xf>
    <xf numFmtId="169" fontId="19" fillId="0" borderId="35" xfId="1" applyNumberFormat="1" applyFont="1" applyBorder="1" applyAlignment="1">
      <alignment horizontal="right"/>
    </xf>
    <xf numFmtId="169" fontId="19" fillId="0" borderId="34" xfId="1" applyNumberFormat="1" applyFont="1" applyBorder="1" applyAlignment="1">
      <alignment horizontal="right"/>
    </xf>
    <xf numFmtId="169" fontId="19" fillId="0" borderId="33" xfId="1" applyNumberFormat="1" applyFont="1" applyBorder="1" applyAlignment="1">
      <alignment horizontal="right"/>
    </xf>
    <xf numFmtId="169" fontId="0" fillId="0" borderId="0" xfId="1" applyNumberFormat="1" applyFont="1" applyAlignment="1">
      <alignment horizontal="right"/>
    </xf>
    <xf numFmtId="169" fontId="1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</cellXfs>
  <cellStyles count="7">
    <cellStyle name="Comma 2" xfId="1" xr:uid="{00000000-0005-0000-0000-000001000000}"/>
    <cellStyle name="Currency 2" xfId="2" xr:uid="{00000000-0005-0000-0000-000002000000}"/>
    <cellStyle name="Normal" xfId="0" builtinId="0"/>
    <cellStyle name="Normal 2" xfId="3" xr:uid="{00000000-0005-0000-0000-000004000000}"/>
    <cellStyle name="Normal 2 2" xfId="5" xr:uid="{00000000-0005-0000-0000-000005000000}"/>
    <cellStyle name="Normal 3" xfId="6" xr:uid="{00000000-0005-0000-0000-000006000000}"/>
    <cellStyle name="Percent" xfId="4" builtinId="5"/>
  </cellStyles>
  <dxfs count="0"/>
  <tableStyles count="0" defaultTableStyle="TableStyleMedium2" defaultPivotStyle="PivotStyleLight16"/>
  <colors>
    <mruColors>
      <color rgb="FFFFFF66"/>
      <color rgb="FFFFFF99"/>
      <color rgb="FFDEBDFF"/>
      <color rgb="FFCC00FF"/>
      <color rgb="FFFFFFCC"/>
      <color rgb="FFAFEAFF"/>
      <color rgb="FFFFA3FF"/>
      <color rgb="FFFF3399"/>
      <color rgb="FFFF8FC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PJR-GC-Migrate Orchestra</a:t>
            </a:r>
          </a:p>
        </c:rich>
      </c:tx>
      <c:layout>
        <c:manualLayout>
          <c:xMode val="edge"/>
          <c:yMode val="edge"/>
          <c:x val="0.36058413338892736"/>
          <c:y val="3.9935149802494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4E-422E-B04F-10A357B1BD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4E-422E-B04F-10A357B1BD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4E-422E-B04F-10A357B1BD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D33-4B1C-B0AC-5A6C7DEE99E5}"/>
              </c:ext>
            </c:extLst>
          </c:dPt>
          <c:dLbls>
            <c:dLbl>
              <c:idx val="2"/>
              <c:layout>
                <c:manualLayout>
                  <c:x val="9.4576056528707542E-2"/>
                  <c:y val="-0.1148510591887040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4E-422E-B04F-10A357B1BDE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Total!$B$3:$B$6</c:f>
              <c:strCache>
                <c:ptCount val="4"/>
                <c:pt idx="0">
                  <c:v>Digital Rev (BD Phase)</c:v>
                </c:pt>
                <c:pt idx="1">
                  <c:v>Digital Rev (Development Phase)</c:v>
                </c:pt>
                <c:pt idx="3">
                  <c:v>Vendor Cost + 10 %</c:v>
                </c:pt>
              </c:strCache>
            </c:strRef>
          </c:cat>
          <c:val>
            <c:numRef>
              <c:f>Total!$C$3:$C$6</c:f>
              <c:numCache>
                <c:formatCode>_-[$฿-41E]* #,##0.00_-;\-[$฿-41E]* #,##0.00_-;_-[$฿-41E]* "-"??_-;_-@_-</c:formatCode>
                <c:ptCount val="4"/>
                <c:pt idx="0">
                  <c:v>146000</c:v>
                </c:pt>
                <c:pt idx="1">
                  <c:v>1929500</c:v>
                </c:pt>
                <c:pt idx="3">
                  <c:v>137500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E-422E-B04F-10A357B1BDE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317500</xdr:colOff>
      <xdr:row>2</xdr:row>
      <xdr:rowOff>7754</xdr:rowOff>
    </xdr:from>
    <xdr:to>
      <xdr:col>10</xdr:col>
      <xdr:colOff>450850</xdr:colOff>
      <xdr:row>28</xdr:row>
      <xdr:rowOff>154305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5</xdr:row>
      <xdr:rowOff>160020</xdr:rowOff>
    </xdr:from>
    <xdr:to>
      <xdr:col>5</xdr:col>
      <xdr:colOff>379095</xdr:colOff>
      <xdr:row>5</xdr:row>
      <xdr:rowOff>335915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404360" y="1950720"/>
          <a:ext cx="219075" cy="175895"/>
        </a:xfrm>
        <a:prstGeom prst="star5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th-TH"/>
        </a:p>
      </xdr:txBody>
    </xdr:sp>
    <xdr:clientData/>
  </xdr:twoCellAnchor>
  <xdr:twoCellAnchor>
    <xdr:from>
      <xdr:col>13</xdr:col>
      <xdr:colOff>220980</xdr:colOff>
      <xdr:row>12</xdr:row>
      <xdr:rowOff>68580</xdr:rowOff>
    </xdr:from>
    <xdr:to>
      <xdr:col>13</xdr:col>
      <xdr:colOff>440055</xdr:colOff>
      <xdr:row>12</xdr:row>
      <xdr:rowOff>244475</xdr:rowOff>
    </xdr:to>
    <xdr:sp macro="" textlink="">
      <xdr:nvSpPr>
        <xdr:cNvPr id="7" name="5-Point Sta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8488680" y="4046220"/>
          <a:ext cx="219075" cy="175895"/>
        </a:xfrm>
        <a:prstGeom prst="star5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th-TH"/>
        </a:p>
      </xdr:txBody>
    </xdr:sp>
    <xdr:clientData/>
  </xdr:twoCellAnchor>
  <xdr:twoCellAnchor>
    <xdr:from>
      <xdr:col>5</xdr:col>
      <xdr:colOff>324971</xdr:colOff>
      <xdr:row>9</xdr:row>
      <xdr:rowOff>280147</xdr:rowOff>
    </xdr:from>
    <xdr:to>
      <xdr:col>10</xdr:col>
      <xdr:colOff>55870</xdr:colOff>
      <xdr:row>11</xdr:row>
      <xdr:rowOff>156883</xdr:rowOff>
    </xdr:to>
    <xdr:sp macro="" textlink="">
      <xdr:nvSpPr>
        <xdr:cNvPr id="5" name="Rectangular Callout 4">
          <a:extLst>
            <a:ext uri="{FF2B5EF4-FFF2-40B4-BE49-F238E27FC236}">
              <a16:creationId xmlns:a16="http://schemas.microsoft.com/office/drawing/2014/main" id="{106F4164-C59F-4A27-86C4-E0B19A78DC11}"/>
            </a:ext>
          </a:extLst>
        </xdr:cNvPr>
        <xdr:cNvSpPr/>
      </xdr:nvSpPr>
      <xdr:spPr>
        <a:xfrm>
          <a:off x="4538383" y="3193676"/>
          <a:ext cx="1916046" cy="459442"/>
        </a:xfrm>
        <a:prstGeom prst="wedgeRectCallout">
          <a:avLst>
            <a:gd name="adj1" fmla="val 131357"/>
            <a:gd name="adj2" fmla="val 106997"/>
          </a:avLst>
        </a:prstGeom>
        <a:solidFill>
          <a:srgbClr val="FF00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Sign-off</a:t>
          </a:r>
          <a:r>
            <a:rPr lang="en-US" sz="1600" b="1" baseline="0"/>
            <a:t> Go-live</a:t>
          </a:r>
          <a:endParaRPr lang="th-TH" sz="1600" b="1"/>
        </a:p>
      </xdr:txBody>
    </xdr:sp>
    <xdr:clientData/>
  </xdr:twoCellAnchor>
  <xdr:twoCellAnchor>
    <xdr:from>
      <xdr:col>7</xdr:col>
      <xdr:colOff>78441</xdr:colOff>
      <xdr:row>4</xdr:row>
      <xdr:rowOff>89646</xdr:rowOff>
    </xdr:from>
    <xdr:to>
      <xdr:col>11</xdr:col>
      <xdr:colOff>154201</xdr:colOff>
      <xdr:row>5</xdr:row>
      <xdr:rowOff>175935</xdr:rowOff>
    </xdr:to>
    <xdr:sp macro="" textlink="">
      <xdr:nvSpPr>
        <xdr:cNvPr id="6" name="Rectangular Callout 3">
          <a:extLst>
            <a:ext uri="{FF2B5EF4-FFF2-40B4-BE49-F238E27FC236}">
              <a16:creationId xmlns:a16="http://schemas.microsoft.com/office/drawing/2014/main" id="{A2B2B770-DDAE-473F-8549-D61D9FFFCE12}"/>
            </a:ext>
          </a:extLst>
        </xdr:cNvPr>
        <xdr:cNvSpPr/>
      </xdr:nvSpPr>
      <xdr:spPr>
        <a:xfrm>
          <a:off x="4684059" y="1277470"/>
          <a:ext cx="1823877" cy="377641"/>
        </a:xfrm>
        <a:prstGeom prst="wedgeRectCallout">
          <a:avLst>
            <a:gd name="adj1" fmla="val -85457"/>
            <a:gd name="adj2" fmla="val 66321"/>
          </a:avLst>
        </a:prstGeom>
        <a:solidFill>
          <a:srgbClr val="FF00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Sign-off</a:t>
          </a:r>
          <a:r>
            <a:rPr lang="en-US" sz="1600" b="1" baseline="0"/>
            <a:t> Requirement</a:t>
          </a:r>
          <a:endParaRPr lang="th-TH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  <pageSetUpPr fitToPage="1"/>
  </sheetPr>
  <dimension ref="B1:G37"/>
  <sheetViews>
    <sheetView zoomScale="85" zoomScaleNormal="85" zoomScaleSheetLayoutView="66" workbookViewId="0">
      <selection activeCell="D10" sqref="D10"/>
    </sheetView>
  </sheetViews>
  <sheetFormatPr defaultRowHeight="14.5"/>
  <cols>
    <col min="2" max="2" width="43.26953125" bestFit="1" customWidth="1"/>
    <col min="3" max="3" width="17.1796875" bestFit="1" customWidth="1"/>
    <col min="4" max="5" width="17.7265625" customWidth="1"/>
    <col min="7" max="7" width="31.1796875" bestFit="1" customWidth="1"/>
    <col min="8" max="8" width="17.1796875" bestFit="1" customWidth="1"/>
  </cols>
  <sheetData>
    <row r="1" spans="2:5">
      <c r="B1" t="s">
        <v>94</v>
      </c>
    </row>
    <row r="2" spans="2:5" ht="15" thickBot="1">
      <c r="B2" s="8"/>
      <c r="C2" s="8"/>
    </row>
    <row r="3" spans="2:5">
      <c r="B3" s="10" t="s">
        <v>36</v>
      </c>
      <c r="C3" s="42">
        <f>Digital_Manday!O25</f>
        <v>146000</v>
      </c>
    </row>
    <row r="4" spans="2:5">
      <c r="B4" s="11" t="s">
        <v>37</v>
      </c>
      <c r="C4" s="43">
        <f>Digital_Manday!O26</f>
        <v>1929500</v>
      </c>
      <c r="D4" s="103">
        <f>SUM(C3:C4)</f>
        <v>2075500</v>
      </c>
    </row>
    <row r="5" spans="2:5">
      <c r="B5" s="11"/>
      <c r="C5" s="43"/>
    </row>
    <row r="6" spans="2:5">
      <c r="B6" s="54" t="s">
        <v>93</v>
      </c>
      <c r="C6" s="55">
        <f>('Vendor Cost'!E15)*110%</f>
        <v>137500</v>
      </c>
    </row>
    <row r="7" spans="2:5" ht="15" thickBot="1">
      <c r="B7" s="12"/>
      <c r="C7" s="44"/>
    </row>
    <row r="8" spans="2:5" ht="15" thickBot="1">
      <c r="B8" s="13" t="s">
        <v>2</v>
      </c>
      <c r="C8" s="45">
        <f>SUM(C3:C6)+C7</f>
        <v>2213000</v>
      </c>
    </row>
    <row r="9" spans="2:5" ht="15" thickTop="1"/>
    <row r="11" spans="2:5" hidden="1">
      <c r="B11" s="47" t="s">
        <v>38</v>
      </c>
      <c r="C11" s="47" t="s">
        <v>39</v>
      </c>
      <c r="D11" s="47" t="s">
        <v>40</v>
      </c>
      <c r="E11" s="47" t="s">
        <v>41</v>
      </c>
    </row>
    <row r="12" spans="2:5" hidden="1">
      <c r="B12" s="48"/>
      <c r="C12" s="48"/>
      <c r="D12" s="48"/>
      <c r="E12" s="48">
        <f>C12*D12</f>
        <v>0</v>
      </c>
    </row>
    <row r="13" spans="2:5" hidden="1">
      <c r="B13" s="48"/>
      <c r="C13" s="48"/>
      <c r="D13" s="48"/>
      <c r="E13" s="48">
        <f t="shared" ref="E13:E14" si="0">C13*D13</f>
        <v>0</v>
      </c>
    </row>
    <row r="14" spans="2:5" hidden="1">
      <c r="B14" s="48"/>
      <c r="C14" s="48"/>
      <c r="D14" s="48"/>
      <c r="E14" s="48">
        <f t="shared" si="0"/>
        <v>0</v>
      </c>
    </row>
    <row r="15" spans="2:5" ht="15" hidden="1" thickBot="1">
      <c r="D15" t="s">
        <v>2</v>
      </c>
      <c r="E15" s="49">
        <f>SUM(E12:E14)</f>
        <v>0</v>
      </c>
    </row>
    <row r="16" spans="2:5" ht="22.5" hidden="1" thickTop="1" thickBot="1">
      <c r="B16" s="32"/>
    </row>
    <row r="17" spans="2:7" hidden="1">
      <c r="B17" s="47" t="s">
        <v>42</v>
      </c>
      <c r="C17" s="47" t="s">
        <v>39</v>
      </c>
      <c r="D17" s="47" t="s">
        <v>40</v>
      </c>
      <c r="E17" s="47" t="s">
        <v>43</v>
      </c>
    </row>
    <row r="18" spans="2:7" hidden="1">
      <c r="B18" s="48"/>
      <c r="C18" s="48"/>
      <c r="D18" s="48"/>
      <c r="E18" s="48">
        <f>C18*D18</f>
        <v>0</v>
      </c>
    </row>
    <row r="19" spans="2:7" hidden="1">
      <c r="B19" s="48"/>
      <c r="C19" s="48"/>
      <c r="D19" s="48"/>
      <c r="E19" s="48">
        <f t="shared" ref="E19:E20" si="1">C19*D19</f>
        <v>0</v>
      </c>
    </row>
    <row r="20" spans="2:7" hidden="1">
      <c r="B20" s="48"/>
      <c r="C20" s="48"/>
      <c r="D20" s="48"/>
      <c r="E20" s="48">
        <f t="shared" si="1"/>
        <v>0</v>
      </c>
    </row>
    <row r="21" spans="2:7" ht="15" hidden="1" thickBot="1">
      <c r="D21" t="s">
        <v>2</v>
      </c>
      <c r="E21" s="49">
        <f>SUM(E18:E20)</f>
        <v>0</v>
      </c>
    </row>
    <row r="23" spans="2:7" ht="15" thickBot="1"/>
    <row r="24" spans="2:7" ht="15" thickBot="1">
      <c r="B24" s="38" t="s">
        <v>84</v>
      </c>
      <c r="C24" s="39" t="s">
        <v>27</v>
      </c>
      <c r="D24" s="40" t="s">
        <v>28</v>
      </c>
    </row>
    <row r="25" spans="2:7">
      <c r="B25" s="36" t="s">
        <v>91</v>
      </c>
      <c r="C25" s="33">
        <v>0.6</v>
      </c>
      <c r="D25" s="37">
        <f>($C$8-$C$7)*C25</f>
        <v>1327800</v>
      </c>
      <c r="G25" t="s">
        <v>44</v>
      </c>
    </row>
    <row r="26" spans="2:7">
      <c r="B26" s="36" t="s">
        <v>92</v>
      </c>
      <c r="C26" s="33">
        <v>0.4</v>
      </c>
      <c r="D26" s="37">
        <f t="shared" ref="D26:D29" si="2">($C$8-$C$7)*C26</f>
        <v>885200</v>
      </c>
    </row>
    <row r="27" spans="2:7">
      <c r="B27" s="36"/>
      <c r="C27" s="33"/>
      <c r="D27" s="37"/>
    </row>
    <row r="28" spans="2:7">
      <c r="B28" s="56"/>
      <c r="C28" s="57"/>
      <c r="D28" s="37"/>
    </row>
    <row r="29" spans="2:7">
      <c r="B29" s="56"/>
      <c r="C29" s="57"/>
      <c r="D29" s="37"/>
    </row>
    <row r="30" spans="2:7" ht="16" thickBot="1">
      <c r="B30" s="34"/>
      <c r="C30" s="35">
        <f>SUM(C25:C29)</f>
        <v>1</v>
      </c>
      <c r="D30" s="41">
        <f>SUM(D25:D29)</f>
        <v>2213000</v>
      </c>
    </row>
    <row r="31" spans="2:7" ht="15" thickBot="1"/>
    <row r="32" spans="2:7" ht="15" thickBot="1">
      <c r="B32" s="38" t="s">
        <v>88</v>
      </c>
      <c r="C32" s="39" t="s">
        <v>27</v>
      </c>
      <c r="D32" s="40" t="s">
        <v>28</v>
      </c>
    </row>
    <row r="33" spans="2:4">
      <c r="B33" s="36"/>
      <c r="C33" s="33"/>
      <c r="D33" s="37"/>
    </row>
    <row r="34" spans="2:4">
      <c r="B34" s="36"/>
      <c r="C34" s="33"/>
      <c r="D34" s="37"/>
    </row>
    <row r="35" spans="2:4">
      <c r="B35" s="36"/>
      <c r="C35" s="33"/>
      <c r="D35" s="37"/>
    </row>
    <row r="36" spans="2:4">
      <c r="B36" s="56"/>
      <c r="C36" s="57"/>
      <c r="D36" s="37"/>
    </row>
    <row r="37" spans="2:4" ht="16" thickBot="1">
      <c r="B37" s="34"/>
      <c r="C37" s="35"/>
      <c r="D37" s="41"/>
    </row>
  </sheetData>
  <pageMargins left="0.7" right="0.7" top="0.75" bottom="0.75" header="0.3" footer="0.3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2:F24"/>
  <sheetViews>
    <sheetView zoomScale="85" zoomScaleNormal="85" workbookViewId="0">
      <selection activeCell="I32" sqref="I32"/>
    </sheetView>
  </sheetViews>
  <sheetFormatPr defaultColWidth="9" defaultRowHeight="13"/>
  <cols>
    <col min="1" max="2" width="9" style="16"/>
    <col min="3" max="3" width="5.453125" style="16" bestFit="1" customWidth="1"/>
    <col min="4" max="4" width="36.453125" style="16" customWidth="1"/>
    <col min="5" max="5" width="22.1796875" style="16" customWidth="1"/>
    <col min="6" max="6" width="5.26953125" style="16" customWidth="1"/>
    <col min="7" max="16384" width="9" style="16"/>
  </cols>
  <sheetData>
    <row r="2" spans="3:6">
      <c r="C2" s="79" t="str">
        <f xml:space="preserve"> Total!B1</f>
        <v>PJR-GC-Migrate Orchestra</v>
      </c>
      <c r="D2" s="79"/>
      <c r="E2" s="79"/>
    </row>
    <row r="3" spans="3:6">
      <c r="C3" s="104" t="s">
        <v>87</v>
      </c>
      <c r="D3" s="104"/>
      <c r="E3" s="104"/>
      <c r="F3" s="90"/>
    </row>
    <row r="4" spans="3:6">
      <c r="C4" s="93"/>
      <c r="D4" s="92"/>
      <c r="E4" s="92"/>
      <c r="F4" s="90"/>
    </row>
    <row r="5" spans="3:6">
      <c r="C5" s="80" t="s">
        <v>20</v>
      </c>
      <c r="D5" s="80" t="s">
        <v>21</v>
      </c>
      <c r="E5" s="80" t="s">
        <v>22</v>
      </c>
    </row>
    <row r="6" spans="3:6">
      <c r="C6" s="87">
        <v>1</v>
      </c>
      <c r="D6" s="88" t="s">
        <v>95</v>
      </c>
      <c r="E6" s="89">
        <v>125000</v>
      </c>
      <c r="F6" s="90"/>
    </row>
    <row r="7" spans="3:6">
      <c r="C7" s="87">
        <v>2</v>
      </c>
      <c r="D7" s="88"/>
      <c r="E7" s="89"/>
      <c r="F7" s="90"/>
    </row>
    <row r="8" spans="3:6">
      <c r="C8" s="87">
        <v>3</v>
      </c>
      <c r="D8" s="88"/>
      <c r="E8" s="89"/>
      <c r="F8" s="90"/>
    </row>
    <row r="9" spans="3:6">
      <c r="C9" s="87">
        <v>4</v>
      </c>
      <c r="D9" s="88"/>
      <c r="E9" s="89"/>
      <c r="F9" s="90"/>
    </row>
    <row r="10" spans="3:6">
      <c r="C10" s="87">
        <v>5</v>
      </c>
      <c r="D10" s="91"/>
      <c r="E10" s="89"/>
      <c r="F10" s="90"/>
    </row>
    <row r="11" spans="3:6">
      <c r="C11" s="87">
        <v>6</v>
      </c>
      <c r="D11" s="88"/>
      <c r="E11" s="89"/>
      <c r="F11" s="90"/>
    </row>
    <row r="12" spans="3:6">
      <c r="C12" s="87">
        <v>7</v>
      </c>
      <c r="D12" s="88"/>
      <c r="E12" s="89"/>
      <c r="F12" s="90"/>
    </row>
    <row r="13" spans="3:6">
      <c r="C13" s="81"/>
      <c r="D13" s="27" t="s">
        <v>2</v>
      </c>
      <c r="E13" s="82">
        <f>SUM(E6:E12)</f>
        <v>125000</v>
      </c>
      <c r="F13" s="90"/>
    </row>
    <row r="14" spans="3:6">
      <c r="C14" s="81"/>
      <c r="D14" s="27" t="s">
        <v>25</v>
      </c>
      <c r="E14" s="82"/>
      <c r="F14" s="90"/>
    </row>
    <row r="15" spans="3:6" ht="18.5">
      <c r="C15" s="83"/>
      <c r="D15" s="84" t="s">
        <v>26</v>
      </c>
      <c r="E15" s="85">
        <f>E13-E14</f>
        <v>125000</v>
      </c>
      <c r="F15" s="90"/>
    </row>
    <row r="16" spans="3:6">
      <c r="C16" s="92"/>
      <c r="D16" s="93" t="s">
        <v>23</v>
      </c>
      <c r="E16" s="94"/>
      <c r="F16" s="90"/>
    </row>
    <row r="17" spans="3:6">
      <c r="C17" s="90"/>
      <c r="D17" s="90"/>
      <c r="E17" s="90"/>
      <c r="F17" s="90"/>
    </row>
    <row r="18" spans="3:6">
      <c r="C18" s="80" t="s">
        <v>20</v>
      </c>
      <c r="D18" s="80" t="s">
        <v>21</v>
      </c>
      <c r="E18" s="80" t="s">
        <v>22</v>
      </c>
      <c r="F18" s="90"/>
    </row>
    <row r="19" spans="3:6">
      <c r="C19" s="80"/>
      <c r="D19" s="80"/>
      <c r="E19" s="80"/>
      <c r="F19" s="90"/>
    </row>
    <row r="20" spans="3:6">
      <c r="C20" s="51"/>
      <c r="D20" s="25"/>
      <c r="E20" s="50"/>
      <c r="F20" s="90"/>
    </row>
    <row r="21" spans="3:6">
      <c r="C21" s="51"/>
      <c r="D21" s="25"/>
      <c r="E21" s="50"/>
      <c r="F21" s="90"/>
    </row>
    <row r="22" spans="3:6">
      <c r="C22" s="51"/>
      <c r="D22" s="25"/>
      <c r="E22" s="50"/>
      <c r="F22" s="90"/>
    </row>
    <row r="23" spans="3:6">
      <c r="C23" s="51"/>
      <c r="D23" s="25"/>
      <c r="E23" s="50"/>
      <c r="F23" s="90"/>
    </row>
    <row r="24" spans="3:6">
      <c r="C24" s="52"/>
      <c r="D24" s="27" t="s">
        <v>2</v>
      </c>
      <c r="E24" s="53">
        <f>SUM(E20:E23)</f>
        <v>0</v>
      </c>
      <c r="F24" s="90"/>
    </row>
  </sheetData>
  <mergeCells count="1">
    <mergeCell ref="C3:E3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31"/>
  <sheetViews>
    <sheetView tabSelected="1" zoomScale="90" zoomScaleNormal="90" workbookViewId="0">
      <selection activeCell="A23" sqref="A23"/>
    </sheetView>
  </sheetViews>
  <sheetFormatPr defaultRowHeight="14.5"/>
  <cols>
    <col min="1" max="1" width="18.7265625" customWidth="1"/>
    <col min="2" max="2" width="51.81640625" customWidth="1"/>
    <col min="3" max="3" width="24.453125" customWidth="1"/>
    <col min="4" max="4" width="13.453125" customWidth="1"/>
    <col min="5" max="6" width="15.453125" customWidth="1"/>
    <col min="7" max="13" width="14.1796875" customWidth="1"/>
    <col min="14" max="14" width="12.26953125" customWidth="1"/>
    <col min="15" max="15" width="22" customWidth="1"/>
    <col min="17" max="17" width="15.453125" customWidth="1"/>
    <col min="19" max="19" width="13.26953125" style="16" bestFit="1" customWidth="1"/>
  </cols>
  <sheetData>
    <row r="1" spans="1:18">
      <c r="A1" s="79" t="str">
        <f xml:space="preserve"> Total!B1</f>
        <v>PJR-GC-Migrate Orchestra</v>
      </c>
      <c r="B1" s="79"/>
      <c r="C1" s="79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8" ht="15" thickBot="1">
      <c r="A2" s="15" t="str">
        <f xml:space="preserve"> CONCATENATE("(ระยะเวลาโครงการ ",Total!C1," วัน)")</f>
        <v>(ระยะเวลาโครงการ  วัน)</v>
      </c>
      <c r="B2" s="16"/>
      <c r="C2" s="16"/>
      <c r="D2" s="144" t="s">
        <v>90</v>
      </c>
      <c r="E2" s="144" t="s">
        <v>90</v>
      </c>
      <c r="F2" s="144" t="s">
        <v>90</v>
      </c>
      <c r="G2" s="144" t="s">
        <v>89</v>
      </c>
      <c r="H2" s="144" t="s">
        <v>86</v>
      </c>
      <c r="I2" s="144" t="s">
        <v>86</v>
      </c>
      <c r="J2" s="144" t="s">
        <v>59</v>
      </c>
      <c r="K2" s="144" t="s">
        <v>90</v>
      </c>
      <c r="L2" s="144" t="s">
        <v>89</v>
      </c>
      <c r="M2" s="144" t="s">
        <v>86</v>
      </c>
      <c r="N2" s="144" t="s">
        <v>86</v>
      </c>
    </row>
    <row r="3" spans="1:18" ht="14.25" customHeight="1">
      <c r="A3" s="114" t="s">
        <v>3</v>
      </c>
      <c r="B3" s="114" t="s">
        <v>10</v>
      </c>
      <c r="C3" s="116" t="s">
        <v>11</v>
      </c>
      <c r="D3" s="17" t="s">
        <v>12</v>
      </c>
      <c r="E3" s="17" t="s">
        <v>99</v>
      </c>
      <c r="F3" s="17" t="s">
        <v>99</v>
      </c>
      <c r="G3" s="17" t="s">
        <v>100</v>
      </c>
      <c r="H3" s="17" t="s">
        <v>99</v>
      </c>
      <c r="I3" s="17" t="s">
        <v>99</v>
      </c>
      <c r="J3" s="17" t="s">
        <v>100</v>
      </c>
      <c r="K3" s="17" t="s">
        <v>100</v>
      </c>
      <c r="L3" s="17" t="s">
        <v>106</v>
      </c>
      <c r="M3" s="17" t="s">
        <v>108</v>
      </c>
      <c r="N3" s="17" t="s">
        <v>110</v>
      </c>
    </row>
    <row r="4" spans="1:18" ht="15" thickBot="1">
      <c r="A4" s="115"/>
      <c r="B4" s="115"/>
      <c r="C4" s="117"/>
      <c r="D4" s="18" t="s">
        <v>96</v>
      </c>
      <c r="E4" s="18" t="s">
        <v>97</v>
      </c>
      <c r="F4" s="18" t="s">
        <v>98</v>
      </c>
      <c r="G4" s="18" t="s">
        <v>101</v>
      </c>
      <c r="H4" s="18" t="s">
        <v>102</v>
      </c>
      <c r="I4" s="18" t="s">
        <v>103</v>
      </c>
      <c r="J4" s="18" t="s">
        <v>104</v>
      </c>
      <c r="K4" s="18" t="s">
        <v>105</v>
      </c>
      <c r="L4" s="18" t="s">
        <v>107</v>
      </c>
      <c r="M4" s="18" t="s">
        <v>109</v>
      </c>
      <c r="N4" s="18" t="s">
        <v>111</v>
      </c>
      <c r="P4" s="86"/>
      <c r="Q4" s="86"/>
      <c r="R4" s="86"/>
    </row>
    <row r="5" spans="1:18" ht="15" thickBot="1">
      <c r="A5" s="118" t="s">
        <v>4</v>
      </c>
      <c r="B5" s="2" t="s">
        <v>13</v>
      </c>
      <c r="C5" s="121" t="s">
        <v>81</v>
      </c>
      <c r="D5" s="111">
        <v>5</v>
      </c>
      <c r="E5" s="111">
        <v>1</v>
      </c>
      <c r="F5" s="111">
        <v>1</v>
      </c>
      <c r="G5" s="111">
        <v>1</v>
      </c>
      <c r="H5" s="111">
        <v>1</v>
      </c>
      <c r="I5" s="111">
        <v>1</v>
      </c>
      <c r="J5" s="111">
        <v>1</v>
      </c>
      <c r="K5" s="111">
        <v>1</v>
      </c>
      <c r="L5" s="111"/>
      <c r="M5" s="111"/>
      <c r="N5" s="111"/>
    </row>
    <row r="6" spans="1:18" ht="15" thickBot="1">
      <c r="A6" s="119"/>
      <c r="B6" s="2" t="s">
        <v>14</v>
      </c>
      <c r="C6" s="12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</row>
    <row r="7" spans="1:18" ht="15" thickBot="1">
      <c r="A7" s="120"/>
      <c r="B7" s="3" t="s">
        <v>15</v>
      </c>
      <c r="C7" s="12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</row>
    <row r="8" spans="1:18" ht="15" thickBot="1">
      <c r="A8" s="124" t="s">
        <v>5</v>
      </c>
      <c r="B8" s="4" t="s">
        <v>6</v>
      </c>
      <c r="C8" s="126" t="s">
        <v>83</v>
      </c>
      <c r="D8" s="111">
        <v>4</v>
      </c>
      <c r="E8" s="111">
        <v>1</v>
      </c>
      <c r="F8" s="111">
        <v>1</v>
      </c>
      <c r="G8" s="111">
        <v>1</v>
      </c>
      <c r="H8" s="111">
        <v>1</v>
      </c>
      <c r="I8" s="111">
        <v>1</v>
      </c>
      <c r="J8" s="111">
        <v>1</v>
      </c>
      <c r="K8" s="95"/>
      <c r="L8" s="95"/>
      <c r="M8" s="111"/>
      <c r="N8" s="111"/>
    </row>
    <row r="9" spans="1:18" ht="15" thickBot="1">
      <c r="A9" s="125"/>
      <c r="B9" s="4" t="s">
        <v>16</v>
      </c>
      <c r="C9" s="127"/>
      <c r="D9" s="112"/>
      <c r="E9" s="112"/>
      <c r="F9" s="112"/>
      <c r="G9" s="112"/>
      <c r="H9" s="112"/>
      <c r="I9" s="112"/>
      <c r="J9" s="112"/>
      <c r="K9" s="96">
        <v>1</v>
      </c>
      <c r="L9" s="96"/>
      <c r="M9" s="112"/>
      <c r="N9" s="112"/>
    </row>
    <row r="10" spans="1:18" ht="15" thickBot="1">
      <c r="A10" s="128"/>
      <c r="B10" s="5" t="s">
        <v>17</v>
      </c>
      <c r="C10" s="129"/>
      <c r="D10" s="113"/>
      <c r="E10" s="113"/>
      <c r="F10" s="113"/>
      <c r="G10" s="113"/>
      <c r="H10" s="113"/>
      <c r="I10" s="113"/>
      <c r="J10" s="113"/>
      <c r="K10" s="102"/>
      <c r="L10" s="102"/>
      <c r="M10" s="113"/>
      <c r="N10" s="113"/>
    </row>
    <row r="11" spans="1:18" ht="15" thickBot="1">
      <c r="A11" s="124" t="s">
        <v>0</v>
      </c>
      <c r="B11" s="4" t="s">
        <v>116</v>
      </c>
      <c r="C11" s="126"/>
      <c r="D11" s="108">
        <v>4</v>
      </c>
      <c r="E11" s="108">
        <v>2</v>
      </c>
      <c r="F11" s="108">
        <v>2</v>
      </c>
      <c r="G11" s="108">
        <v>2</v>
      </c>
      <c r="H11" s="108">
        <v>2</v>
      </c>
      <c r="I11" s="108">
        <v>2</v>
      </c>
      <c r="J11" s="108">
        <v>6</v>
      </c>
      <c r="K11" s="108">
        <v>6</v>
      </c>
      <c r="L11" s="97"/>
      <c r="M11" s="108"/>
      <c r="N11" s="108">
        <v>1</v>
      </c>
    </row>
    <row r="12" spans="1:18" ht="15" thickBot="1">
      <c r="A12" s="125"/>
      <c r="B12" s="78" t="s">
        <v>117</v>
      </c>
      <c r="C12" s="127"/>
      <c r="D12" s="109"/>
      <c r="E12" s="109"/>
      <c r="F12" s="109"/>
      <c r="G12" s="109"/>
      <c r="H12" s="109"/>
      <c r="I12" s="109"/>
      <c r="J12" s="109"/>
      <c r="K12" s="109"/>
      <c r="L12" s="98"/>
      <c r="M12" s="109"/>
      <c r="N12" s="109"/>
      <c r="P12" s="16"/>
    </row>
    <row r="13" spans="1:18" ht="15" thickBot="1">
      <c r="A13" s="124" t="s">
        <v>1</v>
      </c>
      <c r="B13" s="4" t="s">
        <v>82</v>
      </c>
      <c r="C13" s="126" t="s">
        <v>112</v>
      </c>
      <c r="D13" s="108">
        <v>4</v>
      </c>
      <c r="E13" s="108">
        <v>26</v>
      </c>
      <c r="F13" s="108">
        <v>22</v>
      </c>
      <c r="G13" s="108">
        <v>2</v>
      </c>
      <c r="H13" s="108">
        <v>16</v>
      </c>
      <c r="I13" s="108">
        <v>16</v>
      </c>
      <c r="J13" s="108">
        <v>10</v>
      </c>
      <c r="K13" s="108">
        <v>10</v>
      </c>
      <c r="L13" s="108">
        <v>3</v>
      </c>
      <c r="M13" s="108">
        <v>3</v>
      </c>
      <c r="N13" s="108">
        <v>3</v>
      </c>
      <c r="P13" s="16"/>
    </row>
    <row r="14" spans="1:18" ht="15" thickBot="1">
      <c r="A14" s="125"/>
      <c r="B14" s="4" t="s">
        <v>85</v>
      </c>
      <c r="C14" s="127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P14" s="16"/>
    </row>
    <row r="15" spans="1:18" ht="15" thickBot="1">
      <c r="A15" s="128"/>
      <c r="B15" s="5" t="s">
        <v>106</v>
      </c>
      <c r="C15" s="129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P15" s="16"/>
    </row>
    <row r="16" spans="1:18" ht="15" thickBot="1">
      <c r="A16" s="124" t="s">
        <v>7</v>
      </c>
      <c r="B16" s="4" t="s">
        <v>113</v>
      </c>
      <c r="C16" s="126"/>
      <c r="D16" s="105">
        <v>3</v>
      </c>
      <c r="E16" s="105">
        <v>2</v>
      </c>
      <c r="F16" s="105">
        <v>2</v>
      </c>
      <c r="G16" s="105">
        <v>2</v>
      </c>
      <c r="H16" s="105">
        <v>2</v>
      </c>
      <c r="I16" s="105">
        <v>2</v>
      </c>
      <c r="J16" s="105">
        <v>2</v>
      </c>
      <c r="K16" s="99"/>
      <c r="L16" s="99"/>
      <c r="M16" s="105"/>
      <c r="N16" s="105"/>
      <c r="P16" s="16"/>
    </row>
    <row r="17" spans="1:16" ht="15" thickBot="1">
      <c r="A17" s="125"/>
      <c r="B17" s="4" t="s">
        <v>114</v>
      </c>
      <c r="C17" s="127"/>
      <c r="D17" s="106"/>
      <c r="E17" s="106"/>
      <c r="F17" s="106"/>
      <c r="G17" s="106"/>
      <c r="H17" s="106"/>
      <c r="I17" s="106"/>
      <c r="J17" s="106"/>
      <c r="K17" s="100">
        <v>2</v>
      </c>
      <c r="L17" s="100"/>
      <c r="M17" s="106"/>
      <c r="N17" s="106"/>
      <c r="P17" s="16"/>
    </row>
    <row r="18" spans="1:16" ht="15" thickBot="1">
      <c r="A18" s="125"/>
      <c r="B18" s="4" t="s">
        <v>115</v>
      </c>
      <c r="C18" s="127"/>
      <c r="D18" s="106"/>
      <c r="E18" s="106"/>
      <c r="F18" s="106"/>
      <c r="G18" s="106"/>
      <c r="H18" s="106"/>
      <c r="I18" s="106"/>
      <c r="J18" s="106"/>
      <c r="K18" s="100"/>
      <c r="L18" s="100"/>
      <c r="M18" s="106"/>
      <c r="N18" s="106"/>
      <c r="P18" s="16"/>
    </row>
    <row r="19" spans="1:16" ht="15" thickBot="1">
      <c r="A19" s="124" t="s">
        <v>8</v>
      </c>
      <c r="B19" s="4" t="s">
        <v>18</v>
      </c>
      <c r="C19" s="126" t="s">
        <v>19</v>
      </c>
      <c r="D19" s="105">
        <v>2</v>
      </c>
      <c r="E19" s="105"/>
      <c r="F19" s="105"/>
      <c r="G19" s="105"/>
      <c r="H19" s="105"/>
      <c r="I19" s="105"/>
      <c r="J19" s="105"/>
      <c r="K19" s="99"/>
      <c r="L19" s="99"/>
      <c r="M19" s="105"/>
      <c r="N19" s="105"/>
      <c r="P19" s="16"/>
    </row>
    <row r="20" spans="1:16" ht="15" thickBot="1">
      <c r="A20" s="128"/>
      <c r="B20" s="3" t="s">
        <v>9</v>
      </c>
      <c r="C20" s="129"/>
      <c r="D20" s="107"/>
      <c r="E20" s="107"/>
      <c r="F20" s="107"/>
      <c r="G20" s="107"/>
      <c r="H20" s="107"/>
      <c r="I20" s="107"/>
      <c r="J20" s="107"/>
      <c r="K20" s="101"/>
      <c r="L20" s="101"/>
      <c r="M20" s="107"/>
      <c r="N20" s="107"/>
      <c r="P20" s="16"/>
    </row>
    <row r="21" spans="1:16" ht="15" thickBot="1">
      <c r="A21" s="9" t="s">
        <v>2</v>
      </c>
      <c r="B21" s="6"/>
      <c r="C21" s="1"/>
      <c r="D21" s="1">
        <f>SUM(D5:D20)</f>
        <v>22</v>
      </c>
      <c r="E21" s="1">
        <f>SUM(E5:E20)</f>
        <v>32</v>
      </c>
      <c r="F21" s="1">
        <f>SUM(F5:F20)</f>
        <v>28</v>
      </c>
      <c r="G21" s="1">
        <f>SUM(G5:G20)</f>
        <v>8</v>
      </c>
      <c r="H21" s="1">
        <f>SUM(H5:H20)</f>
        <v>22</v>
      </c>
      <c r="I21" s="1">
        <f>SUM(I5:I20)</f>
        <v>22</v>
      </c>
      <c r="J21" s="1">
        <f>SUM(J5:J20)</f>
        <v>20</v>
      </c>
      <c r="K21" s="1">
        <f>SUM(K5:K20)</f>
        <v>20</v>
      </c>
      <c r="L21" s="1">
        <f>SUM(L5:L20)</f>
        <v>3</v>
      </c>
      <c r="M21" s="1">
        <f>SUM(M5:M20)</f>
        <v>3</v>
      </c>
      <c r="N21" s="1">
        <f>SUM(N5:N20)</f>
        <v>4</v>
      </c>
    </row>
    <row r="22" spans="1:16" s="7" customFormat="1" ht="13.5" thickBot="1"/>
    <row r="23" spans="1:16" ht="19" thickBot="1">
      <c r="B23" s="26"/>
      <c r="C23" t="s">
        <v>24</v>
      </c>
      <c r="O23" s="31" t="s">
        <v>32</v>
      </c>
    </row>
    <row r="24" spans="1:16">
      <c r="B24" s="26"/>
      <c r="C24" s="19" t="s">
        <v>29</v>
      </c>
      <c r="D24" s="20">
        <v>14000</v>
      </c>
      <c r="E24" s="20">
        <v>14000</v>
      </c>
      <c r="F24" s="20">
        <v>14000</v>
      </c>
      <c r="G24" s="20">
        <v>14000</v>
      </c>
      <c r="H24" s="20">
        <v>8500</v>
      </c>
      <c r="I24" s="20">
        <v>8500</v>
      </c>
      <c r="J24" s="20">
        <v>8500</v>
      </c>
      <c r="K24" s="20">
        <v>8500</v>
      </c>
      <c r="L24" s="20">
        <v>14000</v>
      </c>
      <c r="M24" s="20">
        <v>8500</v>
      </c>
      <c r="N24" s="20">
        <v>8500</v>
      </c>
      <c r="O24" s="28"/>
    </row>
    <row r="25" spans="1:16" ht="18.5">
      <c r="C25" s="21" t="s">
        <v>30</v>
      </c>
      <c r="D25" s="22">
        <f>D5*D24</f>
        <v>70000</v>
      </c>
      <c r="E25" s="22">
        <f>E5*E24</f>
        <v>14000</v>
      </c>
      <c r="F25" s="22">
        <f>F5*F24</f>
        <v>14000</v>
      </c>
      <c r="G25" s="22">
        <f>G5*G24</f>
        <v>14000</v>
      </c>
      <c r="H25" s="22">
        <f>H5*H24</f>
        <v>8500</v>
      </c>
      <c r="I25" s="22">
        <f>I5*I24</f>
        <v>8500</v>
      </c>
      <c r="J25" s="22">
        <f>J5*J24</f>
        <v>8500</v>
      </c>
      <c r="K25" s="22">
        <f>K5*K24</f>
        <v>8500</v>
      </c>
      <c r="L25" s="22">
        <f>L5*L24</f>
        <v>0</v>
      </c>
      <c r="M25" s="22">
        <f>M5*M24</f>
        <v>0</v>
      </c>
      <c r="N25" s="22">
        <f>N5*N24</f>
        <v>0</v>
      </c>
      <c r="O25" s="29">
        <f>SUM(D25:N25)</f>
        <v>146000</v>
      </c>
    </row>
    <row r="26" spans="1:16" ht="19" thickBot="1">
      <c r="C26" s="23" t="s">
        <v>31</v>
      </c>
      <c r="D26" s="24">
        <f>(D21-D5)*D24</f>
        <v>238000</v>
      </c>
      <c r="E26" s="24">
        <f>(E21-E5)*E24</f>
        <v>434000</v>
      </c>
      <c r="F26" s="24">
        <f>(F21-F5)*F24</f>
        <v>378000</v>
      </c>
      <c r="G26" s="24">
        <f>(G21-G5)*G24</f>
        <v>98000</v>
      </c>
      <c r="H26" s="24">
        <f>(H21-H5)*H24</f>
        <v>178500</v>
      </c>
      <c r="I26" s="24">
        <f>(I21-I5)*I24</f>
        <v>178500</v>
      </c>
      <c r="J26" s="24">
        <f>(J21-J5)*J24</f>
        <v>161500</v>
      </c>
      <c r="K26" s="24">
        <f>(K21-K5)*K24</f>
        <v>161500</v>
      </c>
      <c r="L26" s="24">
        <f>(L21-L5)*L24</f>
        <v>42000</v>
      </c>
      <c r="M26" s="24">
        <f>(M21-M5)*M24</f>
        <v>25500</v>
      </c>
      <c r="N26" s="24">
        <f>(N21-N5)*N24</f>
        <v>34000</v>
      </c>
      <c r="O26" s="30">
        <f>SUM(D26:N26)</f>
        <v>1929500</v>
      </c>
    </row>
    <row r="27" spans="1:16" ht="19" thickBot="1">
      <c r="O27" s="46">
        <f>SUM(O25:O26)</f>
        <v>2075500</v>
      </c>
    </row>
    <row r="28" spans="1:16" ht="19" thickBot="1">
      <c r="O28" s="31" t="s">
        <v>33</v>
      </c>
    </row>
    <row r="29" spans="1:16">
      <c r="C29" s="19" t="s">
        <v>34</v>
      </c>
      <c r="D29" s="20">
        <f>IF(D2="Sr1",6200,IF(D2="Sr2",9200,IF(D2="Of1",3500,IF(D2="Of2",4900))))</f>
        <v>6200</v>
      </c>
      <c r="E29" s="20">
        <f>IF(E2="Sr1",6200,IF(E2="Sr2",9200,IF(E2="Of1",3500,IF(E2="Of2",4900))))</f>
        <v>6200</v>
      </c>
      <c r="F29" s="20">
        <f>IF(F2="Sr1",6200,IF(F2="Sr2",9200,IF(F2="Of1",3500,IF(F2="Of2",4900))))</f>
        <v>6200</v>
      </c>
      <c r="G29" s="20">
        <f>IF(G2="Sr1",6200,IF(G2="Sr2",9200,IF(G2="Of1",3500,IF(G2="Of2",4900))))</f>
        <v>9200</v>
      </c>
      <c r="H29" s="20">
        <f t="shared" ref="H29:N29" si="0">IF(H2="Sr1",6200,IF(H2="Sr2",9200,IF(H2="Of1",3500,IF(H2="Of2",4900))))</f>
        <v>4900</v>
      </c>
      <c r="I29" s="20">
        <f t="shared" si="0"/>
        <v>4900</v>
      </c>
      <c r="J29" s="20">
        <f t="shared" si="0"/>
        <v>3500</v>
      </c>
      <c r="K29" s="20">
        <f t="shared" si="0"/>
        <v>6200</v>
      </c>
      <c r="L29" s="20">
        <f t="shared" si="0"/>
        <v>9200</v>
      </c>
      <c r="M29" s="20">
        <f t="shared" si="0"/>
        <v>4900</v>
      </c>
      <c r="N29" s="20">
        <f t="shared" si="0"/>
        <v>4900</v>
      </c>
      <c r="O29" s="28"/>
    </row>
    <row r="30" spans="1:16" ht="19" thickBot="1">
      <c r="C30" s="23" t="s">
        <v>35</v>
      </c>
      <c r="D30" s="24">
        <f>D29*D21</f>
        <v>136400</v>
      </c>
      <c r="E30" s="24">
        <f t="shared" ref="E30:N30" si="1">E29*E21</f>
        <v>198400</v>
      </c>
      <c r="F30" s="24">
        <f t="shared" si="1"/>
        <v>173600</v>
      </c>
      <c r="G30" s="24">
        <f t="shared" si="1"/>
        <v>73600</v>
      </c>
      <c r="H30" s="24">
        <f t="shared" si="1"/>
        <v>107800</v>
      </c>
      <c r="I30" s="24">
        <f t="shared" si="1"/>
        <v>107800</v>
      </c>
      <c r="J30" s="24">
        <f t="shared" ref="J30:L30" si="2">J29*J21</f>
        <v>70000</v>
      </c>
      <c r="K30" s="24">
        <f t="shared" si="2"/>
        <v>124000</v>
      </c>
      <c r="L30" s="24">
        <f t="shared" si="2"/>
        <v>27600</v>
      </c>
      <c r="M30" s="24">
        <f t="shared" si="1"/>
        <v>14700</v>
      </c>
      <c r="N30" s="24">
        <f t="shared" si="1"/>
        <v>19600</v>
      </c>
      <c r="O30" s="30">
        <f>SUM(D30:N30)</f>
        <v>1053500</v>
      </c>
    </row>
    <row r="31" spans="1:16" ht="19" thickBot="1">
      <c r="O31" s="46">
        <f>SUM(O30:O30)</f>
        <v>1053500</v>
      </c>
    </row>
  </sheetData>
  <mergeCells count="74">
    <mergeCell ref="A19:A20"/>
    <mergeCell ref="C19:C20"/>
    <mergeCell ref="D19:D20"/>
    <mergeCell ref="A16:A18"/>
    <mergeCell ref="A11:A12"/>
    <mergeCell ref="C11:C12"/>
    <mergeCell ref="D11:D12"/>
    <mergeCell ref="A13:A15"/>
    <mergeCell ref="C13:C15"/>
    <mergeCell ref="D13:D15"/>
    <mergeCell ref="C16:C18"/>
    <mergeCell ref="D16:D18"/>
    <mergeCell ref="G19:G20"/>
    <mergeCell ref="E19:E20"/>
    <mergeCell ref="E13:E15"/>
    <mergeCell ref="E16:E18"/>
    <mergeCell ref="F19:F20"/>
    <mergeCell ref="G13:G15"/>
    <mergeCell ref="G16:G18"/>
    <mergeCell ref="F13:F15"/>
    <mergeCell ref="F16:F18"/>
    <mergeCell ref="J19:J20"/>
    <mergeCell ref="M13:M15"/>
    <mergeCell ref="M16:M18"/>
    <mergeCell ref="M19:M20"/>
    <mergeCell ref="E11:E12"/>
    <mergeCell ref="I13:I15"/>
    <mergeCell ref="I16:I18"/>
    <mergeCell ref="H11:H12"/>
    <mergeCell ref="F11:F12"/>
    <mergeCell ref="G11:G12"/>
    <mergeCell ref="I19:I20"/>
    <mergeCell ref="J13:J15"/>
    <mergeCell ref="H13:H15"/>
    <mergeCell ref="H16:H18"/>
    <mergeCell ref="H19:H20"/>
    <mergeCell ref="I11:I12"/>
    <mergeCell ref="M11:M12"/>
    <mergeCell ref="M8:M10"/>
    <mergeCell ref="J11:J12"/>
    <mergeCell ref="J16:J18"/>
    <mergeCell ref="L13:L15"/>
    <mergeCell ref="K11:K12"/>
    <mergeCell ref="K13:K15"/>
    <mergeCell ref="F5:F7"/>
    <mergeCell ref="F8:F10"/>
    <mergeCell ref="H5:H7"/>
    <mergeCell ref="H8:H10"/>
    <mergeCell ref="J8:J10"/>
    <mergeCell ref="I8:I10"/>
    <mergeCell ref="G8:G10"/>
    <mergeCell ref="N8:N10"/>
    <mergeCell ref="A8:A10"/>
    <mergeCell ref="C8:C10"/>
    <mergeCell ref="D8:D10"/>
    <mergeCell ref="E8:E10"/>
    <mergeCell ref="D5:D7"/>
    <mergeCell ref="E5:E7"/>
    <mergeCell ref="A3:A4"/>
    <mergeCell ref="B3:B4"/>
    <mergeCell ref="C3:C4"/>
    <mergeCell ref="A5:A7"/>
    <mergeCell ref="C5:C7"/>
    <mergeCell ref="N5:N7"/>
    <mergeCell ref="G5:G7"/>
    <mergeCell ref="M5:M7"/>
    <mergeCell ref="J5:J7"/>
    <mergeCell ref="I5:I7"/>
    <mergeCell ref="K5:K7"/>
    <mergeCell ref="L5:L7"/>
    <mergeCell ref="N11:N12"/>
    <mergeCell ref="N13:N15"/>
    <mergeCell ref="N19:N20"/>
    <mergeCell ref="N16:N18"/>
  </mergeCells>
  <dataValidations count="1">
    <dataValidation type="list" allowBlank="1" showInputMessage="1" showErrorMessage="1" sqref="D2:N2" xr:uid="{00000000-0002-0000-0200-000000000000}">
      <formula1>"Sr1, Sr2, Of1, Of2"</formula1>
    </dataValidation>
  </dataValidations>
  <pageMargins left="0.7" right="0.7" top="0.75" bottom="0.75" header="0.3" footer="0.3"/>
  <pageSetup paperSize="9" scale="4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4"/>
  <sheetViews>
    <sheetView zoomScale="85" zoomScaleNormal="85" workbookViewId="0">
      <selection activeCell="O12" sqref="O12"/>
    </sheetView>
  </sheetViews>
  <sheetFormatPr defaultRowHeight="14.5"/>
  <cols>
    <col min="2" max="2" width="34.453125" customWidth="1"/>
    <col min="3" max="18" width="6.453125" customWidth="1"/>
  </cols>
  <sheetData>
    <row r="1" spans="2:14" ht="15" thickBot="1"/>
    <row r="2" spans="2:14" ht="26.5" thickBot="1">
      <c r="B2" s="130" t="s">
        <v>53</v>
      </c>
      <c r="C2" s="132" t="s">
        <v>45</v>
      </c>
      <c r="D2" s="133"/>
      <c r="E2" s="133"/>
      <c r="F2" s="134"/>
      <c r="G2" s="132" t="s">
        <v>46</v>
      </c>
      <c r="H2" s="133"/>
      <c r="I2" s="133"/>
      <c r="J2" s="134"/>
      <c r="K2" s="132" t="s">
        <v>47</v>
      </c>
      <c r="L2" s="133"/>
      <c r="M2" s="133"/>
      <c r="N2" s="134"/>
    </row>
    <row r="3" spans="2:14" ht="26.5" thickBot="1">
      <c r="B3" s="131"/>
      <c r="C3" s="63">
        <v>1</v>
      </c>
      <c r="D3" s="63">
        <v>2</v>
      </c>
      <c r="E3" s="63">
        <v>3</v>
      </c>
      <c r="F3" s="63">
        <v>4</v>
      </c>
      <c r="G3" s="63">
        <v>1</v>
      </c>
      <c r="H3" s="63">
        <v>2</v>
      </c>
      <c r="I3" s="63">
        <v>3</v>
      </c>
      <c r="J3" s="63">
        <v>4</v>
      </c>
      <c r="K3" s="63">
        <v>1</v>
      </c>
      <c r="L3" s="63">
        <v>2</v>
      </c>
      <c r="M3" s="63">
        <v>3</v>
      </c>
      <c r="N3" s="63">
        <v>4</v>
      </c>
    </row>
    <row r="4" spans="2:14" ht="22" thickBot="1">
      <c r="B4" s="61" t="s">
        <v>54</v>
      </c>
      <c r="C4" s="59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2:14" ht="22" thickBot="1">
      <c r="B5" s="61" t="s">
        <v>55</v>
      </c>
      <c r="C5" s="58"/>
      <c r="D5" s="59"/>
      <c r="E5" s="58"/>
      <c r="F5" s="58"/>
      <c r="G5" s="58"/>
      <c r="H5" s="58"/>
      <c r="I5" s="58"/>
      <c r="J5" s="58"/>
      <c r="K5" s="58"/>
      <c r="L5" s="58"/>
      <c r="M5" s="58"/>
      <c r="N5" s="58"/>
    </row>
    <row r="6" spans="2:14" ht="43.5" thickBot="1">
      <c r="B6" s="61" t="s">
        <v>56</v>
      </c>
      <c r="C6" s="58"/>
      <c r="D6" s="58"/>
      <c r="E6" s="59"/>
      <c r="F6" s="60"/>
      <c r="G6" s="58"/>
      <c r="H6" s="58"/>
      <c r="I6" s="58"/>
      <c r="J6" s="58"/>
      <c r="K6" s="58"/>
      <c r="L6" s="58"/>
      <c r="M6" s="58"/>
      <c r="N6" s="58"/>
    </row>
    <row r="7" spans="2:14" ht="22" thickBot="1">
      <c r="B7" s="61" t="s">
        <v>48</v>
      </c>
      <c r="C7" s="58"/>
      <c r="D7" s="58"/>
      <c r="E7" s="58"/>
      <c r="F7" s="59"/>
      <c r="G7" s="59"/>
      <c r="H7" s="59"/>
      <c r="I7" s="59"/>
      <c r="J7" s="58"/>
      <c r="K7" s="58"/>
      <c r="L7" s="58"/>
      <c r="M7" s="58"/>
      <c r="N7" s="58"/>
    </row>
    <row r="8" spans="2:14" ht="22" thickBot="1">
      <c r="B8" s="61" t="s">
        <v>50</v>
      </c>
      <c r="C8" s="58"/>
      <c r="D8" s="58"/>
      <c r="E8" s="58"/>
      <c r="F8" s="58"/>
      <c r="G8" s="58"/>
      <c r="H8" s="59"/>
      <c r="I8" s="59"/>
      <c r="J8" s="58"/>
      <c r="K8" s="58"/>
      <c r="L8" s="58"/>
      <c r="M8" s="58"/>
      <c r="N8" s="58"/>
    </row>
    <row r="9" spans="2:14" ht="22" thickBot="1">
      <c r="B9" s="61" t="s">
        <v>51</v>
      </c>
      <c r="C9" s="58"/>
      <c r="D9" s="58"/>
      <c r="E9" s="58"/>
      <c r="F9" s="58"/>
      <c r="G9" s="58"/>
      <c r="H9" s="58"/>
      <c r="I9" s="58"/>
      <c r="J9" s="59"/>
      <c r="K9" s="59"/>
      <c r="L9" s="58"/>
      <c r="M9" s="58"/>
      <c r="N9" s="58"/>
    </row>
    <row r="10" spans="2:14" ht="22" thickBot="1">
      <c r="B10" s="61" t="s">
        <v>57</v>
      </c>
      <c r="C10" s="58"/>
      <c r="D10" s="58"/>
      <c r="E10" s="58"/>
      <c r="F10" s="58"/>
      <c r="G10" s="58"/>
      <c r="H10" s="58"/>
      <c r="I10" s="58"/>
      <c r="J10" s="58"/>
      <c r="K10" s="58"/>
      <c r="L10" s="59"/>
      <c r="M10" s="58"/>
      <c r="N10" s="58"/>
    </row>
    <row r="11" spans="2:14" ht="22" thickBot="1">
      <c r="B11" s="61" t="s">
        <v>58</v>
      </c>
      <c r="C11" s="58"/>
      <c r="D11" s="58"/>
      <c r="E11" s="58"/>
      <c r="F11" s="58"/>
      <c r="G11" s="58"/>
      <c r="H11" s="58"/>
      <c r="I11" s="58"/>
      <c r="J11" s="58"/>
      <c r="K11" s="58"/>
      <c r="L11" s="59"/>
      <c r="M11" s="59"/>
      <c r="N11" s="58"/>
    </row>
    <row r="12" spans="2:14" ht="22" thickBot="1">
      <c r="B12" s="61" t="s">
        <v>52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9"/>
      <c r="N12" s="58"/>
    </row>
    <row r="13" spans="2:14" ht="22" thickBot="1">
      <c r="B13" s="61" t="s">
        <v>49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60"/>
    </row>
    <row r="14" spans="2:14" ht="21.5">
      <c r="B14" s="62"/>
    </row>
  </sheetData>
  <mergeCells count="4">
    <mergeCell ref="B2:B3"/>
    <mergeCell ref="C2:F2"/>
    <mergeCell ref="G2:J2"/>
    <mergeCell ref="K2:N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8"/>
  <sheetViews>
    <sheetView workbookViewId="0">
      <selection activeCell="I17" sqref="I17"/>
    </sheetView>
  </sheetViews>
  <sheetFormatPr defaultRowHeight="14.5"/>
  <cols>
    <col min="2" max="2" width="50.453125" customWidth="1"/>
    <col min="3" max="3" width="5.453125" customWidth="1"/>
    <col min="4" max="32" width="4.1796875" customWidth="1"/>
  </cols>
  <sheetData>
    <row r="1" spans="2:32" ht="15" thickBot="1"/>
    <row r="2" spans="2:32">
      <c r="B2" s="135" t="s">
        <v>60</v>
      </c>
      <c r="C2" s="136" t="s">
        <v>61</v>
      </c>
      <c r="D2" s="137"/>
      <c r="E2" s="138"/>
      <c r="F2" s="136" t="s">
        <v>62</v>
      </c>
      <c r="G2" s="137"/>
      <c r="H2" s="138"/>
      <c r="I2" s="136" t="s">
        <v>63</v>
      </c>
      <c r="J2" s="137"/>
      <c r="K2" s="138"/>
      <c r="L2" s="136" t="s">
        <v>64</v>
      </c>
      <c r="M2" s="137"/>
      <c r="N2" s="138"/>
      <c r="O2" s="136" t="s">
        <v>65</v>
      </c>
      <c r="P2" s="137"/>
      <c r="Q2" s="138"/>
      <c r="R2" s="136" t="s">
        <v>66</v>
      </c>
      <c r="S2" s="137"/>
      <c r="T2" s="138"/>
      <c r="U2" s="136" t="s">
        <v>67</v>
      </c>
      <c r="V2" s="137"/>
      <c r="W2" s="138"/>
      <c r="X2" s="136" t="s">
        <v>68</v>
      </c>
      <c r="Y2" s="137"/>
      <c r="Z2" s="138"/>
      <c r="AA2" s="136" t="s">
        <v>69</v>
      </c>
      <c r="AB2" s="137"/>
      <c r="AC2" s="138"/>
      <c r="AD2" s="136" t="s">
        <v>70</v>
      </c>
      <c r="AE2" s="137"/>
      <c r="AF2" s="138"/>
    </row>
    <row r="3" spans="2:32">
      <c r="B3" s="135"/>
      <c r="C3" s="64" t="s">
        <v>71</v>
      </c>
      <c r="D3" s="65" t="s">
        <v>72</v>
      </c>
      <c r="E3" s="66" t="s">
        <v>73</v>
      </c>
      <c r="F3" s="64" t="s">
        <v>71</v>
      </c>
      <c r="G3" s="65" t="s">
        <v>72</v>
      </c>
      <c r="H3" s="66" t="s">
        <v>73</v>
      </c>
      <c r="I3" s="64" t="s">
        <v>71</v>
      </c>
      <c r="J3" s="65" t="s">
        <v>72</v>
      </c>
      <c r="K3" s="66" t="s">
        <v>73</v>
      </c>
      <c r="L3" s="64" t="s">
        <v>71</v>
      </c>
      <c r="M3" s="65" t="s">
        <v>72</v>
      </c>
      <c r="N3" s="66" t="s">
        <v>73</v>
      </c>
      <c r="O3" s="64" t="s">
        <v>71</v>
      </c>
      <c r="P3" s="65" t="s">
        <v>72</v>
      </c>
      <c r="Q3" s="66" t="s">
        <v>73</v>
      </c>
      <c r="R3" s="64" t="s">
        <v>71</v>
      </c>
      <c r="S3" s="65" t="s">
        <v>72</v>
      </c>
      <c r="T3" s="66" t="s">
        <v>73</v>
      </c>
      <c r="U3" s="64" t="s">
        <v>71</v>
      </c>
      <c r="V3" s="65" t="s">
        <v>72</v>
      </c>
      <c r="W3" s="66" t="s">
        <v>73</v>
      </c>
      <c r="X3" s="64" t="s">
        <v>71</v>
      </c>
      <c r="Y3" s="65" t="s">
        <v>72</v>
      </c>
      <c r="Z3" s="66" t="s">
        <v>73</v>
      </c>
      <c r="AA3" s="64" t="s">
        <v>71</v>
      </c>
      <c r="AB3" s="65" t="s">
        <v>72</v>
      </c>
      <c r="AC3" s="66" t="s">
        <v>73</v>
      </c>
      <c r="AD3" s="64" t="s">
        <v>71</v>
      </c>
      <c r="AE3" s="65" t="s">
        <v>72</v>
      </c>
      <c r="AF3" s="66" t="s">
        <v>73</v>
      </c>
    </row>
    <row r="4" spans="2:32">
      <c r="B4" s="67" t="s">
        <v>74</v>
      </c>
      <c r="C4" s="68"/>
      <c r="D4" s="69"/>
      <c r="E4" s="70"/>
      <c r="F4" s="68"/>
      <c r="G4" s="69"/>
      <c r="H4" s="70"/>
      <c r="I4" s="68"/>
      <c r="J4" s="69"/>
      <c r="K4" s="70"/>
      <c r="L4" s="68"/>
      <c r="M4" s="69"/>
      <c r="N4" s="70"/>
      <c r="O4" s="68"/>
      <c r="P4" s="69"/>
      <c r="Q4" s="70"/>
      <c r="R4" s="68"/>
      <c r="S4" s="69"/>
      <c r="T4" s="70"/>
      <c r="U4" s="68"/>
      <c r="V4" s="69"/>
      <c r="W4" s="70"/>
      <c r="X4" s="68"/>
      <c r="Y4" s="69"/>
      <c r="Z4" s="70"/>
      <c r="AA4" s="68"/>
      <c r="AB4" s="69"/>
      <c r="AC4" s="70"/>
      <c r="AD4" s="68"/>
      <c r="AE4" s="69"/>
      <c r="AF4" s="70"/>
    </row>
    <row r="5" spans="2:32">
      <c r="B5" s="67" t="s">
        <v>75</v>
      </c>
      <c r="C5" s="68"/>
      <c r="D5" s="69"/>
      <c r="E5" s="70"/>
      <c r="F5" s="68"/>
      <c r="G5" s="69"/>
      <c r="H5" s="70"/>
      <c r="I5" s="68"/>
      <c r="J5" s="69"/>
      <c r="K5" s="70"/>
      <c r="L5" s="68"/>
      <c r="M5" s="69"/>
      <c r="N5" s="70"/>
      <c r="O5" s="68"/>
      <c r="P5" s="69"/>
      <c r="Q5" s="70"/>
      <c r="R5" s="68"/>
      <c r="S5" s="69"/>
      <c r="T5" s="70"/>
      <c r="U5" s="68"/>
      <c r="V5" s="69"/>
      <c r="W5" s="70"/>
      <c r="X5" s="68"/>
      <c r="Y5" s="69"/>
      <c r="Z5" s="70"/>
      <c r="AA5" s="68"/>
      <c r="AB5" s="69"/>
      <c r="AC5" s="70"/>
      <c r="AD5" s="68"/>
      <c r="AE5" s="69"/>
      <c r="AF5" s="70"/>
    </row>
    <row r="6" spans="2:32">
      <c r="B6" s="67" t="s">
        <v>54</v>
      </c>
      <c r="C6" s="68"/>
      <c r="D6" s="69"/>
      <c r="E6" s="70"/>
      <c r="F6" s="68"/>
      <c r="G6" s="69"/>
      <c r="H6" s="70"/>
      <c r="I6" s="68"/>
      <c r="J6" s="69"/>
      <c r="K6" s="70"/>
      <c r="L6" s="68"/>
      <c r="M6" s="69"/>
      <c r="N6" s="70"/>
      <c r="O6" s="68"/>
      <c r="P6" s="69"/>
      <c r="Q6" s="70"/>
      <c r="R6" s="68"/>
      <c r="S6" s="69"/>
      <c r="T6" s="70"/>
      <c r="U6" s="68"/>
      <c r="V6" s="69"/>
      <c r="W6" s="70"/>
      <c r="X6" s="68"/>
      <c r="Y6" s="69"/>
      <c r="Z6" s="70"/>
      <c r="AA6" s="68"/>
      <c r="AB6" s="69"/>
      <c r="AC6" s="70"/>
      <c r="AD6" s="68"/>
      <c r="AE6" s="69"/>
      <c r="AF6" s="70"/>
    </row>
    <row r="7" spans="2:32">
      <c r="B7" s="67" t="s">
        <v>79</v>
      </c>
      <c r="C7" s="68"/>
      <c r="D7" s="69"/>
      <c r="E7" s="70"/>
      <c r="F7" s="68"/>
      <c r="G7" s="69"/>
      <c r="H7" s="70"/>
      <c r="I7" s="68"/>
      <c r="J7" s="69"/>
      <c r="K7" s="70"/>
      <c r="L7" s="68"/>
      <c r="M7" s="69"/>
      <c r="N7" s="70"/>
      <c r="O7" s="68"/>
      <c r="P7" s="69"/>
      <c r="Q7" s="70"/>
      <c r="R7" s="68"/>
      <c r="S7" s="69"/>
      <c r="T7" s="70"/>
      <c r="U7" s="68"/>
      <c r="V7" s="69"/>
      <c r="W7" s="70"/>
      <c r="X7" s="68"/>
      <c r="Y7" s="69"/>
      <c r="Z7" s="70"/>
      <c r="AA7" s="68"/>
      <c r="AB7" s="69"/>
      <c r="AC7" s="70"/>
      <c r="AD7" s="68"/>
      <c r="AE7" s="69"/>
      <c r="AF7" s="70"/>
    </row>
    <row r="8" spans="2:32">
      <c r="B8" s="67" t="s">
        <v>51</v>
      </c>
      <c r="C8" s="68"/>
      <c r="D8" s="69"/>
      <c r="E8" s="70"/>
      <c r="F8" s="68"/>
      <c r="G8" s="69"/>
      <c r="H8" s="70"/>
      <c r="I8" s="68"/>
      <c r="J8" s="69"/>
      <c r="K8" s="70"/>
      <c r="L8" s="68"/>
      <c r="M8" s="69"/>
      <c r="N8" s="70"/>
      <c r="O8" s="68"/>
      <c r="P8" s="69"/>
      <c r="Q8" s="70"/>
      <c r="R8" s="68"/>
      <c r="S8" s="69"/>
      <c r="T8" s="70"/>
      <c r="U8" s="68"/>
      <c r="V8" s="69"/>
      <c r="W8" s="70"/>
      <c r="X8" s="68"/>
      <c r="Y8" s="69"/>
      <c r="Z8" s="70"/>
      <c r="AA8" s="68"/>
      <c r="AB8" s="69"/>
      <c r="AC8" s="70"/>
      <c r="AD8" s="68"/>
      <c r="AE8" s="69"/>
      <c r="AF8" s="70"/>
    </row>
    <row r="9" spans="2:32">
      <c r="B9" s="67" t="s">
        <v>80</v>
      </c>
      <c r="C9" s="68"/>
      <c r="D9" s="69"/>
      <c r="E9" s="70"/>
      <c r="F9" s="68"/>
      <c r="G9" s="69"/>
      <c r="H9" s="70"/>
      <c r="I9" s="68"/>
      <c r="J9" s="69"/>
      <c r="K9" s="70"/>
      <c r="L9" s="68"/>
      <c r="M9" s="69"/>
      <c r="N9" s="70"/>
      <c r="O9" s="68"/>
      <c r="P9" s="69"/>
      <c r="Q9" s="70"/>
      <c r="R9" s="68"/>
      <c r="S9" s="69"/>
      <c r="T9" s="70"/>
      <c r="U9" s="68"/>
      <c r="V9" s="69"/>
      <c r="W9" s="70"/>
      <c r="X9" s="68"/>
      <c r="Y9" s="69"/>
      <c r="Z9" s="70"/>
      <c r="AA9" s="68"/>
      <c r="AB9" s="69"/>
      <c r="AC9" s="70"/>
      <c r="AD9" s="68"/>
      <c r="AE9" s="69"/>
      <c r="AF9" s="70"/>
    </row>
    <row r="10" spans="2:32" ht="15" thickBot="1">
      <c r="B10" s="67" t="s">
        <v>8</v>
      </c>
      <c r="C10" s="71"/>
      <c r="D10" s="72"/>
      <c r="E10" s="73"/>
      <c r="F10" s="71"/>
      <c r="G10" s="72"/>
      <c r="H10" s="73"/>
      <c r="I10" s="71"/>
      <c r="J10" s="72"/>
      <c r="K10" s="73"/>
      <c r="L10" s="71"/>
      <c r="M10" s="72"/>
      <c r="N10" s="73"/>
      <c r="O10" s="71"/>
      <c r="P10" s="72"/>
      <c r="Q10" s="73"/>
      <c r="R10" s="71"/>
      <c r="S10" s="72"/>
      <c r="T10" s="73"/>
      <c r="U10" s="71"/>
      <c r="V10" s="72"/>
      <c r="W10" s="73"/>
      <c r="X10" s="71"/>
      <c r="Y10" s="72"/>
      <c r="Z10" s="73"/>
      <c r="AA10" s="71"/>
      <c r="AB10" s="72"/>
      <c r="AC10" s="73"/>
      <c r="AD10" s="71"/>
      <c r="AE10" s="72"/>
      <c r="AF10" s="73"/>
    </row>
    <row r="11" spans="2:32" ht="15" thickBot="1">
      <c r="B11" s="74" t="s">
        <v>76</v>
      </c>
      <c r="C11" s="75">
        <f t="shared" ref="C11:H11" si="0">SUM(C4:C10)</f>
        <v>0</v>
      </c>
      <c r="D11" s="76">
        <f t="shared" si="0"/>
        <v>0</v>
      </c>
      <c r="E11" s="77">
        <f t="shared" si="0"/>
        <v>0</v>
      </c>
      <c r="F11" s="75">
        <f t="shared" si="0"/>
        <v>0</v>
      </c>
      <c r="G11" s="76">
        <f t="shared" si="0"/>
        <v>0</v>
      </c>
      <c r="H11" s="77">
        <f t="shared" si="0"/>
        <v>0</v>
      </c>
      <c r="I11" s="75"/>
      <c r="J11" s="76"/>
      <c r="K11" s="77"/>
      <c r="L11" s="75"/>
      <c r="M11" s="76"/>
      <c r="N11" s="77"/>
      <c r="O11" s="75"/>
      <c r="P11" s="76"/>
      <c r="Q11" s="77"/>
      <c r="R11" s="75"/>
      <c r="S11" s="76"/>
      <c r="T11" s="77"/>
      <c r="U11" s="75"/>
      <c r="V11" s="76"/>
      <c r="W11" s="77"/>
      <c r="X11" s="75"/>
      <c r="Y11" s="76"/>
      <c r="Z11" s="77"/>
      <c r="AA11" s="75"/>
      <c r="AB11" s="76"/>
      <c r="AC11" s="77"/>
      <c r="AD11" s="75"/>
      <c r="AE11" s="76"/>
      <c r="AF11" s="77"/>
    </row>
    <row r="12" spans="2:32" ht="15" thickBot="1">
      <c r="C12" s="139">
        <f>C11*600+D11*2500+E11*2500</f>
        <v>0</v>
      </c>
      <c r="D12" s="140"/>
      <c r="E12" s="141"/>
      <c r="F12" s="139">
        <f t="shared" ref="F12" si="1">F11*600+G11*2500+H11*2500</f>
        <v>0</v>
      </c>
      <c r="G12" s="140"/>
      <c r="H12" s="141"/>
      <c r="I12" s="139"/>
      <c r="J12" s="140"/>
      <c r="K12" s="141"/>
      <c r="L12" s="139"/>
      <c r="M12" s="140"/>
      <c r="N12" s="141"/>
      <c r="O12" s="139"/>
      <c r="P12" s="140"/>
      <c r="Q12" s="141"/>
      <c r="R12" s="139"/>
      <c r="S12" s="140"/>
      <c r="T12" s="141"/>
      <c r="U12" s="139"/>
      <c r="V12" s="140"/>
      <c r="W12" s="141"/>
      <c r="X12" s="139"/>
      <c r="Y12" s="140"/>
      <c r="Z12" s="141"/>
      <c r="AA12" s="139"/>
      <c r="AB12" s="140"/>
      <c r="AC12" s="141"/>
      <c r="AD12" s="139"/>
      <c r="AE12" s="140"/>
      <c r="AF12" s="141"/>
    </row>
    <row r="15" spans="2:32">
      <c r="B15" t="s">
        <v>38</v>
      </c>
      <c r="C15">
        <f>(D11+G11+J11+M11+P11+S11+V11+Y11+AB11+AE11)</f>
        <v>0</v>
      </c>
      <c r="D15" s="142">
        <f>(D11+G11+J11+M11+P11+S11+V11+Y11+AB11+AE11)*2500</f>
        <v>0</v>
      </c>
      <c r="E15" s="142"/>
      <c r="F15" s="142"/>
    </row>
    <row r="16" spans="2:32">
      <c r="B16" t="s">
        <v>77</v>
      </c>
      <c r="C16">
        <f>(E11+H11+K11+N11+Q11+T11+W11+Z11+AC11+AF11)</f>
        <v>0</v>
      </c>
      <c r="D16" s="142">
        <f>C16*2500</f>
        <v>0</v>
      </c>
      <c r="E16" s="142"/>
      <c r="F16" s="142"/>
    </row>
    <row r="17" spans="2:6">
      <c r="B17" t="s">
        <v>78</v>
      </c>
      <c r="C17">
        <f>(C11+F11+I11+L11+O11+R11+U11+X11+AA11+AD11)</f>
        <v>0</v>
      </c>
      <c r="D17" s="142">
        <f>(C11+F11+I11+L11+O11+R11+U11+X11+AA11+AD11)*600</f>
        <v>0</v>
      </c>
      <c r="E17" s="142"/>
      <c r="F17" s="142"/>
    </row>
    <row r="18" spans="2:6">
      <c r="D18" s="143">
        <f>SUM(D15:D17)</f>
        <v>0</v>
      </c>
      <c r="E18" s="143"/>
      <c r="F18" s="143"/>
    </row>
  </sheetData>
  <mergeCells count="25">
    <mergeCell ref="D16:F16"/>
    <mergeCell ref="D17:F17"/>
    <mergeCell ref="D18:F18"/>
    <mergeCell ref="R12:T12"/>
    <mergeCell ref="U12:W12"/>
    <mergeCell ref="X12:Z12"/>
    <mergeCell ref="AA12:AC12"/>
    <mergeCell ref="AD12:AF12"/>
    <mergeCell ref="D15:F15"/>
    <mergeCell ref="R2:T2"/>
    <mergeCell ref="U2:W2"/>
    <mergeCell ref="X2:Z2"/>
    <mergeCell ref="AA2:AC2"/>
    <mergeCell ref="AD2:AF2"/>
    <mergeCell ref="C12:E12"/>
    <mergeCell ref="F12:H12"/>
    <mergeCell ref="I12:K12"/>
    <mergeCell ref="L12:N12"/>
    <mergeCell ref="O12:Q12"/>
    <mergeCell ref="O2:Q2"/>
    <mergeCell ref="B2:B3"/>
    <mergeCell ref="C2:E2"/>
    <mergeCell ref="F2:H2"/>
    <mergeCell ref="I2:K2"/>
    <mergeCell ref="L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2" ma:contentTypeDescription="Create a new document." ma:contentTypeScope="" ma:versionID="32cfa257585a1b8243c820ef58f4c8f2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d262e5458fb9189a0f2c99abe443a938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3B68FB-0CD3-4C34-825F-A9E78F4C6EBB}">
  <ds:schemaRefs>
    <ds:schemaRef ds:uri="http://purl.org/dc/elements/1.1/"/>
    <ds:schemaRef ds:uri="d0cc11b3-a7c9-4b2d-aefe-ba35ec4ccdf6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b51a780f-0fa3-402a-bc59-130135163fa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B88A01D-3EEA-4557-B2D7-9D28D117EA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C6B600-42E8-4B43-883C-EE203B5010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Total</vt:lpstr>
      <vt:lpstr>Vendor Cost</vt:lpstr>
      <vt:lpstr>Digital_Manday</vt:lpstr>
      <vt:lpstr>Timeline</vt:lpstr>
      <vt:lpstr>Other Expense</vt:lpstr>
      <vt:lpstr>Digital_Manday!Print_Area</vt:lpstr>
      <vt:lpstr>Total!Print_Area</vt:lpstr>
      <vt:lpstr>'Vendor Cost'!Print_Area</vt:lpstr>
    </vt:vector>
  </TitlesOfParts>
  <Company>PTTICT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Wannika Jipibhop</dc:creator>
  <cp:lastModifiedBy>Panita Yongyuth</cp:lastModifiedBy>
  <cp:lastPrinted>2020-11-17T06:21:08Z</cp:lastPrinted>
  <dcterms:created xsi:type="dcterms:W3CDTF">2014-03-05T16:20:38Z</dcterms:created>
  <dcterms:modified xsi:type="dcterms:W3CDTF">2026-09-04T04:36:21Z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