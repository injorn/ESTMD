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https://pttgrp-my.sharepoint.com/personal/vorakit_l_pttdigital_com/Documents/GRC/Proposal/"/>
    </mc:Choice>
  </mc:AlternateContent>
  <xr:revisionPtr revIDLastSave="2503" documentId="13_ncr:1_{78E48845-8B41-496C-B7D7-E6F7DC8C73E4}" xr6:coauthVersionLast="47" xr6:coauthVersionMax="47" xr10:uidLastSave="{E0A342C5-BF4D-49C4-B5E0-4CB648F98CF4}"/>
  <bookViews>
    <workbookView xWindow="-110" yWindow="-110" windowWidth="19420" windowHeight="11500" tabRatio="862" xr2:uid="{00000000-000D-0000-FFFF-FFFF00000000}"/>
  </bookViews>
  <sheets>
    <sheet name="Resource" sheetId="10" r:id="rId1"/>
    <sheet name="Total" sheetId="12" r:id="rId2"/>
    <sheet name="PTTDigital_Manday" sheetId="17" r:id="rId3"/>
    <sheet name="Travel Cost" sheetId="13" r:id="rId4"/>
    <sheet name="Project Timeline" sheetId="18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9" i="17" l="1"/>
  <c r="H49" i="17"/>
  <c r="D49" i="17"/>
  <c r="E49" i="17"/>
  <c r="H54" i="17" l="1"/>
  <c r="I54" i="17"/>
  <c r="E54" i="17"/>
  <c r="I53" i="17"/>
  <c r="D54" i="17"/>
  <c r="G49" i="17"/>
  <c r="G54" i="17" s="1"/>
  <c r="K49" i="17" l="1"/>
  <c r="K54" i="17" s="1"/>
  <c r="L49" i="17"/>
  <c r="L54" i="17" s="1"/>
  <c r="J49" i="17"/>
  <c r="J54" i="17" s="1"/>
  <c r="F49" i="17"/>
  <c r="F54" i="17" s="1"/>
  <c r="H53" i="17" l="1"/>
  <c r="G53" i="17" l="1"/>
  <c r="J53" i="17"/>
  <c r="K53" i="17"/>
  <c r="L53" i="17"/>
  <c r="C25" i="12"/>
  <c r="F53" i="17"/>
  <c r="M53" i="17"/>
  <c r="E53" i="17"/>
  <c r="D53" i="17"/>
  <c r="M49" i="17"/>
  <c r="M54" i="17" s="1"/>
  <c r="E16" i="12"/>
  <c r="E10" i="12"/>
  <c r="E11" i="12"/>
  <c r="I4" i="10"/>
  <c r="D8" i="13"/>
  <c r="J7" i="13"/>
  <c r="J6" i="13"/>
  <c r="J5" i="13"/>
  <c r="J8" i="13"/>
  <c r="E18" i="12"/>
  <c r="E17" i="12"/>
  <c r="E12" i="12"/>
  <c r="E19" i="12"/>
  <c r="E13" i="12"/>
  <c r="C5" i="12"/>
  <c r="I6" i="10"/>
  <c r="I5" i="10"/>
  <c r="I11" i="10" l="1"/>
  <c r="N53" i="17"/>
  <c r="C3" i="12" s="1"/>
  <c r="N54" i="17"/>
  <c r="C4" i="12" l="1"/>
  <c r="C6" i="12" s="1"/>
  <c r="N55" i="17"/>
  <c r="D23" i="12" l="1"/>
  <c r="D24" i="12"/>
  <c r="D2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Pimsupak Tammalakkhana</author>
  </authors>
  <commentList>
    <comment ref="G3" authorId="0" shapeId="0" xr:uid="{F383126A-4262-4E01-AF58-53F99FD0410E}">
      <text>
        <r>
          <rPr>
            <b/>
            <sz val="9"/>
            <color rgb="FF000000"/>
            <rFont val="Tahoma"/>
            <family val="2"/>
          </rPr>
          <t>Pimsupak Tammalakkhana: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ให้ใส่</t>
        </r>
        <r>
          <rPr>
            <sz val="9"/>
            <color rgb="FF000000"/>
            <rFont val="Tahoma"/>
            <family val="2"/>
          </rPr>
          <t xml:space="preserve"> Cost 
</t>
        </r>
        <r>
          <rPr>
            <sz val="9"/>
            <color rgb="FF000000"/>
            <rFont val="Tahoma"/>
            <family val="2"/>
          </rPr>
          <t>หาก</t>
        </r>
        <r>
          <rPr>
            <sz val="9"/>
            <color rgb="FF000000"/>
            <rFont val="Tahoma"/>
            <family val="2"/>
          </rPr>
          <t xml:space="preserve"> PM </t>
        </r>
        <r>
          <rPr>
            <sz val="9"/>
            <color rgb="FF000000"/>
            <rFont val="Tahoma"/>
            <family val="2"/>
          </rPr>
          <t>ไม่ทราบให้ว่างไว้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B19" authorId="0" shapeId="0" xr:uid="{3DB12784-2121-487A-A94F-F883654DDFAB}">
      <text>
        <r>
          <rPr>
            <b/>
            <sz val="9"/>
            <color rgb="FF000000"/>
            <rFont val="Tahoma"/>
            <family val="2"/>
          </rPr>
          <t>Pimsupak Tammalakkhana: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ระบุค่าเดินทาง</t>
        </r>
        <r>
          <rPr>
            <sz val="9"/>
            <color rgb="FF000000"/>
            <rFont val="Tahoma"/>
            <family val="2"/>
          </rPr>
          <t xml:space="preserve"> 
</t>
        </r>
        <r>
          <rPr>
            <sz val="9"/>
            <color rgb="FF000000"/>
            <rFont val="Tahoma"/>
            <family val="2"/>
          </rPr>
          <t>หาก</t>
        </r>
        <r>
          <rPr>
            <sz val="9"/>
            <color rgb="FF000000"/>
            <rFont val="Tahoma"/>
            <family val="2"/>
          </rPr>
          <t xml:space="preserve"> Project </t>
        </r>
        <r>
          <rPr>
            <sz val="9"/>
            <color rgb="FF000000"/>
            <rFont val="Tahoma"/>
            <family val="2"/>
          </rPr>
          <t>ไหนต้องย่อยรายละเอียดการเดินทางแยก</t>
        </r>
        <r>
          <rPr>
            <sz val="9"/>
            <color rgb="FF000000"/>
            <rFont val="Tahoma"/>
            <family val="2"/>
          </rPr>
          <t xml:space="preserve"> Sheet Declare </t>
        </r>
        <r>
          <rPr>
            <sz val="9"/>
            <color rgb="FF000000"/>
            <rFont val="Tahoma"/>
            <family val="2"/>
          </rPr>
          <t>มาอีกอัน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Pimsupak Tammalakkhana</author>
  </authors>
  <commentList>
    <comment ref="A20" authorId="0" shapeId="0" xr:uid="{81C4FDC4-3BC7-4557-A4FA-9978C922E53A}">
      <text>
        <r>
          <rPr>
            <b/>
            <sz val="9"/>
            <color indexed="81"/>
            <rFont val="Tahoma"/>
            <family val="2"/>
          </rPr>
          <t>Pimsupak Tammalakkhana:</t>
        </r>
        <r>
          <rPr>
            <sz val="9"/>
            <color indexed="81"/>
            <rFont val="Tahoma"/>
            <family val="2"/>
          </rPr>
          <t xml:space="preserve">
แล้วแต่ Project ว่าแบ่งส่งเอกสารเป็น 2 เล่ม Requirement และ Design หรือไม่</t>
        </r>
      </text>
    </comment>
  </commentList>
</comments>
</file>

<file path=xl/sharedStrings.xml><?xml version="1.0" encoding="utf-8"?>
<sst xmlns="http://schemas.openxmlformats.org/spreadsheetml/2006/main" count="244" uniqueCount="171">
  <si>
    <t>Project Activity</t>
  </si>
  <si>
    <t>Design</t>
  </si>
  <si>
    <t>Testing</t>
  </si>
  <si>
    <t>Total</t>
  </si>
  <si>
    <t>Phase</t>
  </si>
  <si>
    <t>Business Development</t>
  </si>
  <si>
    <t>Project Planning</t>
  </si>
  <si>
    <t>Kick-Off Meeting</t>
  </si>
  <si>
    <t>Confirm Requirement Specification with Customer</t>
  </si>
  <si>
    <t>Sign off Requirement Specification</t>
  </si>
  <si>
    <t>Clarify Design</t>
  </si>
  <si>
    <t>Sign off Design Specification</t>
  </si>
  <si>
    <t>Peer Review Technical Specification</t>
  </si>
  <si>
    <t>User Acceptance Test (UAT)</t>
  </si>
  <si>
    <t>Sign-Off UAT</t>
  </si>
  <si>
    <t>Perform Security Test</t>
  </si>
  <si>
    <t>Create Baseline for Final Preparation</t>
  </si>
  <si>
    <t>Final Preparation</t>
  </si>
  <si>
    <t>Develop Deployment Plan &amp; Readiness Checklist</t>
  </si>
  <si>
    <t>Create release documents</t>
  </si>
  <si>
    <t>Prepare and perform Data migration/conversion</t>
  </si>
  <si>
    <t>Prepare and setup Production Environment</t>
  </si>
  <si>
    <t>Project Closure</t>
  </si>
  <si>
    <t>Evaluate supplier/vendor</t>
  </si>
  <si>
    <t>Survey Customer Satisfaction</t>
  </si>
  <si>
    <t>Create Project closure report and Completion sign-off</t>
  </si>
  <si>
    <t>Details</t>
  </si>
  <si>
    <t>Deliverables</t>
  </si>
  <si>
    <t>PM</t>
  </si>
  <si>
    <t>App. Support</t>
  </si>
  <si>
    <t>Gather Initial Requirements</t>
  </si>
  <si>
    <t>Vendor Selection</t>
  </si>
  <si>
    <t>Impact analyst</t>
  </si>
  <si>
    <t>Create Project Plan, Other Plans and Integrate to Project Plan</t>
  </si>
  <si>
    <t>Prepare and setup Development Environment</t>
  </si>
  <si>
    <t>Requirement Development</t>
  </si>
  <si>
    <t>Create Baseline for Design(CM)</t>
  </si>
  <si>
    <t>Peer Review Software Implementation &amp; Unit Test</t>
  </si>
  <si>
    <t xml:space="preserve">Create Final Baseline </t>
  </si>
  <si>
    <t>Go-live Support and Go-live Sign off</t>
  </si>
  <si>
    <t>Sign-Off GO Live</t>
  </si>
  <si>
    <t>Role</t>
  </si>
  <si>
    <t>Technical Training</t>
  </si>
  <si>
    <t>หมายเหตุ   Manday จำนวน 1 MD ของ App Support ใน activity Final Preparation จะไม่ได้ charge ลูกค้าเนื่องจากเป็นการเข้าไปเรียนรู้และ transfer system</t>
  </si>
  <si>
    <t>Sign-Off Requirement Specification</t>
  </si>
  <si>
    <t xml:space="preserve"> </t>
  </si>
  <si>
    <t>Senior = 14,000 per day</t>
  </si>
  <si>
    <t>Junior = 8,500 per day</t>
  </si>
  <si>
    <t>%</t>
  </si>
  <si>
    <t>จำนวนเงิน</t>
  </si>
  <si>
    <t>Rev/ Day</t>
  </si>
  <si>
    <t>Rev (BD Phase)</t>
  </si>
  <si>
    <t>Rev (Development Phase)</t>
  </si>
  <si>
    <t>Digital Rev</t>
  </si>
  <si>
    <t>Of1</t>
  </si>
  <si>
    <t>Digital Rev (BD Phase)</t>
  </si>
  <si>
    <t>Digital Rev (Development Phase)</t>
  </si>
  <si>
    <t>งวดการชำระเงิน PTT &gt;&gt; PTT Digital</t>
  </si>
  <si>
    <t>ค่าเดินทาง</t>
  </si>
  <si>
    <t>จำนวนครั้ง</t>
  </si>
  <si>
    <t>ครั้งละ</t>
  </si>
  <si>
    <t>รวมค่าเดินทาง</t>
  </si>
  <si>
    <t>ค่าเบี้ยเลี้ยง</t>
  </si>
  <si>
    <t>รวมค่าเบี้ยเลี้ยง</t>
  </si>
  <si>
    <t>Development</t>
  </si>
  <si>
    <t>Name</t>
  </si>
  <si>
    <t>Team Information</t>
  </si>
  <si>
    <t>Total Manday (Day)</t>
  </si>
  <si>
    <t>No.</t>
  </si>
  <si>
    <t>Type</t>
  </si>
  <si>
    <t>Level</t>
  </si>
  <si>
    <t>Planned (Day)</t>
  </si>
  <si>
    <t>Manday Rate (Baht)</t>
  </si>
  <si>
    <t>Officer</t>
  </si>
  <si>
    <t>Outsource</t>
  </si>
  <si>
    <t>Other Information</t>
  </si>
  <si>
    <t>Total Amount (Baht)</t>
  </si>
  <si>
    <t>Hardware</t>
  </si>
  <si>
    <t>-</t>
  </si>
  <si>
    <t>Software</t>
  </si>
  <si>
    <t>License</t>
  </si>
  <si>
    <t>Allowance</t>
  </si>
  <si>
    <t>ค่าดำเนินโครงการโดยที่ปรึกษาภายนอก</t>
  </si>
  <si>
    <t>DevOps Service</t>
  </si>
  <si>
    <t>Production Deployment</t>
  </si>
  <si>
    <t>Create Proposal &amp; Project Plan</t>
  </si>
  <si>
    <t>Proposal</t>
  </si>
  <si>
    <t>Monitoring</t>
  </si>
  <si>
    <t>Progress Report</t>
  </si>
  <si>
    <t>Get Requirement</t>
  </si>
  <si>
    <t>Create Business Blueprint</t>
  </si>
  <si>
    <t>Create Test Scenario &amp; Test Script</t>
  </si>
  <si>
    <t>System Integration Test (SIT)</t>
  </si>
  <si>
    <t>Train The Trainer (TTT)</t>
  </si>
  <si>
    <t>End User Training (EUT)</t>
  </si>
  <si>
    <t>Prepare Training Material / User Manual</t>
  </si>
  <si>
    <t>หมายเหตุ   ถ้ามีประเภทค่าใช้จ่ายอื่นๆ เพิ่มเติมใน Project เพิ่ม Row ได้</t>
  </si>
  <si>
    <t>ค่าเบี้ยเลี้ยง/ค่าเดินทาง</t>
  </si>
  <si>
    <t>Infrastructure</t>
  </si>
  <si>
    <t>ราคา</t>
  </si>
  <si>
    <t>จำนวนหน่วย</t>
  </si>
  <si>
    <t>จำนวนการใช้งาน</t>
  </si>
  <si>
    <t>รวม</t>
  </si>
  <si>
    <t>จำนวนครั้งที่ไป</t>
  </si>
  <si>
    <t>ค่าที่พัก</t>
  </si>
  <si>
    <t>Requirement &amp; Design</t>
  </si>
  <si>
    <t>UAT</t>
  </si>
  <si>
    <t>Go-Live &amp; Training</t>
  </si>
  <si>
    <t xml:space="preserve">          : งวดส่งมอบงาน</t>
  </si>
  <si>
    <t>Develop and Deploy SIT &amp; UAT</t>
  </si>
  <si>
    <t>Project Manager</t>
  </si>
  <si>
    <t xml:space="preserve">Sign-Off UAT </t>
  </si>
  <si>
    <t>งวดที่ 1 : Requirement Sign off</t>
  </si>
  <si>
    <t>งวดที่ 2 : Go Live Sigh off</t>
  </si>
  <si>
    <t>Pipeline DevOps (Front+Back-end)</t>
  </si>
  <si>
    <t>Automated Test</t>
  </si>
  <si>
    <t>Unit Test &amp; EA Process</t>
  </si>
  <si>
    <t>Sr1</t>
  </si>
  <si>
    <t>Senior Officer</t>
  </si>
  <si>
    <t>PTT Digital</t>
  </si>
  <si>
    <t>Project Plan</t>
  </si>
  <si>
    <t>M1</t>
  </si>
  <si>
    <t>M2</t>
  </si>
  <si>
    <t>M3</t>
  </si>
  <si>
    <t>M4</t>
  </si>
  <si>
    <t>M5</t>
  </si>
  <si>
    <t>M6</t>
  </si>
  <si>
    <t>M7</t>
  </si>
  <si>
    <t>WK1</t>
  </si>
  <si>
    <t>WK2</t>
  </si>
  <si>
    <t>WK3</t>
  </si>
  <si>
    <t>WK4</t>
  </si>
  <si>
    <t>Project Preparation</t>
  </si>
  <si>
    <t>Team Mobilization</t>
  </si>
  <si>
    <t>Project Kick Off</t>
  </si>
  <si>
    <t>Requirement Gathering</t>
  </si>
  <si>
    <t>&amp; Data Analysis</t>
  </si>
  <si>
    <t>Data Analysis</t>
  </si>
  <si>
    <t>Unit Test</t>
  </si>
  <si>
    <t>SIT</t>
  </si>
  <si>
    <t>Training &amp; UAT</t>
  </si>
  <si>
    <t>Training</t>
  </si>
  <si>
    <t>Go live &amp; Support</t>
  </si>
  <si>
    <t xml:space="preserve">คุณวรกิจ ลาภทวีโชค </t>
  </si>
  <si>
    <t>คุณเบญญาภา อ่อนเรือง</t>
  </si>
  <si>
    <t>คุณกฤษณะ จันลา</t>
  </si>
  <si>
    <t>คุณณิชาภัทร อุทัยแสงสุข</t>
  </si>
  <si>
    <t>คุณเกษรินทร์ กิจศิริเจริญชัย</t>
  </si>
  <si>
    <t>คุณธวิทย์ เชิดเกียรติสกุล</t>
  </si>
  <si>
    <t>คุณบริพันธ์ ชาตรี</t>
  </si>
  <si>
    <t>คุณธีระ วชิรพรพันธ์</t>
  </si>
  <si>
    <t>BA (RCP)</t>
  </si>
  <si>
    <t>BA (POWER BI)</t>
  </si>
  <si>
    <t>BA (PIS)</t>
  </si>
  <si>
    <t>BA (WSO2)</t>
  </si>
  <si>
    <t>Systems Engineer</t>
  </si>
  <si>
    <t>Sr2</t>
  </si>
  <si>
    <t>Vorakit L.</t>
  </si>
  <si>
    <t>Benyapha O.</t>
  </si>
  <si>
    <t>Krisana J.</t>
  </si>
  <si>
    <t>Nichapat U.</t>
  </si>
  <si>
    <t>Gedsarin K.</t>
  </si>
  <si>
    <t>Tawit C.</t>
  </si>
  <si>
    <t>Boripan C.</t>
  </si>
  <si>
    <t>Teera C.</t>
  </si>
  <si>
    <t>BA</t>
  </si>
  <si>
    <t>Of2</t>
  </si>
  <si>
    <t>โครงการ ENH-PTT-HO-Risk and Control Platform WEB (RCP) ปี 2569</t>
  </si>
  <si>
    <t>(ระยะเวลาโครงการ ….180…. วัน)</t>
  </si>
  <si>
    <t>Create Requirement Specification</t>
  </si>
  <si>
    <t>Create Technical/Design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</si>
</sst>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-&quot;฿&quot;* #,##0.00_-;\-&quot;฿&quot;* #,##0.00_-;_-&quot;฿&quot;* &quot;-&quot;??_-;_-@_-"/>
    <numFmt numFmtId="166" formatCode="&quot;฿&quot;#,##0.00"/>
    <numFmt numFmtId="167" formatCode="_-[$฿-41E]* #,##0.00_-;\-[$฿-41E]* #,##0.00_-;_-[$฿-41E]* &quot;-&quot;??_-;_-@_-"/>
    <numFmt numFmtId="168" formatCode="_(* #,##0_);_(* \(#,##0\);_(* &quot;-&quot;??_);_(@_)"/>
    <numFmt numFmtId="169" formatCode="_(* #,##0.0_);_(* \(#,##0.0\);_(* &quot;-&quot;??_);_(@_)"/>
  </numFmts>
  <fonts count="3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0"/>
      <color theme="1"/>
      <name val="Calibri"/>
      <family val="2"/>
      <scheme val="minor"/>
    </font>
    <font>
      <b/>
      <sz val="9"/>
      <color rgb="FFFFFFFF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10"/>
      <color rgb="FFFF0000"/>
      <name val="Calibri"/>
      <family val="2"/>
      <charset val="22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charset val="22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ordia New"/>
      <family val="2"/>
    </font>
    <font>
      <sz val="10"/>
      <color rgb="FFFF0000"/>
      <name val="Cordia New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u/>
      <sz val="10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Calibri"/>
      <family val="2"/>
      <charset val="222"/>
      <scheme val="minor"/>
    </font>
    <font>
      <sz val="10"/>
      <color theme="1"/>
      <name val="Calibri"/>
      <family val="2"/>
    </font>
    <font>
      <sz val="10"/>
      <color theme="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name val="Calibri"/>
      <family val="2"/>
      <charset val="22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4" fillId="0" borderId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220">
    <xf numFmtId="0" fontId="0" fillId="0" borderId="0" xfId="0"/>
    <xf numFmtId="0" fontId="5" fillId="4" borderId="13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5" borderId="18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vertical="center" wrapText="1"/>
    </xf>
    <xf numFmtId="0" fontId="8" fillId="0" borderId="0" xfId="0" applyFont="1"/>
    <xf numFmtId="166" fontId="0" fillId="0" borderId="0" xfId="0" applyNumberFormat="1"/>
    <xf numFmtId="0" fontId="5" fillId="4" borderId="16" xfId="0" applyFont="1" applyFill="1" applyBorder="1" applyAlignment="1">
      <alignment vertical="center" wrapText="1"/>
    </xf>
    <xf numFmtId="166" fontId="11" fillId="7" borderId="21" xfId="0" applyNumberFormat="1" applyFont="1" applyFill="1" applyBorder="1"/>
    <xf numFmtId="166" fontId="11" fillId="7" borderId="11" xfId="0" applyNumberFormat="1" applyFont="1" applyFill="1" applyBorder="1"/>
    <xf numFmtId="166" fontId="12" fillId="7" borderId="23" xfId="0" applyNumberFormat="1" applyFont="1" applyFill="1" applyBorder="1"/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4" fillId="0" borderId="0" xfId="0" applyFont="1"/>
    <xf numFmtId="0" fontId="10" fillId="0" borderId="0" xfId="0" applyFont="1"/>
    <xf numFmtId="0" fontId="5" fillId="8" borderId="17" xfId="0" applyFont="1" applyFill="1" applyBorder="1" applyAlignment="1">
      <alignment horizontal="center" vertical="center" wrapText="1"/>
    </xf>
    <xf numFmtId="166" fontId="4" fillId="3" borderId="24" xfId="0" applyNumberFormat="1" applyFont="1" applyFill="1" applyBorder="1"/>
    <xf numFmtId="166" fontId="10" fillId="3" borderId="25" xfId="0" applyNumberFormat="1" applyFont="1" applyFill="1" applyBorder="1" applyAlignment="1">
      <alignment horizontal="right" vertical="center"/>
    </xf>
    <xf numFmtId="166" fontId="13" fillId="9" borderId="26" xfId="0" applyNumberFormat="1" applyFont="1" applyFill="1" applyBorder="1" applyAlignment="1">
      <alignment horizontal="left" indent="1"/>
    </xf>
    <xf numFmtId="166" fontId="9" fillId="9" borderId="22" xfId="0" applyNumberFormat="1" applyFont="1" applyFill="1" applyBorder="1" applyAlignment="1">
      <alignment horizontal="right" vertical="center"/>
    </xf>
    <xf numFmtId="166" fontId="13" fillId="9" borderId="28" xfId="0" applyNumberFormat="1" applyFont="1" applyFill="1" applyBorder="1" applyAlignment="1">
      <alignment horizontal="left" indent="1"/>
    </xf>
    <xf numFmtId="166" fontId="9" fillId="9" borderId="29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166" fontId="10" fillId="3" borderId="3" xfId="0" applyNumberFormat="1" applyFont="1" applyFill="1" applyBorder="1" applyAlignment="1">
      <alignment horizontal="right" vertical="center"/>
    </xf>
    <xf numFmtId="166" fontId="9" fillId="9" borderId="8" xfId="0" applyNumberFormat="1" applyFont="1" applyFill="1" applyBorder="1" applyAlignment="1">
      <alignment horizontal="right" vertical="center"/>
    </xf>
    <xf numFmtId="166" fontId="9" fillId="9" borderId="9" xfId="0" applyNumberFormat="1" applyFont="1" applyFill="1" applyBorder="1" applyAlignment="1">
      <alignment horizontal="right" vertical="center"/>
    </xf>
    <xf numFmtId="0" fontId="16" fillId="0" borderId="15" xfId="0" applyFont="1" applyBorder="1"/>
    <xf numFmtId="166" fontId="15" fillId="11" borderId="36" xfId="0" applyNumberFormat="1" applyFont="1" applyFill="1" applyBorder="1" applyAlignment="1">
      <alignment horizontal="right" vertical="center"/>
    </xf>
    <xf numFmtId="166" fontId="15" fillId="11" borderId="1" xfId="0" applyNumberFormat="1" applyFont="1" applyFill="1" applyBorder="1" applyAlignment="1">
      <alignment horizontal="right" vertical="center"/>
    </xf>
    <xf numFmtId="0" fontId="17" fillId="6" borderId="35" xfId="0" applyFont="1" applyFill="1" applyBorder="1" applyAlignment="1">
      <alignment horizontal="center"/>
    </xf>
    <xf numFmtId="0" fontId="18" fillId="0" borderId="0" xfId="0" applyFont="1" applyAlignment="1">
      <alignment horizontal="left" vertical="center" indent="3"/>
    </xf>
    <xf numFmtId="0" fontId="19" fillId="0" borderId="28" xfId="0" applyFont="1" applyBorder="1" applyAlignment="1">
      <alignment horizontal="left" vertical="center" indent="3"/>
    </xf>
    <xf numFmtId="9" fontId="10" fillId="0" borderId="29" xfId="0" applyNumberFormat="1" applyFont="1" applyBorder="1"/>
    <xf numFmtId="0" fontId="10" fillId="0" borderId="32" xfId="0" applyFont="1" applyBorder="1"/>
    <xf numFmtId="9" fontId="10" fillId="0" borderId="33" xfId="4" applyFont="1" applyBorder="1"/>
    <xf numFmtId="166" fontId="10" fillId="0" borderId="34" xfId="0" applyNumberFormat="1" applyFont="1" applyBorder="1"/>
    <xf numFmtId="0" fontId="4" fillId="12" borderId="31" xfId="0" applyFont="1" applyFill="1" applyBorder="1" applyAlignment="1">
      <alignment horizontal="center"/>
    </xf>
    <xf numFmtId="1" fontId="4" fillId="12" borderId="19" xfId="0" applyNumberFormat="1" applyFont="1" applyFill="1" applyBorder="1" applyAlignment="1">
      <alignment horizontal="center"/>
    </xf>
    <xf numFmtId="0" fontId="4" fillId="12" borderId="20" xfId="0" applyFont="1" applyFill="1" applyBorder="1" applyAlignment="1">
      <alignment horizontal="center"/>
    </xf>
    <xf numFmtId="166" fontId="4" fillId="0" borderId="30" xfId="0" applyNumberFormat="1" applyFont="1" applyBorder="1"/>
    <xf numFmtId="167" fontId="11" fillId="7" borderId="17" xfId="0" applyNumberFormat="1" applyFont="1" applyFill="1" applyBorder="1"/>
    <xf numFmtId="167" fontId="11" fillId="7" borderId="7" xfId="0" applyNumberFormat="1" applyFont="1" applyFill="1" applyBorder="1"/>
    <xf numFmtId="167" fontId="12" fillId="7" borderId="23" xfId="0" applyNumberFormat="1" applyFont="1" applyFill="1" applyBorder="1"/>
    <xf numFmtId="166" fontId="15" fillId="11" borderId="35" xfId="0" applyNumberFormat="1" applyFont="1" applyFill="1" applyBorder="1"/>
    <xf numFmtId="0" fontId="4" fillId="12" borderId="38" xfId="0" applyFont="1" applyFill="1" applyBorder="1" applyAlignment="1">
      <alignment horizontal="center"/>
    </xf>
    <xf numFmtId="0" fontId="0" fillId="0" borderId="22" xfId="0" applyBorder="1"/>
    <xf numFmtId="0" fontId="0" fillId="0" borderId="39" xfId="0" applyBorder="1"/>
    <xf numFmtId="168" fontId="20" fillId="10" borderId="0" xfId="6" applyNumberFormat="1" applyFont="1" applyFill="1" applyBorder="1" applyAlignment="1">
      <alignment horizontal="center" vertical="center"/>
    </xf>
    <xf numFmtId="0" fontId="21" fillId="0" borderId="0" xfId="5" applyFont="1"/>
    <xf numFmtId="0" fontId="20" fillId="13" borderId="28" xfId="5" applyFont="1" applyFill="1" applyBorder="1" applyAlignment="1">
      <alignment horizontal="center" vertical="center"/>
    </xf>
    <xf numFmtId="0" fontId="20" fillId="13" borderId="41" xfId="5" applyFont="1" applyFill="1" applyBorder="1" applyAlignment="1">
      <alignment horizontal="center" vertical="center"/>
    </xf>
    <xf numFmtId="0" fontId="20" fillId="13" borderId="2" xfId="5" applyFont="1" applyFill="1" applyBorder="1" applyAlignment="1">
      <alignment horizontal="center" vertical="center"/>
    </xf>
    <xf numFmtId="0" fontId="20" fillId="13" borderId="42" xfId="5" applyFont="1" applyFill="1" applyBorder="1" applyAlignment="1">
      <alignment horizontal="center" vertical="center"/>
    </xf>
    <xf numFmtId="1" fontId="20" fillId="10" borderId="41" xfId="6" applyNumberFormat="1" applyFont="1" applyFill="1" applyBorder="1" applyAlignment="1">
      <alignment horizontal="center" vertical="center" wrapText="1"/>
    </xf>
    <xf numFmtId="4" fontId="20" fillId="10" borderId="42" xfId="6" applyNumberFormat="1" applyFont="1" applyFill="1" applyBorder="1" applyAlignment="1">
      <alignment horizontal="center" vertical="center" wrapText="1"/>
    </xf>
    <xf numFmtId="4" fontId="20" fillId="10" borderId="0" xfId="6" applyNumberFormat="1" applyFont="1" applyFill="1" applyBorder="1" applyAlignment="1">
      <alignment horizontal="center" vertical="center" wrapText="1"/>
    </xf>
    <xf numFmtId="0" fontId="21" fillId="0" borderId="45" xfId="5" applyFont="1" applyBorder="1" applyAlignment="1">
      <alignment horizontal="center"/>
    </xf>
    <xf numFmtId="0" fontId="21" fillId="0" borderId="46" xfId="5" applyFont="1" applyBorder="1" applyAlignment="1">
      <alignment horizontal="center"/>
    </xf>
    <xf numFmtId="4" fontId="21" fillId="0" borderId="47" xfId="6" applyNumberFormat="1" applyFont="1" applyBorder="1" applyAlignment="1">
      <alignment horizontal="right"/>
    </xf>
    <xf numFmtId="4" fontId="21" fillId="11" borderId="0" xfId="6" applyNumberFormat="1" applyFont="1" applyFill="1" applyBorder="1"/>
    <xf numFmtId="0" fontId="22" fillId="0" borderId="0" xfId="5" applyFont="1"/>
    <xf numFmtId="0" fontId="21" fillId="0" borderId="49" xfId="5" applyFont="1" applyBorder="1" applyAlignment="1">
      <alignment horizontal="center"/>
    </xf>
    <xf numFmtId="0" fontId="21" fillId="0" borderId="50" xfId="5" applyFont="1" applyBorder="1" applyAlignment="1">
      <alignment horizontal="center"/>
    </xf>
    <xf numFmtId="4" fontId="21" fillId="0" borderId="51" xfId="6" applyNumberFormat="1" applyFont="1" applyBorder="1"/>
    <xf numFmtId="4" fontId="21" fillId="0" borderId="0" xfId="6" applyNumberFormat="1" applyFont="1" applyBorder="1"/>
    <xf numFmtId="0" fontId="21" fillId="0" borderId="52" xfId="5" applyFont="1" applyBorder="1" applyAlignment="1">
      <alignment horizontal="center"/>
    </xf>
    <xf numFmtId="0" fontId="21" fillId="0" borderId="53" xfId="5" applyFont="1" applyBorder="1"/>
    <xf numFmtId="0" fontId="21" fillId="0" borderId="54" xfId="5" applyFont="1" applyBorder="1"/>
    <xf numFmtId="0" fontId="23" fillId="0" borderId="55" xfId="5" applyFont="1" applyBorder="1"/>
    <xf numFmtId="1" fontId="21" fillId="0" borderId="54" xfId="6" applyNumberFormat="1" applyFont="1" applyBorder="1"/>
    <xf numFmtId="4" fontId="21" fillId="0" borderId="56" xfId="6" applyNumberFormat="1" applyFont="1" applyBorder="1"/>
    <xf numFmtId="0" fontId="21" fillId="0" borderId="0" xfId="5" applyFont="1" applyAlignment="1">
      <alignment horizontal="center"/>
    </xf>
    <xf numFmtId="1" fontId="21" fillId="0" borderId="0" xfId="5" applyNumberFormat="1" applyFont="1"/>
    <xf numFmtId="4" fontId="21" fillId="0" borderId="0" xfId="5" applyNumberFormat="1" applyFont="1"/>
    <xf numFmtId="168" fontId="20" fillId="10" borderId="22" xfId="6" applyNumberFormat="1" applyFont="1" applyFill="1" applyBorder="1" applyAlignment="1">
      <alignment vertical="center" wrapText="1"/>
    </xf>
    <xf numFmtId="168" fontId="21" fillId="0" borderId="0" xfId="5" applyNumberFormat="1" applyFont="1"/>
    <xf numFmtId="0" fontId="21" fillId="0" borderId="22" xfId="5" applyFont="1" applyBorder="1" applyAlignment="1">
      <alignment horizontal="center"/>
    </xf>
    <xf numFmtId="0" fontId="21" fillId="0" borderId="22" xfId="5" applyFont="1" applyBorder="1"/>
    <xf numFmtId="169" fontId="21" fillId="14" borderId="22" xfId="6" quotePrefix="1" applyNumberFormat="1" applyFont="1" applyFill="1" applyBorder="1"/>
    <xf numFmtId="168" fontId="21" fillId="14" borderId="22" xfId="6" quotePrefix="1" applyNumberFormat="1" applyFont="1" applyFill="1" applyBorder="1"/>
    <xf numFmtId="4" fontId="24" fillId="0" borderId="0" xfId="5" applyNumberFormat="1" applyFont="1"/>
    <xf numFmtId="4" fontId="25" fillId="0" borderId="37" xfId="5" applyNumberFormat="1" applyFont="1" applyBorder="1"/>
    <xf numFmtId="0" fontId="5" fillId="15" borderId="17" xfId="0" applyFont="1" applyFill="1" applyBorder="1" applyAlignment="1">
      <alignment horizontal="center" vertical="center" wrapText="1"/>
    </xf>
    <xf numFmtId="0" fontId="7" fillId="16" borderId="22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28" fillId="0" borderId="0" xfId="0" applyFont="1"/>
    <xf numFmtId="0" fontId="28" fillId="0" borderId="59" xfId="0" applyFont="1" applyBorder="1"/>
    <xf numFmtId="0" fontId="28" fillId="0" borderId="19" xfId="0" applyFont="1" applyBorder="1"/>
    <xf numFmtId="0" fontId="28" fillId="0" borderId="20" xfId="0" applyFont="1" applyBorder="1"/>
    <xf numFmtId="0" fontId="28" fillId="0" borderId="32" xfId="0" applyFont="1" applyBorder="1"/>
    <xf numFmtId="0" fontId="28" fillId="0" borderId="33" xfId="0" applyFont="1" applyBorder="1"/>
    <xf numFmtId="164" fontId="28" fillId="0" borderId="34" xfId="1" applyFont="1" applyBorder="1"/>
    <xf numFmtId="0" fontId="28" fillId="0" borderId="26" xfId="0" applyFont="1" applyBorder="1"/>
    <xf numFmtId="0" fontId="28" fillId="0" borderId="22" xfId="0" applyFont="1" applyBorder="1"/>
    <xf numFmtId="164" fontId="28" fillId="0" borderId="27" xfId="1" applyFont="1" applyBorder="1"/>
    <xf numFmtId="0" fontId="28" fillId="0" borderId="27" xfId="0" applyFont="1" applyBorder="1"/>
    <xf numFmtId="0" fontId="28" fillId="0" borderId="42" xfId="0" applyFont="1" applyBorder="1"/>
    <xf numFmtId="164" fontId="28" fillId="0" borderId="60" xfId="1" applyFont="1" applyBorder="1"/>
    <xf numFmtId="0" fontId="28" fillId="0" borderId="28" xfId="0" applyFont="1" applyBorder="1"/>
    <xf numFmtId="0" fontId="28" fillId="0" borderId="29" xfId="0" applyFont="1" applyBorder="1"/>
    <xf numFmtId="0" fontId="28" fillId="0" borderId="9" xfId="0" applyFont="1" applyBorder="1"/>
    <xf numFmtId="0" fontId="28" fillId="17" borderId="31" xfId="0" applyFont="1" applyFill="1" applyBorder="1"/>
    <xf numFmtId="164" fontId="28" fillId="17" borderId="20" xfId="1" applyFont="1" applyFill="1" applyBorder="1"/>
    <xf numFmtId="0" fontId="28" fillId="0" borderId="30" xfId="0" applyFont="1" applyBorder="1"/>
    <xf numFmtId="0" fontId="28" fillId="0" borderId="61" xfId="0" applyFont="1" applyBorder="1"/>
    <xf numFmtId="0" fontId="28" fillId="0" borderId="62" xfId="0" applyFont="1" applyBorder="1"/>
    <xf numFmtId="49" fontId="29" fillId="2" borderId="0" xfId="0" applyNumberFormat="1" applyFont="1" applyFill="1"/>
    <xf numFmtId="0" fontId="7" fillId="5" borderId="64" xfId="0" applyFont="1" applyFill="1" applyBorder="1" applyAlignment="1">
      <alignment vertical="center" wrapText="1"/>
    </xf>
    <xf numFmtId="0" fontId="7" fillId="5" borderId="65" xfId="0" applyFont="1" applyFill="1" applyBorder="1" applyAlignment="1">
      <alignment vertical="center" wrapText="1"/>
    </xf>
    <xf numFmtId="0" fontId="7" fillId="5" borderId="16" xfId="0" applyFont="1" applyFill="1" applyBorder="1" applyAlignment="1">
      <alignment vertical="center" wrapText="1"/>
    </xf>
    <xf numFmtId="0" fontId="7" fillId="0" borderId="64" xfId="0" applyFont="1" applyBorder="1" applyAlignment="1">
      <alignment vertical="center" wrapText="1"/>
    </xf>
    <xf numFmtId="0" fontId="7" fillId="0" borderId="65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6" fillId="16" borderId="65" xfId="0" applyFont="1" applyFill="1" applyBorder="1" applyAlignment="1">
      <alignment vertical="center" wrapText="1"/>
    </xf>
    <xf numFmtId="0" fontId="21" fillId="0" borderId="67" xfId="5" applyFont="1" applyBorder="1" applyAlignment="1">
      <alignment horizontal="center"/>
    </xf>
    <xf numFmtId="4" fontId="21" fillId="0" borderId="68" xfId="6" applyNumberFormat="1" applyFont="1" applyBorder="1"/>
    <xf numFmtId="0" fontId="30" fillId="0" borderId="0" xfId="0" applyFont="1"/>
    <xf numFmtId="0" fontId="7" fillId="5" borderId="22" xfId="0" applyFont="1" applyFill="1" applyBorder="1" applyAlignment="1">
      <alignment vertical="center" wrapText="1"/>
    </xf>
    <xf numFmtId="0" fontId="7" fillId="16" borderId="42" xfId="0" applyFont="1" applyFill="1" applyBorder="1" applyAlignment="1">
      <alignment horizontal="center" vertical="center" wrapText="1"/>
    </xf>
    <xf numFmtId="0" fontId="21" fillId="0" borderId="48" xfId="5" applyFont="1" applyBorder="1" applyAlignment="1">
      <alignment horizontal="left" vertical="top"/>
    </xf>
    <xf numFmtId="0" fontId="21" fillId="0" borderId="49" xfId="5" applyFont="1" applyBorder="1" applyAlignment="1">
      <alignment horizontal="center" vertical="top"/>
    </xf>
    <xf numFmtId="0" fontId="21" fillId="0" borderId="49" xfId="5" applyFont="1" applyBorder="1" applyAlignment="1">
      <alignment horizontal="center" vertical="top" wrapText="1"/>
    </xf>
    <xf numFmtId="4" fontId="21" fillId="0" borderId="51" xfId="6" applyNumberFormat="1" applyFont="1" applyBorder="1" applyAlignment="1">
      <alignment vertical="top"/>
    </xf>
    <xf numFmtId="4" fontId="21" fillId="11" borderId="0" xfId="6" applyNumberFormat="1" applyFont="1" applyFill="1" applyBorder="1" applyAlignment="1">
      <alignment vertical="top"/>
    </xf>
    <xf numFmtId="0" fontId="22" fillId="0" borderId="0" xfId="5" applyFont="1" applyAlignment="1">
      <alignment vertical="top"/>
    </xf>
    <xf numFmtId="0" fontId="21" fillId="0" borderId="0" xfId="5" applyFont="1" applyAlignment="1">
      <alignment vertical="top"/>
    </xf>
    <xf numFmtId="0" fontId="7" fillId="5" borderId="2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0" fillId="0" borderId="10" xfId="0" applyBorder="1"/>
    <xf numFmtId="0" fontId="7" fillId="5" borderId="72" xfId="0" applyFont="1" applyFill="1" applyBorder="1" applyAlignment="1">
      <alignment horizontal="center" vertical="center" wrapText="1"/>
    </xf>
    <xf numFmtId="0" fontId="7" fillId="16" borderId="8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vertical="center" wrapText="1"/>
    </xf>
    <xf numFmtId="0" fontId="5" fillId="8" borderId="40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8" borderId="21" xfId="0" applyFont="1" applyFill="1" applyBorder="1" applyAlignment="1">
      <alignment horizontal="center" vertical="center" wrapText="1"/>
    </xf>
    <xf numFmtId="0" fontId="5" fillId="8" borderId="73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0" fillId="0" borderId="11" xfId="0" applyBorder="1"/>
    <xf numFmtId="0" fontId="10" fillId="0" borderId="71" xfId="0" applyFont="1" applyBorder="1"/>
    <xf numFmtId="9" fontId="10" fillId="0" borderId="63" xfId="4" applyFont="1" applyBorder="1"/>
    <xf numFmtId="0" fontId="6" fillId="5" borderId="14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7" fillId="5" borderId="41" xfId="0" applyFont="1" applyFill="1" applyBorder="1" applyAlignment="1">
      <alignment vertical="center" wrapText="1"/>
    </xf>
    <xf numFmtId="0" fontId="7" fillId="5" borderId="71" xfId="0" applyFont="1" applyFill="1" applyBorder="1" applyAlignment="1">
      <alignment vertical="center" wrapText="1"/>
    </xf>
    <xf numFmtId="166" fontId="34" fillId="9" borderId="22" xfId="0" applyNumberFormat="1" applyFont="1" applyFill="1" applyBorder="1" applyAlignment="1">
      <alignment horizontal="right" vertical="center"/>
    </xf>
    <xf numFmtId="166" fontId="34" fillId="9" borderId="29" xfId="0" applyNumberFormat="1" applyFont="1" applyFill="1" applyBorder="1" applyAlignment="1">
      <alignment horizontal="right" vertical="center"/>
    </xf>
    <xf numFmtId="0" fontId="6" fillId="5" borderId="11" xfId="0" applyFont="1" applyFill="1" applyBorder="1" applyAlignment="1">
      <alignment vertical="center" wrapText="1"/>
    </xf>
    <xf numFmtId="0" fontId="7" fillId="5" borderId="12" xfId="0" applyFont="1" applyFill="1" applyBorder="1" applyAlignment="1">
      <alignment vertical="center" wrapText="1"/>
    </xf>
    <xf numFmtId="0" fontId="7" fillId="5" borderId="74" xfId="0" applyFont="1" applyFill="1" applyBorder="1" applyAlignment="1">
      <alignment vertical="center" wrapText="1"/>
    </xf>
    <xf numFmtId="0" fontId="21" fillId="0" borderId="43" xfId="5" applyFont="1" applyBorder="1" applyAlignment="1">
      <alignment horizontal="center" vertical="top"/>
    </xf>
    <xf numFmtId="0" fontId="21" fillId="0" borderId="44" xfId="5" applyFont="1" applyBorder="1" applyAlignment="1">
      <alignment horizontal="left" vertical="top"/>
    </xf>
    <xf numFmtId="0" fontId="21" fillId="0" borderId="45" xfId="5" applyFont="1" applyBorder="1" applyAlignment="1">
      <alignment horizontal="center" vertical="top"/>
    </xf>
    <xf numFmtId="0" fontId="21" fillId="0" borderId="66" xfId="5" applyFont="1" applyBorder="1" applyAlignment="1">
      <alignment horizontal="left" vertical="top"/>
    </xf>
    <xf numFmtId="0" fontId="21" fillId="0" borderId="67" xfId="5" applyFont="1" applyBorder="1" applyAlignment="1">
      <alignment horizontal="center" vertical="top"/>
    </xf>
    <xf numFmtId="0" fontId="7" fillId="0" borderId="22" xfId="0" applyFont="1" applyBorder="1" applyAlignment="1">
      <alignment horizontal="center" vertical="center" wrapText="1"/>
    </xf>
    <xf numFmtId="4" fontId="0" fillId="0" borderId="0" xfId="0" applyNumberFormat="1"/>
    <xf numFmtId="0" fontId="7" fillId="0" borderId="22" xfId="0" applyFont="1" applyBorder="1" applyAlignment="1">
      <alignment vertical="center" wrapText="1"/>
    </xf>
    <xf numFmtId="0" fontId="0" fillId="20" borderId="42" xfId="0" applyFill="1" applyBorder="1"/>
    <xf numFmtId="0" fontId="0" fillId="20" borderId="63" xfId="0" applyFill="1" applyBorder="1"/>
    <xf numFmtId="0" fontId="0" fillId="20" borderId="33" xfId="0" applyFill="1" applyBorder="1"/>
    <xf numFmtId="0" fontId="0" fillId="19" borderId="75" xfId="0" applyFill="1" applyBorder="1"/>
    <xf numFmtId="0" fontId="0" fillId="19" borderId="76" xfId="0" applyFill="1" applyBorder="1"/>
    <xf numFmtId="0" fontId="0" fillId="2" borderId="42" xfId="0" applyFill="1" applyBorder="1"/>
    <xf numFmtId="0" fontId="0" fillId="0" borderId="69" xfId="0" applyBorder="1"/>
    <xf numFmtId="0" fontId="0" fillId="0" borderId="78" xfId="0" applyBorder="1"/>
    <xf numFmtId="0" fontId="0" fillId="2" borderId="33" xfId="0" applyFill="1" applyBorder="1"/>
    <xf numFmtId="0" fontId="0" fillId="0" borderId="5" xfId="0" applyBorder="1"/>
    <xf numFmtId="0" fontId="0" fillId="0" borderId="77" xfId="0" applyBorder="1"/>
    <xf numFmtId="0" fontId="0" fillId="2" borderId="63" xfId="0" applyFill="1" applyBorder="1"/>
    <xf numFmtId="0" fontId="0" fillId="2" borderId="78" xfId="0" applyFill="1" applyBorder="1"/>
    <xf numFmtId="0" fontId="0" fillId="18" borderId="77" xfId="0" applyFill="1" applyBorder="1"/>
    <xf numFmtId="0" fontId="0" fillId="18" borderId="78" xfId="0" applyFill="1" applyBorder="1"/>
    <xf numFmtId="0" fontId="21" fillId="0" borderId="43" xfId="5" applyFont="1" applyBorder="1" applyAlignment="1">
      <alignment horizontal="center" vertical="top" wrapText="1"/>
    </xf>
    <xf numFmtId="0" fontId="21" fillId="0" borderId="79" xfId="5" applyFont="1" applyBorder="1" applyAlignment="1">
      <alignment horizontal="center" vertical="top"/>
    </xf>
    <xf numFmtId="0" fontId="21" fillId="0" borderId="80" xfId="5" applyFont="1" applyBorder="1" applyAlignment="1">
      <alignment horizontal="center"/>
    </xf>
    <xf numFmtId="0" fontId="21" fillId="0" borderId="63" xfId="5" applyFont="1" applyBorder="1" applyAlignment="1">
      <alignment horizontal="center" vertical="top"/>
    </xf>
    <xf numFmtId="0" fontId="21" fillId="0" borderId="63" xfId="5" applyFont="1" applyBorder="1" applyAlignment="1">
      <alignment horizontal="center"/>
    </xf>
    <xf numFmtId="0" fontId="20" fillId="13" borderId="0" xfId="5" applyFont="1" applyFill="1" applyAlignment="1">
      <alignment horizontal="center" vertical="center"/>
    </xf>
    <xf numFmtId="168" fontId="20" fillId="10" borderId="21" xfId="6" applyNumberFormat="1" applyFont="1" applyFill="1" applyBorder="1" applyAlignment="1">
      <alignment horizontal="center" vertical="center" wrapText="1"/>
    </xf>
    <xf numFmtId="168" fontId="20" fillId="10" borderId="40" xfId="6" applyNumberFormat="1" applyFont="1" applyFill="1" applyBorder="1" applyAlignment="1">
      <alignment horizontal="center" vertical="center"/>
    </xf>
    <xf numFmtId="168" fontId="20" fillId="10" borderId="11" xfId="6" applyNumberFormat="1" applyFont="1" applyFill="1" applyBorder="1" applyAlignment="1">
      <alignment horizontal="center" vertical="center"/>
    </xf>
    <xf numFmtId="168" fontId="20" fillId="10" borderId="0" xfId="6" applyNumberFormat="1" applyFont="1" applyFill="1" applyBorder="1" applyAlignment="1">
      <alignment horizontal="center" vertical="center"/>
    </xf>
    <xf numFmtId="0" fontId="20" fillId="13" borderId="8" xfId="5" applyFont="1" applyFill="1" applyBorder="1" applyAlignment="1">
      <alignment horizontal="center" vertical="center"/>
    </xf>
    <xf numFmtId="0" fontId="20" fillId="13" borderId="5" xfId="5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vertical="center" wrapText="1"/>
    </xf>
    <xf numFmtId="0" fontId="6" fillId="5" borderId="16" xfId="0" applyFont="1" applyFill="1" applyBorder="1" applyAlignment="1">
      <alignment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70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5" fillId="8" borderId="14" xfId="0" applyFont="1" applyFill="1" applyBorder="1" applyAlignment="1">
      <alignment vertical="center" wrapText="1"/>
    </xf>
    <xf numFmtId="0" fontId="5" fillId="8" borderId="16" xfId="0" applyFont="1" applyFill="1" applyBorder="1" applyAlignment="1">
      <alignment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7" fillId="5" borderId="42" xfId="0" applyFont="1" applyFill="1" applyBorder="1" applyAlignment="1">
      <alignment horizontal="center" vertical="center" wrapText="1"/>
    </xf>
    <xf numFmtId="0" fontId="7" fillId="5" borderId="63" xfId="0" applyFont="1" applyFill="1" applyBorder="1" applyAlignment="1">
      <alignment horizontal="center" vertical="center" wrapText="1"/>
    </xf>
    <xf numFmtId="0" fontId="7" fillId="5" borderId="72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28" fillId="0" borderId="58" xfId="0" applyFont="1" applyBorder="1" applyAlignment="1">
      <alignment horizontal="center"/>
    </xf>
    <xf numFmtId="0" fontId="28" fillId="0" borderId="57" xfId="0" applyFont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16" borderId="5" xfId="0" applyFill="1" applyBorder="1" applyAlignment="1">
      <alignment horizontal="center"/>
    </xf>
  </cellXfs>
  <cellStyles count="8">
    <cellStyle name="Comma 2" xfId="1" xr:uid="{00000000-0005-0000-0000-000000000000}"/>
    <cellStyle name="Comma 3" xfId="6" xr:uid="{93584D8C-796C-40D5-A63E-BA96E89357E3}"/>
    <cellStyle name="Currency 2" xfId="2" xr:uid="{00000000-0005-0000-0000-000001000000}"/>
    <cellStyle name="Normal" xfId="0" builtinId="0"/>
    <cellStyle name="Normal 2" xfId="3" xr:uid="{00000000-0005-0000-0000-000003000000}"/>
    <cellStyle name="Normal 2 2" xfId="7" xr:uid="{5861D115-E5E6-42F6-976C-EC050404E9B3}"/>
    <cellStyle name="Normal 3" xfId="5" xr:uid="{C23F1591-A991-49A3-AB46-018112AC1CA7}"/>
    <cellStyle name="Percent" xfId="4" builtinId="5"/>
  </cellStyles>
  <dxfs count="0"/>
  <tableStyles count="0" defaultTableStyle="TableStyleMedium2" defaultPivotStyle="PivotStyleLight16"/>
  <colors>
    <mruColors>
      <color rgb="FFFFA3FF"/>
      <color rgb="FF99FF99"/>
      <color rgb="FFFEF3CC"/>
      <color rgb="FFDDECF8"/>
      <color rgb="FFAFEAFF"/>
      <color rgb="FFFF8FC7"/>
      <color rgb="FFFF3399"/>
      <color rgb="FFCC00FF"/>
      <color rgb="FFDEBD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600" baseline="0"/>
              <a:t>โครงการ </a:t>
            </a:r>
            <a:r>
              <a:rPr lang="en-US" sz="1600" baseline="0"/>
              <a:t>PJR-PTT-GSP (Khanom) Procurement Dashboard</a:t>
            </a:r>
          </a:p>
        </c:rich>
      </c:tx>
      <c:layout>
        <c:manualLayout>
          <c:xMode val="edge"/>
          <c:yMode val="edge"/>
          <c:x val="0.20503563611610728"/>
          <c:y val="3.25888030449431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C7-4406-9F6D-DD4368DF9F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C7-4406-9F6D-DD4368DF9F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C7-4406-9F6D-DD4368DF9F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4C7-4406-9F6D-DD4368DF9FA7}"/>
              </c:ext>
            </c:extLst>
          </c:dPt>
          <c:dLbls>
            <c:dLbl>
              <c:idx val="2"/>
              <c:layout>
                <c:manualLayout>
                  <c:x val="9.4576056528707542E-2"/>
                  <c:y val="-0.1148510591887040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C7-4406-9F6D-DD4368DF9FA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Total!$B$3:$B$5</c:f>
              <c:strCache>
                <c:ptCount val="3"/>
                <c:pt idx="0">
                  <c:v>Digital Rev (BD Phase)</c:v>
                </c:pt>
                <c:pt idx="1">
                  <c:v>Digital Rev (Development Phase)</c:v>
                </c:pt>
                <c:pt idx="2">
                  <c:v>ค่าเบี้ยเลี้ยง/ค่าเดินทาง</c:v>
                </c:pt>
              </c:strCache>
            </c:strRef>
          </c:cat>
          <c:val>
            <c:numRef>
              <c:f>Total!$C$3:$C$5</c:f>
              <c:numCache>
                <c:formatCode>_-[$฿-41E]* #,##0.00_-;\-[$฿-41E]* #,##0.00_-;_-[$฿-41E]* "-"??_-;_-@_-</c:formatCode>
                <c:ptCount val="3"/>
                <c:pt idx="0">
                  <c:v>28000</c:v>
                </c:pt>
                <c:pt idx="1">
                  <c:v>1470250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C7-4406-9F6D-DD4368DF9FA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228599</xdr:colOff>
      <xdr:row>0</xdr:row>
      <xdr:rowOff>125865</xdr:rowOff>
    </xdr:from>
    <xdr:to>
      <xdr:col>10</xdr:col>
      <xdr:colOff>257175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C77C7-8F5E-42F9-9EA6-17B112362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177800</xdr:colOff>
      <xdr:row>4</xdr:row>
      <xdr:rowOff>76200</xdr:rowOff>
    </xdr:from>
    <xdr:to>
      <xdr:col>10</xdr:col>
      <xdr:colOff>165100</xdr:colOff>
      <xdr:row>6</xdr:row>
      <xdr:rowOff>12700</xdr:rowOff>
    </xdr:to>
    <xdr:sp macro="" textlink="">
      <xdr:nvSpPr>
        <xdr:cNvPr id="2" name="Star: 5 Points 1">
          <a:extLst>
            <a:ext uri="{FF2B5EF4-FFF2-40B4-BE49-F238E27FC236}">
              <a16:creationId xmlns:a16="http://schemas.microsoft.com/office/drawing/2014/main" id="{B1B79CBF-BFB5-4F64-AA70-00C9A7C3FBB0}"/>
            </a:ext>
          </a:extLst>
        </xdr:cNvPr>
        <xdr:cNvSpPr/>
      </xdr:nvSpPr>
      <xdr:spPr>
        <a:xfrm>
          <a:off x="5099050" y="812800"/>
          <a:ext cx="298450" cy="304800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190500</xdr:colOff>
      <xdr:row>10</xdr:row>
      <xdr:rowOff>50800</xdr:rowOff>
    </xdr:from>
    <xdr:to>
      <xdr:col>26</xdr:col>
      <xdr:colOff>177800</xdr:colOff>
      <xdr:row>11</xdr:row>
      <xdr:rowOff>171450</xdr:rowOff>
    </xdr:to>
    <xdr:sp macro="" textlink="">
      <xdr:nvSpPr>
        <xdr:cNvPr id="3" name="Star: 5 Points 2">
          <a:extLst>
            <a:ext uri="{FF2B5EF4-FFF2-40B4-BE49-F238E27FC236}">
              <a16:creationId xmlns:a16="http://schemas.microsoft.com/office/drawing/2014/main" id="{C34777EA-544E-4043-852C-823B3E49033F}"/>
            </a:ext>
          </a:extLst>
        </xdr:cNvPr>
        <xdr:cNvSpPr/>
      </xdr:nvSpPr>
      <xdr:spPr>
        <a:xfrm>
          <a:off x="10090150" y="1892300"/>
          <a:ext cx="298450" cy="304800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57725</xdr:colOff>
      <xdr:row>13</xdr:row>
      <xdr:rowOff>161637</xdr:rowOff>
    </xdr:from>
    <xdr:to>
      <xdr:col>1</xdr:col>
      <xdr:colOff>274548</xdr:colOff>
      <xdr:row>14</xdr:row>
      <xdr:rowOff>163542</xdr:rowOff>
    </xdr:to>
    <xdr:sp macro="" textlink="">
      <xdr:nvSpPr>
        <xdr:cNvPr id="4" name="5-Point Star 4">
          <a:extLst>
            <a:ext uri="{FF2B5EF4-FFF2-40B4-BE49-F238E27FC236}">
              <a16:creationId xmlns:a16="http://schemas.microsoft.com/office/drawing/2014/main" id="{563D28CF-E702-4113-9629-55EF95449DF4}"/>
            </a:ext>
          </a:extLst>
        </xdr:cNvPr>
        <xdr:cNvSpPr/>
      </xdr:nvSpPr>
      <xdr:spPr>
        <a:xfrm>
          <a:off x="673675" y="2803237"/>
          <a:ext cx="216823" cy="167005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BA2E-70DB-43BE-A081-EC75971A386F}">
  <sheetPr>
    <tabColor rgb="FFFF0000"/>
  </sheetPr>
  <dimension ref="A1:J27"/>
  <sheetViews>
    <sheetView tabSelected="1" zoomScale="120" zoomScaleNormal="120" workbookViewId="0">
      <selection activeCell="F8" sqref="F8"/>
    </sheetView>
  </sheetViews>
  <sheetFormatPr defaultColWidth="9.1796875" defaultRowHeight="12.5" outlineLevelCol="1"/>
  <cols>
    <col min="1" max="1" width="9.1796875" style="72"/>
    <col min="2" max="2" width="44.36328125" style="49" customWidth="1"/>
    <col min="3" max="3" width="18.6328125" style="49" bestFit="1" customWidth="1"/>
    <col min="4" max="4" width="18.81640625" style="49" bestFit="1" customWidth="1"/>
    <col min="5" max="5" width="13.81640625" style="49" bestFit="1" customWidth="1"/>
    <col min="6" max="6" width="9.6328125" style="73" customWidth="1" outlineLevel="1"/>
    <col min="7" max="7" width="14" style="74" customWidth="1" outlineLevel="1"/>
    <col min="8" max="8" width="18.36328125" style="74" hidden="1" customWidth="1" outlineLevel="1"/>
    <col min="9" max="9" width="15.36328125" style="74" hidden="1" customWidth="1" outlineLevel="1"/>
    <col min="10" max="10" width="41.36328125" style="49" customWidth="1"/>
    <col min="11" max="16384" width="9.1796875" style="49"/>
  </cols>
  <sheetData>
    <row r="1" spans="1:10" ht="15.75" customHeight="1">
      <c r="A1" s="180" t="s">
        <v>66</v>
      </c>
      <c r="B1" s="180"/>
      <c r="C1" s="180"/>
      <c r="D1" s="180"/>
      <c r="E1" s="180"/>
      <c r="F1" s="181" t="s">
        <v>67</v>
      </c>
      <c r="G1" s="182"/>
      <c r="H1" s="48"/>
      <c r="I1" s="48"/>
    </row>
    <row r="2" spans="1:10" ht="24" customHeight="1">
      <c r="A2" s="180"/>
      <c r="B2" s="180"/>
      <c r="C2" s="180"/>
      <c r="D2" s="180"/>
      <c r="E2" s="180"/>
      <c r="F2" s="183"/>
      <c r="G2" s="184"/>
      <c r="H2" s="48"/>
      <c r="I2" s="48"/>
    </row>
    <row r="3" spans="1:10" ht="25.5" thickBot="1">
      <c r="A3" s="50" t="s">
        <v>68</v>
      </c>
      <c r="B3" s="51" t="s">
        <v>65</v>
      </c>
      <c r="C3" s="52" t="s">
        <v>69</v>
      </c>
      <c r="D3" s="53" t="s">
        <v>41</v>
      </c>
      <c r="E3" s="53" t="s">
        <v>70</v>
      </c>
      <c r="F3" s="54" t="s">
        <v>71</v>
      </c>
      <c r="G3" s="55" t="s">
        <v>72</v>
      </c>
      <c r="H3" s="56"/>
      <c r="I3" s="56"/>
    </row>
    <row r="4" spans="1:10" ht="12.75" customHeight="1">
      <c r="A4" s="152">
        <v>1</v>
      </c>
      <c r="B4" s="153" t="s">
        <v>143</v>
      </c>
      <c r="C4" s="121" t="s">
        <v>119</v>
      </c>
      <c r="D4" s="154" t="s">
        <v>110</v>
      </c>
      <c r="E4" s="58" t="s">
        <v>118</v>
      </c>
      <c r="F4" s="57">
        <v>16</v>
      </c>
      <c r="G4" s="59"/>
      <c r="H4" s="60">
        <v>14000</v>
      </c>
      <c r="I4" s="60">
        <f>F4*H4</f>
        <v>224000</v>
      </c>
      <c r="J4" s="61"/>
    </row>
    <row r="5" spans="1:10" ht="12.75" customHeight="1">
      <c r="A5" s="152">
        <v>2</v>
      </c>
      <c r="B5" s="120" t="s">
        <v>144</v>
      </c>
      <c r="C5" s="121" t="s">
        <v>74</v>
      </c>
      <c r="D5" s="121" t="s">
        <v>151</v>
      </c>
      <c r="E5" s="176" t="s">
        <v>73</v>
      </c>
      <c r="F5" s="62">
        <v>25</v>
      </c>
      <c r="G5" s="64"/>
      <c r="H5" s="60">
        <v>8500</v>
      </c>
      <c r="I5" s="60">
        <f t="shared" ref="I5" si="0">F5*H5</f>
        <v>212500</v>
      </c>
      <c r="J5" s="61"/>
    </row>
    <row r="6" spans="1:10" ht="12.75" customHeight="1">
      <c r="A6" s="152">
        <v>3</v>
      </c>
      <c r="B6" s="120" t="s">
        <v>145</v>
      </c>
      <c r="C6" s="121" t="s">
        <v>119</v>
      </c>
      <c r="D6" s="152" t="s">
        <v>152</v>
      </c>
      <c r="E6" s="179" t="s">
        <v>118</v>
      </c>
      <c r="F6" s="62">
        <v>21</v>
      </c>
      <c r="G6" s="64"/>
      <c r="H6" s="60">
        <v>14000</v>
      </c>
      <c r="I6" s="60">
        <f>F6*H6</f>
        <v>294000</v>
      </c>
      <c r="J6" s="61"/>
    </row>
    <row r="7" spans="1:10" s="126" customFormat="1">
      <c r="A7" s="152">
        <v>4</v>
      </c>
      <c r="B7" s="120" t="s">
        <v>146</v>
      </c>
      <c r="C7" s="121" t="s">
        <v>119</v>
      </c>
      <c r="D7" s="121" t="s">
        <v>152</v>
      </c>
      <c r="E7" s="178" t="s">
        <v>73</v>
      </c>
      <c r="F7" s="121">
        <v>83</v>
      </c>
      <c r="G7" s="123"/>
      <c r="H7" s="124"/>
      <c r="I7" s="124"/>
      <c r="J7" s="125"/>
    </row>
    <row r="8" spans="1:10" s="126" customFormat="1">
      <c r="A8" s="152">
        <v>5</v>
      </c>
      <c r="B8" s="120" t="s">
        <v>147</v>
      </c>
      <c r="C8" s="121" t="s">
        <v>119</v>
      </c>
      <c r="D8" s="175" t="s">
        <v>153</v>
      </c>
      <c r="E8" s="176" t="s">
        <v>73</v>
      </c>
      <c r="F8" s="121">
        <v>2.5</v>
      </c>
      <c r="G8" s="123"/>
      <c r="H8" s="124"/>
      <c r="I8" s="124"/>
      <c r="J8" s="125"/>
    </row>
    <row r="9" spans="1:10" s="126" customFormat="1">
      <c r="A9" s="152">
        <v>6</v>
      </c>
      <c r="B9" s="120" t="s">
        <v>148</v>
      </c>
      <c r="C9" s="121" t="s">
        <v>119</v>
      </c>
      <c r="D9" s="122" t="s">
        <v>154</v>
      </c>
      <c r="E9" s="177" t="s">
        <v>118</v>
      </c>
      <c r="F9" s="121">
        <v>0.5</v>
      </c>
      <c r="G9" s="123"/>
      <c r="H9" s="124"/>
      <c r="I9" s="124"/>
      <c r="J9" s="125"/>
    </row>
    <row r="10" spans="1:10" ht="12.75" customHeight="1">
      <c r="A10" s="152">
        <v>7</v>
      </c>
      <c r="B10" s="120" t="s">
        <v>149</v>
      </c>
      <c r="C10" s="121" t="s">
        <v>119</v>
      </c>
      <c r="D10" s="121" t="s">
        <v>154</v>
      </c>
      <c r="E10" s="63" t="s">
        <v>73</v>
      </c>
      <c r="F10" s="62">
        <v>1</v>
      </c>
      <c r="G10" s="64"/>
      <c r="H10" s="60"/>
      <c r="I10" s="60"/>
      <c r="J10" s="61"/>
    </row>
    <row r="11" spans="1:10" ht="12.75" customHeight="1">
      <c r="A11" s="152">
        <v>8</v>
      </c>
      <c r="B11" s="120" t="s">
        <v>150</v>
      </c>
      <c r="C11" s="121" t="s">
        <v>119</v>
      </c>
      <c r="D11" s="156" t="s">
        <v>155</v>
      </c>
      <c r="E11" s="63" t="s">
        <v>73</v>
      </c>
      <c r="F11" s="62">
        <v>3</v>
      </c>
      <c r="G11" s="64"/>
      <c r="H11" s="65"/>
      <c r="I11" s="65">
        <f>SUM(I4:I6)</f>
        <v>730500</v>
      </c>
      <c r="J11" s="61"/>
    </row>
    <row r="12" spans="1:10" ht="12.75" customHeight="1">
      <c r="A12" s="152">
        <v>9</v>
      </c>
      <c r="B12" s="155"/>
      <c r="C12" s="121"/>
      <c r="D12" s="156"/>
      <c r="E12" s="63"/>
      <c r="F12" s="115"/>
      <c r="G12" s="116"/>
      <c r="H12" s="65"/>
      <c r="I12" s="65"/>
      <c r="J12" s="61"/>
    </row>
    <row r="13" spans="1:10" ht="12.75" customHeight="1" thickBot="1">
      <c r="A13" s="66"/>
      <c r="B13" s="67"/>
      <c r="C13" s="68"/>
      <c r="D13" s="69"/>
      <c r="E13" s="69"/>
      <c r="F13" s="70"/>
      <c r="G13" s="71"/>
      <c r="H13" s="65"/>
      <c r="I13" s="65"/>
    </row>
    <row r="14" spans="1:10" ht="12.75" customHeight="1"/>
    <row r="15" spans="1:10" ht="26" customHeight="1">
      <c r="A15" s="185" t="s">
        <v>75</v>
      </c>
      <c r="B15" s="186"/>
      <c r="C15" s="75" t="s">
        <v>76</v>
      </c>
      <c r="F15" s="49"/>
      <c r="G15" s="76"/>
      <c r="H15" s="49"/>
      <c r="I15" s="49"/>
    </row>
    <row r="16" spans="1:10" ht="12.75" customHeight="1">
      <c r="A16" s="77">
        <v>1</v>
      </c>
      <c r="B16" s="78" t="s">
        <v>77</v>
      </c>
      <c r="C16" s="79" t="s">
        <v>78</v>
      </c>
      <c r="F16" s="49"/>
      <c r="G16" s="76"/>
      <c r="H16" s="49"/>
      <c r="I16" s="49"/>
    </row>
    <row r="17" spans="1:9" ht="12.75" customHeight="1">
      <c r="A17" s="77">
        <v>2</v>
      </c>
      <c r="B17" s="78" t="s">
        <v>79</v>
      </c>
      <c r="C17" s="79" t="s">
        <v>78</v>
      </c>
      <c r="F17" s="49"/>
      <c r="G17" s="76"/>
      <c r="H17" s="49"/>
      <c r="I17" s="49"/>
    </row>
    <row r="18" spans="1:9" ht="12.75" customHeight="1">
      <c r="A18" s="77">
        <v>3</v>
      </c>
      <c r="B18" s="78" t="s">
        <v>80</v>
      </c>
      <c r="C18" s="79" t="s">
        <v>78</v>
      </c>
      <c r="F18" s="49"/>
      <c r="G18" s="76"/>
      <c r="H18" s="49"/>
      <c r="I18" s="49"/>
    </row>
    <row r="19" spans="1:9">
      <c r="A19" s="77">
        <v>4</v>
      </c>
      <c r="B19" s="78" t="s">
        <v>81</v>
      </c>
      <c r="C19" s="80" t="s">
        <v>78</v>
      </c>
      <c r="F19" s="49"/>
      <c r="G19" s="76"/>
      <c r="H19" s="49"/>
      <c r="I19" s="49"/>
    </row>
    <row r="20" spans="1:9">
      <c r="A20" s="77">
        <v>5</v>
      </c>
      <c r="B20" s="78" t="s">
        <v>82</v>
      </c>
      <c r="C20" s="80" t="s">
        <v>78</v>
      </c>
      <c r="F20" s="49"/>
      <c r="G20" s="76"/>
      <c r="H20" s="49"/>
      <c r="I20" s="49"/>
    </row>
    <row r="21" spans="1:9">
      <c r="A21" s="77">
        <v>6</v>
      </c>
      <c r="B21" s="78" t="s">
        <v>83</v>
      </c>
      <c r="C21" s="80"/>
      <c r="H21" s="49"/>
    </row>
    <row r="22" spans="1:9">
      <c r="H22" s="81"/>
      <c r="I22" s="82"/>
    </row>
    <row r="23" spans="1:9" ht="13">
      <c r="A23" s="6" t="s">
        <v>96</v>
      </c>
    </row>
    <row r="25" spans="1:9">
      <c r="I25" s="74">
        <v>1000000</v>
      </c>
    </row>
    <row r="26" spans="1:9">
      <c r="I26" s="74">
        <v>1190000</v>
      </c>
    </row>
    <row r="27" spans="1:9">
      <c r="H27" s="81" t="s">
        <v>3</v>
      </c>
      <c r="I27" s="82">
        <v>2190000</v>
      </c>
    </row>
  </sheetData>
  <mergeCells count="3">
    <mergeCell ref="A1:E2"/>
    <mergeCell ref="F1:G2"/>
    <mergeCell ref="A15:B15"/>
  </mergeCells>
  <dataValidations count="2">
    <dataValidation type="list" allowBlank="1" showInputMessage="1" sqref="A13:C13" xr:uid="{076A89D1-E150-4529-9F71-FBD163195B73}">
      <formula1>LstStaffs</formula1>
    </dataValidation>
    <dataValidation type="list" allowBlank="1" showInputMessage="1" sqref="D13:E13" xr:uid="{C77DF358-B413-4473-8C01-8669C6DD4E80}">
      <formula1>LstLevel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C664-6248-4C33-818B-92B2C602446F}">
  <sheetPr>
    <tabColor rgb="FFFF0000"/>
  </sheetPr>
  <dimension ref="B2:E25"/>
  <sheetViews>
    <sheetView zoomScaleNormal="100" workbookViewId="0">
      <selection activeCell="B27" sqref="B27:B29"/>
    </sheetView>
  </sheetViews>
  <sheetFormatPr defaultColWidth="8.81640625" defaultRowHeight="14.5"/>
  <cols>
    <col min="2" max="2" width="31" bestFit="1" customWidth="1"/>
    <col min="3" max="3" width="21.6328125" customWidth="1"/>
    <col min="4" max="4" width="17.6328125" customWidth="1"/>
    <col min="5" max="5" width="12.36328125" customWidth="1"/>
    <col min="7" max="7" width="31" bestFit="1" customWidth="1"/>
    <col min="8" max="8" width="20.1796875" customWidth="1"/>
  </cols>
  <sheetData>
    <row r="2" spans="2:5" ht="15" thickBot="1">
      <c r="B2" s="7"/>
      <c r="C2" s="7"/>
    </row>
    <row r="3" spans="2:5">
      <c r="B3" s="9" t="s">
        <v>55</v>
      </c>
      <c r="C3" s="41">
        <f>PTTDigital_Manday!N53</f>
        <v>28000</v>
      </c>
    </row>
    <row r="4" spans="2:5">
      <c r="B4" s="10" t="s">
        <v>56</v>
      </c>
      <c r="C4" s="42">
        <f>PTTDigital_Manday!N54</f>
        <v>1470250</v>
      </c>
    </row>
    <row r="5" spans="2:5">
      <c r="B5" s="10" t="s">
        <v>97</v>
      </c>
      <c r="C5" s="42">
        <f>E13+E19</f>
        <v>0</v>
      </c>
    </row>
    <row r="6" spans="2:5" ht="15" thickBot="1">
      <c r="B6" s="11" t="s">
        <v>3</v>
      </c>
      <c r="C6" s="43">
        <f>SUM(C3:C5)</f>
        <v>1498250</v>
      </c>
    </row>
    <row r="7" spans="2:5" ht="15" thickTop="1"/>
    <row r="8" spans="2:5" ht="15" thickBot="1"/>
    <row r="9" spans="2:5">
      <c r="B9" s="45" t="s">
        <v>58</v>
      </c>
      <c r="C9" s="45" t="s">
        <v>59</v>
      </c>
      <c r="D9" s="45" t="s">
        <v>60</v>
      </c>
      <c r="E9" s="45" t="s">
        <v>61</v>
      </c>
    </row>
    <row r="10" spans="2:5">
      <c r="B10" s="46" t="s">
        <v>78</v>
      </c>
      <c r="C10" s="46">
        <v>0</v>
      </c>
      <c r="D10" s="46">
        <v>2500</v>
      </c>
      <c r="E10" s="46">
        <f>C10*D10</f>
        <v>0</v>
      </c>
    </row>
    <row r="11" spans="2:5">
      <c r="B11" s="46"/>
      <c r="C11" s="46"/>
      <c r="D11" s="46"/>
      <c r="E11" s="46">
        <f t="shared" ref="E11:E12" si="0">C11*D11</f>
        <v>0</v>
      </c>
    </row>
    <row r="12" spans="2:5">
      <c r="B12" s="46"/>
      <c r="C12" s="46"/>
      <c r="D12" s="46"/>
      <c r="E12" s="46">
        <f t="shared" si="0"/>
        <v>0</v>
      </c>
    </row>
    <row r="13" spans="2:5" ht="15" thickBot="1">
      <c r="D13" t="s">
        <v>3</v>
      </c>
      <c r="E13" s="47">
        <f>SUM(E10:E12)</f>
        <v>0</v>
      </c>
    </row>
    <row r="14" spans="2:5" ht="22.5" thickTop="1" thickBot="1">
      <c r="B14" s="31"/>
    </row>
    <row r="15" spans="2:5">
      <c r="B15" s="45" t="s">
        <v>62</v>
      </c>
      <c r="C15" s="45" t="s">
        <v>59</v>
      </c>
      <c r="D15" s="45" t="s">
        <v>60</v>
      </c>
      <c r="E15" s="45" t="s">
        <v>63</v>
      </c>
    </row>
    <row r="16" spans="2:5">
      <c r="B16" s="46" t="s">
        <v>78</v>
      </c>
      <c r="C16" s="46">
        <v>0</v>
      </c>
      <c r="D16" s="46">
        <v>600</v>
      </c>
      <c r="E16" s="46">
        <f>C16*D16</f>
        <v>0</v>
      </c>
    </row>
    <row r="17" spans="2:5">
      <c r="B17" s="46" t="s">
        <v>78</v>
      </c>
      <c r="C17" s="46"/>
      <c r="D17" s="46">
        <v>600</v>
      </c>
      <c r="E17" s="46">
        <f t="shared" ref="E17:E18" si="1">C17*D17</f>
        <v>0</v>
      </c>
    </row>
    <row r="18" spans="2:5">
      <c r="B18" s="46" t="s">
        <v>78</v>
      </c>
      <c r="C18" s="46"/>
      <c r="D18" s="46">
        <v>600</v>
      </c>
      <c r="E18" s="46">
        <f t="shared" si="1"/>
        <v>0</v>
      </c>
    </row>
    <row r="19" spans="2:5" ht="15" thickBot="1">
      <c r="D19" t="s">
        <v>3</v>
      </c>
      <c r="E19" s="47">
        <f>SUM(E16:E18)</f>
        <v>0</v>
      </c>
    </row>
    <row r="20" spans="2:5" ht="15" thickTop="1"/>
    <row r="21" spans="2:5" ht="15" thickBot="1"/>
    <row r="22" spans="2:5" ht="15" thickBot="1">
      <c r="B22" s="37" t="s">
        <v>57</v>
      </c>
      <c r="C22" s="38" t="s">
        <v>48</v>
      </c>
      <c r="D22" s="39" t="s">
        <v>49</v>
      </c>
    </row>
    <row r="23" spans="2:5">
      <c r="B23" s="34" t="s">
        <v>112</v>
      </c>
      <c r="C23" s="35">
        <v>0.4</v>
      </c>
      <c r="D23" s="36">
        <f>C6*C23</f>
        <v>599300</v>
      </c>
    </row>
    <row r="24" spans="2:5">
      <c r="B24" s="140" t="s">
        <v>113</v>
      </c>
      <c r="C24" s="141">
        <v>0.6</v>
      </c>
      <c r="D24" s="36">
        <f>C6*C24</f>
        <v>898950</v>
      </c>
    </row>
    <row r="25" spans="2:5" ht="16" thickBot="1">
      <c r="B25" s="32"/>
      <c r="C25" s="33">
        <f>SUM(C23:C24)</f>
        <v>1</v>
      </c>
      <c r="D25" s="40">
        <f>SUM(D23:D24)</f>
        <v>1498250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BF09-C307-42A4-A306-019D86373CC0}">
  <sheetPr>
    <tabColor rgb="FFFF0000"/>
    <pageSetUpPr fitToPage="1"/>
  </sheetPr>
  <dimension ref="A1:S62"/>
  <sheetViews>
    <sheetView zoomScaleNormal="110" workbookViewId="0">
      <pane xSplit="3" ySplit="4" topLeftCell="J41" activePane="bottomRight" state="frozen"/>
      <selection pane="topRight" activeCell="D1" sqref="D1"/>
      <selection pane="bottomLeft" activeCell="A5" sqref="A5"/>
      <selection pane="bottomRight" activeCell="G35" sqref="G35"/>
    </sheetView>
  </sheetViews>
  <sheetFormatPr defaultColWidth="8.81640625" defaultRowHeight="14.5"/>
  <cols>
    <col min="1" max="1" width="18.1796875" customWidth="1"/>
    <col min="2" max="2" width="45.81640625" customWidth="1"/>
    <col min="3" max="3" width="18.1796875" customWidth="1"/>
    <col min="4" max="10" width="12" customWidth="1"/>
    <col min="11" max="11" width="14.36328125" customWidth="1"/>
    <col min="12" max="12" width="14.1796875" customWidth="1"/>
    <col min="13" max="13" width="8.1796875" hidden="1" customWidth="1"/>
    <col min="14" max="14" width="24" customWidth="1"/>
    <col min="19" max="19" width="9.1796875" bestFit="1" customWidth="1"/>
  </cols>
  <sheetData>
    <row r="1" spans="1:14">
      <c r="A1" s="12" t="s">
        <v>167</v>
      </c>
      <c r="B1" s="13"/>
      <c r="C1" s="13"/>
      <c r="D1" s="13"/>
      <c r="E1" s="13"/>
      <c r="F1" s="13"/>
      <c r="G1" s="13"/>
      <c r="H1" s="13"/>
      <c r="I1" s="13"/>
      <c r="J1" s="13"/>
      <c r="L1" s="13"/>
      <c r="M1" s="13"/>
    </row>
    <row r="2" spans="1:14" ht="15" thickBot="1">
      <c r="A2" s="14" t="s">
        <v>168</v>
      </c>
      <c r="B2" s="15"/>
      <c r="C2" s="15"/>
      <c r="D2" s="15" t="s">
        <v>156</v>
      </c>
      <c r="E2" s="15" t="s">
        <v>54</v>
      </c>
      <c r="F2" s="15" t="s">
        <v>117</v>
      </c>
      <c r="G2" s="15" t="s">
        <v>54</v>
      </c>
      <c r="H2" s="15" t="s">
        <v>166</v>
      </c>
      <c r="I2" s="15" t="s">
        <v>117</v>
      </c>
      <c r="J2" s="15" t="s">
        <v>54</v>
      </c>
      <c r="K2" s="15" t="s">
        <v>166</v>
      </c>
      <c r="L2" s="15"/>
      <c r="M2" s="15" t="s">
        <v>54</v>
      </c>
      <c r="N2" s="139"/>
    </row>
    <row r="3" spans="1:14" ht="14.25" customHeight="1">
      <c r="A3" s="199" t="s">
        <v>4</v>
      </c>
      <c r="B3" s="199" t="s">
        <v>26</v>
      </c>
      <c r="C3" s="201" t="s">
        <v>27</v>
      </c>
      <c r="D3" s="16" t="s">
        <v>28</v>
      </c>
      <c r="E3" s="83" t="s">
        <v>165</v>
      </c>
      <c r="F3" s="83" t="s">
        <v>165</v>
      </c>
      <c r="G3" s="83" t="s">
        <v>165</v>
      </c>
      <c r="H3" s="83" t="s">
        <v>165</v>
      </c>
      <c r="I3" s="83" t="s">
        <v>165</v>
      </c>
      <c r="J3" s="83" t="s">
        <v>165</v>
      </c>
      <c r="K3" s="16" t="s">
        <v>98</v>
      </c>
      <c r="L3" s="133"/>
      <c r="M3" s="135" t="s">
        <v>29</v>
      </c>
      <c r="N3" s="139"/>
    </row>
    <row r="4" spans="1:14" ht="20.25" customHeight="1" thickBot="1">
      <c r="A4" s="200"/>
      <c r="B4" s="200"/>
      <c r="C4" s="202"/>
      <c r="D4" s="85" t="s">
        <v>157</v>
      </c>
      <c r="E4" s="85" t="s">
        <v>158</v>
      </c>
      <c r="F4" s="85" t="s">
        <v>159</v>
      </c>
      <c r="G4" s="85" t="s">
        <v>160</v>
      </c>
      <c r="H4" s="85" t="s">
        <v>161</v>
      </c>
      <c r="I4" s="85" t="s">
        <v>162</v>
      </c>
      <c r="J4" s="85" t="s">
        <v>163</v>
      </c>
      <c r="K4" s="85" t="s">
        <v>164</v>
      </c>
      <c r="L4" s="134"/>
      <c r="M4" s="136" t="s">
        <v>65</v>
      </c>
      <c r="N4" s="139"/>
    </row>
    <row r="5" spans="1:14" ht="15" thickBot="1">
      <c r="A5" s="203" t="s">
        <v>5</v>
      </c>
      <c r="B5" s="111" t="s">
        <v>30</v>
      </c>
      <c r="C5" s="206" t="s">
        <v>86</v>
      </c>
      <c r="D5" s="190">
        <v>2</v>
      </c>
      <c r="E5" s="159"/>
      <c r="F5" s="159"/>
      <c r="G5" s="159"/>
      <c r="H5" s="118"/>
      <c r="I5" s="118"/>
      <c r="J5" s="118"/>
      <c r="K5" s="118"/>
      <c r="L5" s="132"/>
      <c r="M5" s="207"/>
      <c r="N5" s="139"/>
    </row>
    <row r="6" spans="1:14" ht="15" thickBot="1">
      <c r="A6" s="204"/>
      <c r="B6" s="112" t="s">
        <v>85</v>
      </c>
      <c r="C6" s="206"/>
      <c r="D6" s="191"/>
      <c r="E6" s="159"/>
      <c r="F6" s="159"/>
      <c r="G6" s="159"/>
      <c r="H6" s="118"/>
      <c r="I6" s="118"/>
      <c r="J6" s="118"/>
      <c r="K6" s="118"/>
      <c r="L6" s="132"/>
      <c r="M6" s="207"/>
      <c r="N6" s="139"/>
    </row>
    <row r="7" spans="1:14" ht="15" thickBot="1">
      <c r="A7" s="204"/>
      <c r="B7" s="112" t="s">
        <v>31</v>
      </c>
      <c r="C7" s="206"/>
      <c r="D7" s="191"/>
      <c r="E7" s="159"/>
      <c r="F7" s="159"/>
      <c r="G7" s="159"/>
      <c r="H7" s="118"/>
      <c r="I7" s="118"/>
      <c r="J7" s="118"/>
      <c r="K7" s="118"/>
      <c r="L7" s="132"/>
      <c r="M7" s="207"/>
      <c r="N7" s="139"/>
    </row>
    <row r="8" spans="1:14" ht="15" thickBot="1">
      <c r="A8" s="205"/>
      <c r="B8" s="113" t="s">
        <v>32</v>
      </c>
      <c r="C8" s="206"/>
      <c r="D8" s="192"/>
      <c r="E8" s="159"/>
      <c r="F8" s="159"/>
      <c r="G8" s="159"/>
      <c r="H8" s="118"/>
      <c r="I8" s="118"/>
      <c r="J8" s="118"/>
      <c r="K8" s="118"/>
      <c r="L8" s="132"/>
      <c r="M8" s="207"/>
      <c r="N8" s="139"/>
    </row>
    <row r="9" spans="1:14" ht="15" thickBot="1">
      <c r="A9" s="187" t="s">
        <v>6</v>
      </c>
      <c r="B9" s="109" t="s">
        <v>7</v>
      </c>
      <c r="C9" s="194"/>
      <c r="D9" s="157">
        <v>1</v>
      </c>
      <c r="E9" s="157">
        <v>0.5</v>
      </c>
      <c r="F9" s="157">
        <v>0.5</v>
      </c>
      <c r="G9" s="157">
        <v>0.5</v>
      </c>
      <c r="H9" s="118"/>
      <c r="I9" s="118"/>
      <c r="J9" s="118"/>
      <c r="K9" s="118"/>
      <c r="L9" s="132"/>
      <c r="M9" s="207"/>
      <c r="N9" s="139"/>
    </row>
    <row r="10" spans="1:14" ht="15" thickBot="1">
      <c r="A10" s="188"/>
      <c r="B10" s="109" t="s">
        <v>33</v>
      </c>
      <c r="C10" s="194"/>
      <c r="D10" s="157">
        <v>1</v>
      </c>
      <c r="E10" s="157"/>
      <c r="F10" s="157"/>
      <c r="G10" s="157"/>
      <c r="H10" s="118"/>
      <c r="I10" s="118"/>
      <c r="J10" s="118"/>
      <c r="K10" s="118"/>
      <c r="L10" s="132"/>
      <c r="M10" s="207"/>
      <c r="N10" s="139"/>
    </row>
    <row r="11" spans="1:14" ht="15" thickBot="1">
      <c r="A11" s="188"/>
      <c r="B11" s="109" t="s">
        <v>87</v>
      </c>
      <c r="C11" s="194"/>
      <c r="D11" s="157">
        <v>3</v>
      </c>
      <c r="E11" s="157"/>
      <c r="F11" s="157"/>
      <c r="G11" s="157"/>
      <c r="H11" s="118"/>
      <c r="I11" s="118"/>
      <c r="J11" s="118"/>
      <c r="K11" s="118"/>
      <c r="L11" s="132"/>
      <c r="M11" s="207"/>
      <c r="N11" s="139"/>
    </row>
    <row r="12" spans="1:14" ht="15" thickBot="1">
      <c r="A12" s="188"/>
      <c r="B12" s="109" t="s">
        <v>88</v>
      </c>
      <c r="C12" s="194"/>
      <c r="D12" s="157">
        <v>3</v>
      </c>
      <c r="E12" s="157"/>
      <c r="F12" s="157"/>
      <c r="G12" s="157"/>
      <c r="H12" s="118"/>
      <c r="I12" s="118"/>
      <c r="J12" s="118"/>
      <c r="K12" s="118"/>
      <c r="L12" s="132"/>
      <c r="M12" s="207"/>
      <c r="N12" s="139"/>
    </row>
    <row r="13" spans="1:14" ht="15" thickBot="1">
      <c r="A13" s="189"/>
      <c r="B13" s="110" t="s">
        <v>34</v>
      </c>
      <c r="C13" s="194"/>
      <c r="D13" s="157"/>
      <c r="E13" s="157">
        <v>1</v>
      </c>
      <c r="F13" s="157">
        <v>2.5</v>
      </c>
      <c r="G13" s="157">
        <v>2.5</v>
      </c>
      <c r="H13" s="118"/>
      <c r="I13" s="118"/>
      <c r="J13" s="118"/>
      <c r="K13" s="118"/>
      <c r="L13" s="132"/>
      <c r="M13" s="207"/>
      <c r="N13" s="139"/>
    </row>
    <row r="14" spans="1:14" ht="15" thickBot="1">
      <c r="A14" s="187" t="s">
        <v>35</v>
      </c>
      <c r="B14" s="109" t="s">
        <v>89</v>
      </c>
      <c r="C14" s="194"/>
      <c r="D14" s="190">
        <v>2</v>
      </c>
      <c r="E14" s="157">
        <v>3</v>
      </c>
      <c r="F14" s="157">
        <v>5</v>
      </c>
      <c r="G14" s="157">
        <v>5</v>
      </c>
      <c r="H14" s="118"/>
      <c r="I14" s="118"/>
      <c r="J14" s="118"/>
      <c r="K14" s="118"/>
      <c r="L14" s="132"/>
      <c r="M14" s="207"/>
      <c r="N14" s="139"/>
    </row>
    <row r="15" spans="1:14" ht="15" thickBot="1">
      <c r="A15" s="188"/>
      <c r="B15" s="109" t="s">
        <v>90</v>
      </c>
      <c r="C15" s="194"/>
      <c r="D15" s="191"/>
      <c r="E15" s="157"/>
      <c r="F15" s="157"/>
      <c r="G15" s="157"/>
      <c r="H15" s="118"/>
      <c r="I15" s="118"/>
      <c r="J15" s="118"/>
      <c r="K15" s="118"/>
      <c r="L15" s="132"/>
      <c r="M15" s="207"/>
      <c r="N15" s="139"/>
    </row>
    <row r="16" spans="1:14" ht="15" thickBot="1">
      <c r="A16" s="188"/>
      <c r="B16" s="109" t="s">
        <v>169</v>
      </c>
      <c r="C16" s="194"/>
      <c r="D16" s="191"/>
      <c r="E16" s="159">
        <v>1</v>
      </c>
      <c r="F16" s="159"/>
      <c r="G16" s="159">
        <v>5</v>
      </c>
      <c r="H16" s="118"/>
      <c r="I16" s="118"/>
      <c r="J16" s="118"/>
      <c r="K16" s="118"/>
      <c r="L16" s="132"/>
      <c r="M16" s="207"/>
      <c r="N16" s="139"/>
    </row>
    <row r="17" spans="1:14" ht="15" thickBot="1">
      <c r="A17" s="188"/>
      <c r="B17" s="109" t="s">
        <v>8</v>
      </c>
      <c r="C17" s="194"/>
      <c r="D17" s="191"/>
      <c r="E17" s="159"/>
      <c r="F17" s="159">
        <v>2</v>
      </c>
      <c r="G17" s="159">
        <v>2</v>
      </c>
      <c r="H17" s="118"/>
      <c r="I17" s="118"/>
      <c r="J17" s="118"/>
      <c r="K17" s="118"/>
      <c r="L17" s="132"/>
      <c r="M17" s="207"/>
      <c r="N17" s="139"/>
    </row>
    <row r="18" spans="1:14" ht="15" thickBot="1">
      <c r="A18" s="188"/>
      <c r="B18" s="109" t="s">
        <v>9</v>
      </c>
      <c r="C18" s="194"/>
      <c r="D18" s="191"/>
      <c r="E18" s="159">
        <v>0.5</v>
      </c>
      <c r="F18" s="159"/>
      <c r="G18" s="159"/>
      <c r="H18" s="118"/>
      <c r="I18" s="118"/>
      <c r="J18" s="118"/>
      <c r="K18" s="118"/>
      <c r="L18" s="132"/>
      <c r="M18" s="207"/>
      <c r="N18" s="139"/>
    </row>
    <row r="19" spans="1:14" ht="15" thickBot="1">
      <c r="A19" s="189"/>
      <c r="B19" s="110" t="s">
        <v>36</v>
      </c>
      <c r="C19" s="194"/>
      <c r="D19" s="192"/>
      <c r="E19" s="159"/>
      <c r="F19" s="159"/>
      <c r="G19" s="159"/>
      <c r="H19" s="118"/>
      <c r="I19" s="118"/>
      <c r="J19" s="118"/>
      <c r="K19" s="118"/>
      <c r="L19" s="132"/>
      <c r="M19" s="207"/>
      <c r="N19" s="139"/>
    </row>
    <row r="20" spans="1:14" ht="15" thickBot="1">
      <c r="A20" s="187" t="s">
        <v>1</v>
      </c>
      <c r="B20" s="109" t="s">
        <v>170</v>
      </c>
      <c r="C20" s="194" t="s">
        <v>44</v>
      </c>
      <c r="D20" s="190">
        <v>2</v>
      </c>
      <c r="E20" s="157"/>
      <c r="F20" s="159"/>
      <c r="G20" s="159">
        <v>5</v>
      </c>
      <c r="H20" s="118"/>
      <c r="I20" s="118"/>
      <c r="J20" s="118"/>
      <c r="K20" s="118"/>
      <c r="L20" s="132"/>
      <c r="M20" s="207"/>
      <c r="N20" s="139"/>
    </row>
    <row r="21" spans="1:14" ht="15" thickBot="1">
      <c r="A21" s="188"/>
      <c r="B21" s="109" t="s">
        <v>10</v>
      </c>
      <c r="C21" s="194"/>
      <c r="D21" s="191"/>
      <c r="E21" s="159">
        <v>2</v>
      </c>
      <c r="F21" s="159">
        <v>2</v>
      </c>
      <c r="G21" s="159">
        <v>2</v>
      </c>
      <c r="H21" s="118"/>
      <c r="I21" s="118"/>
      <c r="J21" s="118"/>
      <c r="K21" s="118"/>
      <c r="L21" s="132"/>
      <c r="M21" s="207"/>
      <c r="N21" s="139"/>
    </row>
    <row r="22" spans="1:14" ht="15" thickBot="1">
      <c r="A22" s="188"/>
      <c r="B22" s="109" t="s">
        <v>11</v>
      </c>
      <c r="C22" s="194"/>
      <c r="D22" s="191"/>
      <c r="E22" s="159"/>
      <c r="F22" s="159"/>
      <c r="G22" s="159"/>
      <c r="H22" s="118"/>
      <c r="I22" s="118"/>
      <c r="J22" s="118"/>
      <c r="K22" s="118"/>
      <c r="L22" s="132"/>
      <c r="M22" s="207"/>
      <c r="N22" s="139"/>
    </row>
    <row r="23" spans="1:14" ht="15" thickBot="1">
      <c r="A23" s="189"/>
      <c r="B23" s="110" t="s">
        <v>12</v>
      </c>
      <c r="C23" s="194"/>
      <c r="D23" s="192"/>
      <c r="E23" s="159"/>
      <c r="F23" s="159"/>
      <c r="G23" s="159"/>
      <c r="H23" s="118"/>
      <c r="I23" s="118"/>
      <c r="J23" s="118"/>
      <c r="K23" s="118"/>
      <c r="L23" s="132"/>
      <c r="M23" s="207"/>
      <c r="N23" s="139"/>
    </row>
    <row r="24" spans="1:14" ht="27" customHeight="1" thickBot="1">
      <c r="A24" s="142" t="s">
        <v>109</v>
      </c>
      <c r="B24" s="114" t="s">
        <v>64</v>
      </c>
      <c r="C24" s="145" t="s">
        <v>111</v>
      </c>
      <c r="D24" s="119"/>
      <c r="E24" s="119"/>
      <c r="F24" s="119"/>
      <c r="G24" s="119">
        <v>30</v>
      </c>
      <c r="H24" s="119">
        <v>1.5</v>
      </c>
      <c r="I24" s="119">
        <v>0.5</v>
      </c>
      <c r="J24" s="84">
        <v>0.5</v>
      </c>
      <c r="K24" s="84"/>
      <c r="L24" s="131"/>
      <c r="M24" s="137"/>
      <c r="N24" s="139"/>
    </row>
    <row r="25" spans="1:14" ht="15" thickBot="1">
      <c r="A25" s="143"/>
      <c r="B25" s="114" t="s">
        <v>2</v>
      </c>
      <c r="C25" s="146"/>
      <c r="D25" s="84"/>
      <c r="E25" s="84"/>
      <c r="F25" s="84"/>
      <c r="G25" s="84"/>
      <c r="H25" s="84">
        <v>1</v>
      </c>
      <c r="I25" s="84"/>
      <c r="J25" s="119">
        <v>0.5</v>
      </c>
      <c r="K25" s="119"/>
      <c r="L25" s="84"/>
      <c r="M25" s="131"/>
      <c r="N25" s="139"/>
    </row>
    <row r="26" spans="1:14" ht="15" thickBot="1">
      <c r="A26" s="143"/>
      <c r="B26" s="109" t="s">
        <v>37</v>
      </c>
      <c r="C26" s="146"/>
      <c r="D26" s="190"/>
      <c r="E26" s="157"/>
      <c r="F26" s="157"/>
      <c r="G26" s="157"/>
      <c r="H26" s="144"/>
      <c r="I26" s="144"/>
      <c r="J26" s="209"/>
      <c r="K26" s="209">
        <v>1</v>
      </c>
      <c r="L26" s="209"/>
      <c r="M26" s="138"/>
      <c r="N26" s="139"/>
    </row>
    <row r="27" spans="1:14" ht="15" thickBot="1">
      <c r="A27" s="143"/>
      <c r="B27" s="109" t="s">
        <v>91</v>
      </c>
      <c r="C27" s="146"/>
      <c r="D27" s="191"/>
      <c r="E27" s="157"/>
      <c r="F27" s="157">
        <v>2</v>
      </c>
      <c r="G27" s="157">
        <v>3</v>
      </c>
      <c r="H27" s="144"/>
      <c r="I27" s="144"/>
      <c r="J27" s="209"/>
      <c r="K27" s="209"/>
      <c r="L27" s="209"/>
      <c r="M27" s="138"/>
      <c r="N27" s="139"/>
    </row>
    <row r="28" spans="1:14" ht="15" thickBot="1">
      <c r="A28" s="143"/>
      <c r="B28" s="109" t="s">
        <v>92</v>
      </c>
      <c r="C28" s="146"/>
      <c r="D28" s="191"/>
      <c r="E28" s="157">
        <v>8</v>
      </c>
      <c r="F28" s="157">
        <v>2</v>
      </c>
      <c r="G28" s="157">
        <v>12</v>
      </c>
      <c r="H28" s="157"/>
      <c r="I28" s="144"/>
      <c r="J28" s="209"/>
      <c r="K28" s="209"/>
      <c r="L28" s="209"/>
      <c r="M28" s="138"/>
      <c r="N28" s="139"/>
    </row>
    <row r="29" spans="1:14" ht="15" thickBot="1">
      <c r="A29" s="143"/>
      <c r="B29" s="109" t="s">
        <v>13</v>
      </c>
      <c r="C29" s="146"/>
      <c r="D29" s="191"/>
      <c r="E29" s="157">
        <v>2</v>
      </c>
      <c r="F29" s="157">
        <v>2</v>
      </c>
      <c r="G29" s="157">
        <v>2</v>
      </c>
      <c r="H29" s="157"/>
      <c r="I29" s="144"/>
      <c r="J29" s="209"/>
      <c r="K29" s="209"/>
      <c r="L29" s="209"/>
      <c r="M29" s="138"/>
      <c r="N29" s="139"/>
    </row>
    <row r="30" spans="1:14" ht="15" thickBot="1">
      <c r="A30" s="143"/>
      <c r="B30" s="109" t="s">
        <v>14</v>
      </c>
      <c r="C30" s="146"/>
      <c r="D30" s="191"/>
      <c r="E30" s="157"/>
      <c r="F30" s="157"/>
      <c r="G30" s="157"/>
      <c r="H30" s="144"/>
      <c r="I30" s="144"/>
      <c r="J30" s="209"/>
      <c r="K30" s="209"/>
      <c r="L30" s="209"/>
      <c r="M30" s="138"/>
      <c r="N30" s="139"/>
    </row>
    <row r="31" spans="1:14" ht="15" thickBot="1">
      <c r="A31" s="143"/>
      <c r="B31" s="109" t="s">
        <v>15</v>
      </c>
      <c r="C31" s="146"/>
      <c r="D31" s="191"/>
      <c r="E31" s="157"/>
      <c r="F31" s="157"/>
      <c r="G31" s="157"/>
      <c r="H31" s="144"/>
      <c r="I31" s="144"/>
      <c r="J31" s="209"/>
      <c r="K31" s="209"/>
      <c r="L31" s="209"/>
      <c r="M31" s="138"/>
      <c r="N31" s="139"/>
    </row>
    <row r="32" spans="1:14" ht="15" thickBot="1">
      <c r="A32" s="149"/>
      <c r="B32" s="151" t="s">
        <v>114</v>
      </c>
      <c r="C32" s="150"/>
      <c r="D32" s="191"/>
      <c r="E32" s="157"/>
      <c r="F32" s="157"/>
      <c r="G32" s="157"/>
      <c r="H32" s="144"/>
      <c r="I32" s="144"/>
      <c r="J32" s="209"/>
      <c r="K32" s="209"/>
      <c r="L32" s="209"/>
      <c r="M32" s="138"/>
      <c r="N32" s="139"/>
    </row>
    <row r="33" spans="1:15" ht="15" thickBot="1">
      <c r="A33" s="149"/>
      <c r="B33" s="151" t="s">
        <v>115</v>
      </c>
      <c r="C33" s="150"/>
      <c r="D33" s="191"/>
      <c r="E33" s="157"/>
      <c r="F33" s="157"/>
      <c r="G33" s="157"/>
      <c r="H33" s="144"/>
      <c r="I33" s="144"/>
      <c r="J33" s="209"/>
      <c r="K33" s="209"/>
      <c r="L33" s="209"/>
      <c r="M33" s="138"/>
      <c r="N33" s="139"/>
    </row>
    <row r="34" spans="1:15" ht="15" thickBot="1">
      <c r="A34" s="149"/>
      <c r="B34" s="151" t="s">
        <v>116</v>
      </c>
      <c r="C34" s="150"/>
      <c r="D34" s="191"/>
      <c r="E34" s="157">
        <v>4</v>
      </c>
      <c r="F34" s="157">
        <v>1</v>
      </c>
      <c r="G34" s="157">
        <v>8</v>
      </c>
      <c r="H34" s="144"/>
      <c r="I34" s="144"/>
      <c r="J34" s="209"/>
      <c r="K34" s="209"/>
      <c r="L34" s="209"/>
      <c r="M34" s="138"/>
      <c r="N34" s="139"/>
    </row>
    <row r="35" spans="1:15" ht="15" thickBot="1">
      <c r="A35" s="149"/>
      <c r="B35" s="151" t="s">
        <v>16</v>
      </c>
      <c r="C35" s="150"/>
      <c r="D35" s="191"/>
      <c r="E35" s="157"/>
      <c r="F35" s="157"/>
      <c r="G35" s="157"/>
      <c r="H35" s="144"/>
      <c r="I35" s="144"/>
      <c r="J35" s="209"/>
      <c r="K35" s="209"/>
      <c r="L35" s="209"/>
      <c r="M35" s="138"/>
      <c r="N35" s="139"/>
    </row>
    <row r="36" spans="1:15" ht="15" thickBot="1">
      <c r="A36" s="187" t="s">
        <v>17</v>
      </c>
      <c r="B36" s="108" t="s">
        <v>18</v>
      </c>
      <c r="C36" s="194" t="s">
        <v>84</v>
      </c>
      <c r="D36" s="190">
        <v>1</v>
      </c>
      <c r="E36" s="157"/>
      <c r="F36" s="157"/>
      <c r="G36" s="157"/>
      <c r="H36" s="157"/>
      <c r="I36" s="157"/>
      <c r="J36" s="192"/>
      <c r="K36" s="192">
        <v>1</v>
      </c>
      <c r="L36" s="192"/>
      <c r="M36" s="208"/>
      <c r="N36" s="139"/>
    </row>
    <row r="37" spans="1:15" ht="15" thickBot="1">
      <c r="A37" s="188"/>
      <c r="B37" s="109" t="s">
        <v>19</v>
      </c>
      <c r="C37" s="194"/>
      <c r="D37" s="191"/>
      <c r="E37" s="157"/>
      <c r="F37" s="157"/>
      <c r="G37" s="157"/>
      <c r="H37" s="157"/>
      <c r="I37" s="157"/>
      <c r="J37" s="193"/>
      <c r="K37" s="193"/>
      <c r="L37" s="193"/>
      <c r="M37" s="208"/>
      <c r="N37" s="139"/>
    </row>
    <row r="38" spans="1:15" ht="15" thickBot="1">
      <c r="A38" s="188"/>
      <c r="B38" s="109" t="s">
        <v>95</v>
      </c>
      <c r="C38" s="194"/>
      <c r="D38" s="191"/>
      <c r="E38" s="157">
        <v>2</v>
      </c>
      <c r="F38" s="157">
        <v>1</v>
      </c>
      <c r="G38" s="157">
        <v>5</v>
      </c>
      <c r="H38" s="157"/>
      <c r="I38" s="157"/>
      <c r="J38" s="193"/>
      <c r="K38" s="193"/>
      <c r="L38" s="193"/>
      <c r="M38" s="208"/>
      <c r="N38" s="139"/>
    </row>
    <row r="39" spans="1:15" ht="15" thickBot="1">
      <c r="A39" s="188"/>
      <c r="B39" s="109" t="s">
        <v>93</v>
      </c>
      <c r="C39" s="194"/>
      <c r="D39" s="191"/>
      <c r="E39" s="157"/>
      <c r="F39" s="157"/>
      <c r="G39" s="157"/>
      <c r="H39" s="157"/>
      <c r="I39" s="157"/>
      <c r="J39" s="193"/>
      <c r="K39" s="193"/>
      <c r="L39" s="193"/>
      <c r="M39" s="208"/>
      <c r="N39" s="139"/>
    </row>
    <row r="40" spans="1:15" ht="15" thickBot="1">
      <c r="A40" s="188"/>
      <c r="B40" s="109" t="s">
        <v>94</v>
      </c>
      <c r="C40" s="194"/>
      <c r="D40" s="191"/>
      <c r="E40" s="157">
        <v>1</v>
      </c>
      <c r="F40" s="157">
        <v>1</v>
      </c>
      <c r="G40" s="157">
        <v>1</v>
      </c>
      <c r="H40" s="157"/>
      <c r="I40" s="157"/>
      <c r="J40" s="193"/>
      <c r="K40" s="193"/>
      <c r="L40" s="193"/>
      <c r="M40" s="208"/>
      <c r="N40" s="139"/>
    </row>
    <row r="41" spans="1:15" ht="15" thickBot="1">
      <c r="A41" s="188"/>
      <c r="B41" s="109" t="s">
        <v>20</v>
      </c>
      <c r="C41" s="194"/>
      <c r="D41" s="191"/>
      <c r="E41" s="157"/>
      <c r="F41" s="157"/>
      <c r="G41" s="157"/>
      <c r="H41" s="157"/>
      <c r="I41" s="157"/>
      <c r="J41" s="193"/>
      <c r="K41" s="193"/>
      <c r="L41" s="193"/>
      <c r="M41" s="208"/>
      <c r="N41" s="139"/>
    </row>
    <row r="42" spans="1:15" ht="15" thickBot="1">
      <c r="A42" s="188"/>
      <c r="B42" s="109" t="s">
        <v>21</v>
      </c>
      <c r="C42" s="194"/>
      <c r="D42" s="191"/>
      <c r="E42" s="157"/>
      <c r="F42" s="157"/>
      <c r="G42" s="157"/>
      <c r="H42" s="157"/>
      <c r="I42" s="157"/>
      <c r="J42" s="193"/>
      <c r="K42" s="193"/>
      <c r="L42" s="193"/>
      <c r="M42" s="208"/>
      <c r="N42" s="139"/>
    </row>
    <row r="43" spans="1:15" ht="15" thickBot="1">
      <c r="A43" s="188"/>
      <c r="B43" s="109" t="s">
        <v>42</v>
      </c>
      <c r="C43" s="194"/>
      <c r="D43" s="191"/>
      <c r="E43" s="157"/>
      <c r="F43" s="157"/>
      <c r="G43" s="157"/>
      <c r="H43" s="157"/>
      <c r="I43" s="157"/>
      <c r="J43" s="193"/>
      <c r="K43" s="193"/>
      <c r="L43" s="193"/>
      <c r="M43" s="208"/>
      <c r="N43" s="139"/>
    </row>
    <row r="44" spans="1:15" ht="15" thickBot="1">
      <c r="A44" s="189"/>
      <c r="B44" s="110" t="s">
        <v>38</v>
      </c>
      <c r="C44" s="194"/>
      <c r="D44" s="192"/>
      <c r="E44" s="157"/>
      <c r="F44" s="157"/>
      <c r="G44" s="157"/>
      <c r="H44" s="157"/>
      <c r="I44" s="157"/>
      <c r="J44" s="193"/>
      <c r="K44" s="193"/>
      <c r="L44" s="193"/>
      <c r="M44" s="208"/>
      <c r="N44" s="139"/>
      <c r="O44">
        <v>608250</v>
      </c>
    </row>
    <row r="45" spans="1:15" ht="15" thickBot="1">
      <c r="A45" s="187" t="s">
        <v>22</v>
      </c>
      <c r="B45" s="4" t="s">
        <v>39</v>
      </c>
      <c r="C45" s="195" t="s">
        <v>40</v>
      </c>
      <c r="D45" s="193">
        <v>1</v>
      </c>
      <c r="E45" s="193"/>
      <c r="F45" s="193"/>
      <c r="G45" s="190"/>
      <c r="H45" s="190"/>
      <c r="I45" s="210"/>
      <c r="J45" s="127"/>
      <c r="K45" s="210">
        <v>1</v>
      </c>
      <c r="L45" s="213"/>
      <c r="M45" s="195"/>
      <c r="N45" s="129"/>
    </row>
    <row r="46" spans="1:15" ht="15" thickBot="1">
      <c r="A46" s="188"/>
      <c r="B46" s="2" t="s">
        <v>23</v>
      </c>
      <c r="C46" s="195"/>
      <c r="D46" s="193"/>
      <c r="E46" s="193"/>
      <c r="F46" s="193"/>
      <c r="G46" s="191"/>
      <c r="H46" s="191"/>
      <c r="I46" s="211"/>
      <c r="J46" s="128"/>
      <c r="K46" s="211"/>
      <c r="L46" s="213"/>
      <c r="M46" s="195"/>
      <c r="N46" s="129"/>
    </row>
    <row r="47" spans="1:15" ht="15" thickBot="1">
      <c r="A47" s="188"/>
      <c r="B47" s="2" t="s">
        <v>24</v>
      </c>
      <c r="C47" s="195"/>
      <c r="D47" s="193"/>
      <c r="E47" s="193"/>
      <c r="F47" s="193"/>
      <c r="G47" s="191"/>
      <c r="H47" s="191"/>
      <c r="I47" s="211"/>
      <c r="J47" s="128"/>
      <c r="K47" s="211"/>
      <c r="L47" s="213"/>
      <c r="M47" s="195"/>
      <c r="N47" s="129"/>
    </row>
    <row r="48" spans="1:15" ht="15" thickBot="1">
      <c r="A48" s="189"/>
      <c r="B48" s="3" t="s">
        <v>25</v>
      </c>
      <c r="C48" s="196"/>
      <c r="D48" s="197"/>
      <c r="E48" s="197"/>
      <c r="F48" s="197"/>
      <c r="G48" s="198"/>
      <c r="H48" s="198"/>
      <c r="I48" s="212"/>
      <c r="J48" s="130"/>
      <c r="K48" s="212"/>
      <c r="L48" s="214"/>
      <c r="M48" s="196"/>
      <c r="N48" s="129"/>
    </row>
    <row r="49" spans="1:19" ht="15" thickBot="1">
      <c r="A49" s="8" t="s">
        <v>3</v>
      </c>
      <c r="B49" s="5"/>
      <c r="C49" s="1"/>
      <c r="D49" s="1">
        <f t="shared" ref="D49:M49" si="0">SUM(D5:D48)</f>
        <v>16</v>
      </c>
      <c r="E49" s="1">
        <f t="shared" si="0"/>
        <v>25</v>
      </c>
      <c r="F49" s="1">
        <f t="shared" si="0"/>
        <v>21</v>
      </c>
      <c r="G49" s="1">
        <f t="shared" si="0"/>
        <v>83</v>
      </c>
      <c r="H49" s="1">
        <f t="shared" si="0"/>
        <v>2.5</v>
      </c>
      <c r="I49" s="1">
        <f t="shared" si="0"/>
        <v>0.5</v>
      </c>
      <c r="J49" s="1">
        <f t="shared" si="0"/>
        <v>1</v>
      </c>
      <c r="K49" s="1">
        <f t="shared" si="0"/>
        <v>3</v>
      </c>
      <c r="L49" s="1">
        <f t="shared" si="0"/>
        <v>0</v>
      </c>
      <c r="M49" s="1">
        <f t="shared" si="0"/>
        <v>0</v>
      </c>
    </row>
    <row r="50" spans="1:19" s="6" customFormat="1" ht="13.5" thickBot="1">
      <c r="A50" s="117" t="s">
        <v>43</v>
      </c>
    </row>
    <row r="51" spans="1:19" ht="19" thickBot="1">
      <c r="B51" s="23" t="s">
        <v>47</v>
      </c>
      <c r="C51" t="s">
        <v>45</v>
      </c>
      <c r="N51" s="30" t="s">
        <v>53</v>
      </c>
    </row>
    <row r="52" spans="1:19">
      <c r="B52" s="23" t="s">
        <v>46</v>
      </c>
      <c r="C52" s="17" t="s">
        <v>50</v>
      </c>
      <c r="D52" s="18">
        <v>14000</v>
      </c>
      <c r="E52" s="18">
        <v>8500</v>
      </c>
      <c r="F52" s="18">
        <v>14000</v>
      </c>
      <c r="G52" s="18">
        <v>8500</v>
      </c>
      <c r="H52" s="18">
        <v>8500</v>
      </c>
      <c r="I52" s="18">
        <v>14000</v>
      </c>
      <c r="J52" s="18">
        <v>8500</v>
      </c>
      <c r="K52" s="18">
        <v>8500</v>
      </c>
      <c r="L52" s="18">
        <v>8500</v>
      </c>
      <c r="M52" s="24">
        <v>8500</v>
      </c>
      <c r="N52" s="27"/>
    </row>
    <row r="53" spans="1:19" ht="18.5">
      <c r="C53" s="19" t="s">
        <v>51</v>
      </c>
      <c r="D53" s="20">
        <f>D5*D52</f>
        <v>28000</v>
      </c>
      <c r="E53" s="20">
        <f>E5*E52</f>
        <v>0</v>
      </c>
      <c r="F53" s="20">
        <f>F5*F52</f>
        <v>0</v>
      </c>
      <c r="G53" s="20">
        <f>G5*G52</f>
        <v>0</v>
      </c>
      <c r="H53" s="147">
        <f>H5*I52</f>
        <v>0</v>
      </c>
      <c r="I53" s="147">
        <f>I5*J52</f>
        <v>0</v>
      </c>
      <c r="J53" s="20">
        <f>J5*J52</f>
        <v>0</v>
      </c>
      <c r="K53" s="20">
        <f>K5*K52</f>
        <v>0</v>
      </c>
      <c r="L53" s="20">
        <f>L5*L52</f>
        <v>0</v>
      </c>
      <c r="M53" s="25">
        <f>M5*M52</f>
        <v>0</v>
      </c>
      <c r="N53" s="28">
        <f>SUM(D53:M53)</f>
        <v>28000</v>
      </c>
      <c r="S53" s="158"/>
    </row>
    <row r="54" spans="1:19" ht="19" thickBot="1">
      <c r="C54" s="21" t="s">
        <v>52</v>
      </c>
      <c r="D54" s="22">
        <f t="shared" ref="D54:M54" si="1">(D49-D5)*D52</f>
        <v>196000</v>
      </c>
      <c r="E54" s="22">
        <f t="shared" si="1"/>
        <v>212500</v>
      </c>
      <c r="F54" s="22">
        <f t="shared" si="1"/>
        <v>294000</v>
      </c>
      <c r="G54" s="22">
        <f t="shared" si="1"/>
        <v>705500</v>
      </c>
      <c r="H54" s="148">
        <f t="shared" si="1"/>
        <v>21250</v>
      </c>
      <c r="I54" s="148">
        <f t="shared" si="1"/>
        <v>7000</v>
      </c>
      <c r="J54" s="22">
        <f t="shared" si="1"/>
        <v>8500</v>
      </c>
      <c r="K54" s="22">
        <f t="shared" si="1"/>
        <v>25500</v>
      </c>
      <c r="L54" s="22">
        <f t="shared" si="1"/>
        <v>0</v>
      </c>
      <c r="M54" s="26">
        <f t="shared" si="1"/>
        <v>0</v>
      </c>
      <c r="N54" s="29">
        <f>SUM(D54:M54)</f>
        <v>1470250</v>
      </c>
    </row>
    <row r="55" spans="1:19" ht="19" thickBot="1">
      <c r="N55" s="44">
        <f>SUM(N53:N54)</f>
        <v>1498250</v>
      </c>
    </row>
    <row r="62" spans="1:19">
      <c r="Q62" s="158"/>
    </row>
  </sheetData>
  <mergeCells count="40">
    <mergeCell ref="M45:M48"/>
    <mergeCell ref="L26:L35"/>
    <mergeCell ref="K45:K48"/>
    <mergeCell ref="L45:L48"/>
    <mergeCell ref="H45:H48"/>
    <mergeCell ref="I45:I48"/>
    <mergeCell ref="D5:D8"/>
    <mergeCell ref="D14:D19"/>
    <mergeCell ref="D20:D23"/>
    <mergeCell ref="J26:J35"/>
    <mergeCell ref="K26:K35"/>
    <mergeCell ref="D26:D35"/>
    <mergeCell ref="M9:M13"/>
    <mergeCell ref="M20:M23"/>
    <mergeCell ref="M14:M19"/>
    <mergeCell ref="M5:M8"/>
    <mergeCell ref="M36:M44"/>
    <mergeCell ref="A3:A4"/>
    <mergeCell ref="B3:B4"/>
    <mergeCell ref="C3:C4"/>
    <mergeCell ref="A5:A8"/>
    <mergeCell ref="C5:C8"/>
    <mergeCell ref="A20:A23"/>
    <mergeCell ref="C20:C23"/>
    <mergeCell ref="A9:A13"/>
    <mergeCell ref="C9:C13"/>
    <mergeCell ref="A14:A19"/>
    <mergeCell ref="C14:C19"/>
    <mergeCell ref="A45:A48"/>
    <mergeCell ref="C45:C48"/>
    <mergeCell ref="D45:D48"/>
    <mergeCell ref="E45:E48"/>
    <mergeCell ref="G45:G48"/>
    <mergeCell ref="F45:F48"/>
    <mergeCell ref="A36:A44"/>
    <mergeCell ref="D36:D44"/>
    <mergeCell ref="J36:J44"/>
    <mergeCell ref="K36:K44"/>
    <mergeCell ref="L36:L44"/>
    <mergeCell ref="C36:C44"/>
  </mergeCells>
  <phoneticPr fontId="31" type="noConversion"/>
  <dataValidations count="1">
    <dataValidation type="list" allowBlank="1" showInputMessage="1" showErrorMessage="1" sqref="D2:M2" xr:uid="{1924EEB7-5C70-4092-905E-89630268AA83}">
      <formula1>"Sr1, Sr2, Of1, Of2"</formula1>
    </dataValidation>
  </dataValidations>
  <pageMargins left="0.7" right="0.7" top="0.75" bottom="0.75" header="0.3" footer="0.3"/>
  <pageSetup paperSize="9" scale="5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28A1-FE1A-4850-A706-77F66B823A5E}">
  <dimension ref="B3:J12"/>
  <sheetViews>
    <sheetView workbookViewId="0">
      <selection activeCell="I15" sqref="I15"/>
    </sheetView>
  </sheetViews>
  <sheetFormatPr defaultColWidth="8.81640625" defaultRowHeight="14.5"/>
  <cols>
    <col min="1" max="1" width="2.453125" customWidth="1"/>
    <col min="3" max="3" width="18.36328125" customWidth="1"/>
    <col min="4" max="4" width="10" bestFit="1" customWidth="1"/>
    <col min="9" max="9" width="12.1796875" customWidth="1"/>
    <col min="10" max="10" width="9.36328125" bestFit="1" customWidth="1"/>
  </cols>
  <sheetData>
    <row r="3" spans="2:10" ht="15" thickBot="1"/>
    <row r="4" spans="2:10" ht="15" thickBot="1">
      <c r="B4" s="86" t="s">
        <v>58</v>
      </c>
      <c r="C4" s="215" t="s">
        <v>103</v>
      </c>
      <c r="D4" s="216"/>
      <c r="E4" s="86"/>
      <c r="F4" s="215" t="s">
        <v>99</v>
      </c>
      <c r="G4" s="216"/>
      <c r="H4" s="87" t="s">
        <v>100</v>
      </c>
      <c r="I4" s="88" t="s">
        <v>101</v>
      </c>
      <c r="J4" s="89" t="s">
        <v>102</v>
      </c>
    </row>
    <row r="5" spans="2:10">
      <c r="B5" s="86"/>
      <c r="C5" s="93" t="s">
        <v>105</v>
      </c>
      <c r="D5" s="96">
        <v>0</v>
      </c>
      <c r="E5" s="86"/>
      <c r="F5" s="90" t="s">
        <v>58</v>
      </c>
      <c r="G5" s="91">
        <v>2500</v>
      </c>
      <c r="H5" s="91">
        <v>0</v>
      </c>
      <c r="I5" s="91">
        <v>0</v>
      </c>
      <c r="J5" s="92">
        <f>G5*H5*I5</f>
        <v>0</v>
      </c>
    </row>
    <row r="6" spans="2:10">
      <c r="B6" s="86"/>
      <c r="C6" s="93" t="s">
        <v>106</v>
      </c>
      <c r="D6" s="96">
        <v>0</v>
      </c>
      <c r="E6" s="86"/>
      <c r="F6" s="93" t="s">
        <v>104</v>
      </c>
      <c r="G6" s="94">
        <v>2500</v>
      </c>
      <c r="H6" s="94">
        <v>0</v>
      </c>
      <c r="I6" s="94">
        <v>0</v>
      </c>
      <c r="J6" s="95">
        <f t="shared" ref="J6:J7" si="0">G6*H6*I6</f>
        <v>0</v>
      </c>
    </row>
    <row r="7" spans="2:10" ht="15" thickBot="1">
      <c r="B7" s="86"/>
      <c r="C7" s="99" t="s">
        <v>107</v>
      </c>
      <c r="D7" s="104"/>
      <c r="E7" s="86"/>
      <c r="F7" s="93" t="s">
        <v>62</v>
      </c>
      <c r="G7" s="94">
        <v>600</v>
      </c>
      <c r="H7" s="94">
        <v>0</v>
      </c>
      <c r="I7" s="97">
        <v>0</v>
      </c>
      <c r="J7" s="98">
        <f t="shared" si="0"/>
        <v>0</v>
      </c>
    </row>
    <row r="8" spans="2:10" ht="15" thickBot="1">
      <c r="B8" s="86"/>
      <c r="C8" s="105" t="s">
        <v>3</v>
      </c>
      <c r="D8" s="106">
        <f>SUM(D5:D7)</f>
        <v>0</v>
      </c>
      <c r="E8" s="86"/>
      <c r="F8" s="99"/>
      <c r="G8" s="100"/>
      <c r="H8" s="101"/>
      <c r="I8" s="102" t="s">
        <v>61</v>
      </c>
      <c r="J8" s="103">
        <f>SUM(J5:J7)</f>
        <v>0</v>
      </c>
    </row>
    <row r="9" spans="2:10">
      <c r="B9" s="86"/>
      <c r="E9" s="86"/>
      <c r="F9" s="86"/>
      <c r="G9" s="86"/>
      <c r="H9" s="86"/>
      <c r="I9" s="86"/>
      <c r="J9" s="86"/>
    </row>
    <row r="10" spans="2:10">
      <c r="B10" s="86"/>
      <c r="E10" s="86"/>
      <c r="F10" s="86"/>
      <c r="G10" s="86"/>
      <c r="H10" s="86"/>
      <c r="I10" s="86"/>
      <c r="J10" s="86"/>
    </row>
    <row r="11" spans="2:10">
      <c r="B11" s="86"/>
      <c r="E11" s="86"/>
      <c r="F11" s="86"/>
      <c r="G11" s="86"/>
      <c r="H11" s="86"/>
      <c r="I11" s="86"/>
      <c r="J11" s="86"/>
    </row>
    <row r="12" spans="2:10">
      <c r="B12" s="86"/>
      <c r="E12" s="86"/>
      <c r="F12" s="86"/>
      <c r="G12" s="86"/>
      <c r="H12" s="86"/>
      <c r="I12" s="86"/>
      <c r="J12" s="86"/>
    </row>
  </sheetData>
  <mergeCells count="2">
    <mergeCell ref="F4:G4"/>
    <mergeCell ref="C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ACB2-6200-4AC7-8E32-28203BAB34D8}">
  <dimension ref="A1:AD15"/>
  <sheetViews>
    <sheetView workbookViewId="0">
      <selection activeCell="Z12" sqref="Z12:AD12"/>
    </sheetView>
  </sheetViews>
  <sheetFormatPr defaultRowHeight="14.5"/>
  <cols>
    <col min="1" max="1" width="19.6328125" customWidth="1"/>
    <col min="2" max="2" width="19.6328125" bestFit="1" customWidth="1"/>
    <col min="3" max="30" width="4.453125" bestFit="1" customWidth="1"/>
  </cols>
  <sheetData>
    <row r="1" spans="1:30">
      <c r="A1" s="160" t="s">
        <v>120</v>
      </c>
      <c r="B1" s="160" t="s">
        <v>0</v>
      </c>
      <c r="C1" s="217" t="s">
        <v>121</v>
      </c>
      <c r="D1" s="218"/>
      <c r="E1" s="218"/>
      <c r="F1" s="219"/>
      <c r="G1" s="217" t="s">
        <v>122</v>
      </c>
      <c r="H1" s="218"/>
      <c r="I1" s="218"/>
      <c r="J1" s="219"/>
      <c r="K1" s="217" t="s">
        <v>123</v>
      </c>
      <c r="L1" s="218"/>
      <c r="M1" s="218"/>
      <c r="N1" s="219"/>
      <c r="O1" s="217" t="s">
        <v>124</v>
      </c>
      <c r="P1" s="218"/>
      <c r="Q1" s="218"/>
      <c r="R1" s="219"/>
      <c r="S1" s="217" t="s">
        <v>125</v>
      </c>
      <c r="T1" s="218"/>
      <c r="U1" s="218"/>
      <c r="V1" s="219"/>
      <c r="W1" s="217" t="s">
        <v>126</v>
      </c>
      <c r="X1" s="218"/>
      <c r="Y1" s="218"/>
      <c r="Z1" s="219"/>
      <c r="AA1" s="217" t="s">
        <v>127</v>
      </c>
      <c r="AB1" s="218"/>
      <c r="AC1" s="218"/>
      <c r="AD1" s="219"/>
    </row>
    <row r="2" spans="1:30">
      <c r="A2" s="161"/>
      <c r="B2" s="162"/>
      <c r="C2" s="163" t="s">
        <v>128</v>
      </c>
      <c r="D2" s="164" t="s">
        <v>129</v>
      </c>
      <c r="E2" s="164" t="s">
        <v>130</v>
      </c>
      <c r="F2" s="164" t="s">
        <v>131</v>
      </c>
      <c r="G2" s="164" t="s">
        <v>128</v>
      </c>
      <c r="H2" s="164" t="s">
        <v>129</v>
      </c>
      <c r="I2" s="164" t="s">
        <v>130</v>
      </c>
      <c r="J2" s="164" t="s">
        <v>131</v>
      </c>
      <c r="K2" s="164" t="s">
        <v>128</v>
      </c>
      <c r="L2" s="164" t="s">
        <v>129</v>
      </c>
      <c r="M2" s="164" t="s">
        <v>130</v>
      </c>
      <c r="N2" s="164" t="s">
        <v>131</v>
      </c>
      <c r="O2" s="164" t="s">
        <v>128</v>
      </c>
      <c r="P2" s="164" t="s">
        <v>129</v>
      </c>
      <c r="Q2" s="164" t="s">
        <v>130</v>
      </c>
      <c r="R2" s="164" t="s">
        <v>131</v>
      </c>
      <c r="S2" s="164" t="s">
        <v>128</v>
      </c>
      <c r="T2" s="164" t="s">
        <v>129</v>
      </c>
      <c r="U2" s="164" t="s">
        <v>130</v>
      </c>
      <c r="V2" s="164" t="s">
        <v>131</v>
      </c>
      <c r="W2" s="164" t="s">
        <v>128</v>
      </c>
      <c r="X2" s="164" t="s">
        <v>129</v>
      </c>
      <c r="Y2" s="164" t="s">
        <v>130</v>
      </c>
      <c r="Z2" s="164" t="s">
        <v>131</v>
      </c>
      <c r="AA2" s="164" t="s">
        <v>128</v>
      </c>
      <c r="AB2" s="164" t="s">
        <v>129</v>
      </c>
      <c r="AC2" s="164" t="s">
        <v>130</v>
      </c>
      <c r="AD2" s="164" t="s">
        <v>131</v>
      </c>
    </row>
    <row r="3" spans="1:30">
      <c r="A3" s="165" t="s">
        <v>132</v>
      </c>
      <c r="B3" s="166" t="s">
        <v>133</v>
      </c>
      <c r="C3" s="173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</row>
    <row r="4" spans="1:30">
      <c r="A4" s="168"/>
      <c r="B4" s="169" t="s">
        <v>134</v>
      </c>
      <c r="C4" s="173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</row>
    <row r="5" spans="1:30">
      <c r="A5" s="165" t="s">
        <v>135</v>
      </c>
      <c r="B5" s="169" t="s">
        <v>135</v>
      </c>
      <c r="C5" s="173"/>
      <c r="D5" s="174"/>
      <c r="E5" s="174"/>
      <c r="F5" s="174"/>
      <c r="G5" s="174"/>
      <c r="H5" s="174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</row>
    <row r="6" spans="1:30">
      <c r="A6" s="168" t="s">
        <v>136</v>
      </c>
      <c r="B6" s="169" t="s">
        <v>137</v>
      </c>
      <c r="C6" s="170"/>
      <c r="D6" s="167"/>
      <c r="E6" s="167"/>
      <c r="F6" s="167"/>
      <c r="G6" s="174"/>
      <c r="H6" s="174"/>
      <c r="I6" s="174"/>
      <c r="J6" s="174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</row>
    <row r="7" spans="1:30">
      <c r="A7" s="165" t="s">
        <v>64</v>
      </c>
      <c r="B7" s="169" t="s">
        <v>64</v>
      </c>
      <c r="C7" s="170"/>
      <c r="D7" s="167"/>
      <c r="E7" s="167"/>
      <c r="F7" s="167"/>
      <c r="G7" s="167"/>
      <c r="H7" s="167"/>
      <c r="I7" s="167"/>
      <c r="J7" s="167"/>
      <c r="K7" s="174"/>
      <c r="L7" s="174"/>
      <c r="M7" s="174"/>
      <c r="N7" s="174"/>
      <c r="O7" s="174"/>
      <c r="P7" s="174"/>
      <c r="Q7" s="174"/>
      <c r="R7" s="174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</row>
    <row r="8" spans="1:30">
      <c r="A8" s="171"/>
      <c r="B8" s="169" t="s">
        <v>138</v>
      </c>
      <c r="C8" s="170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74"/>
      <c r="R8" s="174"/>
      <c r="S8" s="174"/>
      <c r="T8" s="174"/>
      <c r="U8" s="172"/>
      <c r="V8" s="172"/>
      <c r="W8" s="167"/>
      <c r="X8" s="167"/>
      <c r="Y8" s="167"/>
      <c r="Z8" s="167"/>
      <c r="AA8" s="167"/>
      <c r="AB8" s="167"/>
      <c r="AC8" s="167"/>
      <c r="AD8" s="167"/>
    </row>
    <row r="9" spans="1:30">
      <c r="A9" s="168"/>
      <c r="B9" s="169" t="s">
        <v>139</v>
      </c>
      <c r="C9" s="170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74"/>
      <c r="T9" s="174"/>
      <c r="U9" s="174"/>
      <c r="V9" s="174"/>
      <c r="W9" s="172"/>
      <c r="X9" s="172"/>
      <c r="Y9" s="172"/>
      <c r="Z9" s="172"/>
      <c r="AA9" s="172"/>
      <c r="AB9" s="172"/>
      <c r="AC9" s="167"/>
      <c r="AD9" s="167"/>
    </row>
    <row r="10" spans="1:30">
      <c r="A10" s="165" t="s">
        <v>140</v>
      </c>
      <c r="B10" s="169" t="s">
        <v>141</v>
      </c>
      <c r="C10" s="170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72"/>
      <c r="V10" s="172"/>
      <c r="W10" s="174"/>
      <c r="X10" s="174"/>
      <c r="Y10" s="172"/>
      <c r="Z10" s="172"/>
      <c r="AA10" s="172"/>
      <c r="AB10" s="172"/>
      <c r="AC10" s="167"/>
      <c r="AD10" s="167"/>
    </row>
    <row r="11" spans="1:30">
      <c r="A11" s="168"/>
      <c r="B11" s="169" t="s">
        <v>106</v>
      </c>
      <c r="C11" s="170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74"/>
      <c r="Z11" s="174"/>
      <c r="AA11" s="167"/>
      <c r="AB11" s="167"/>
      <c r="AC11" s="167"/>
      <c r="AD11" s="167"/>
    </row>
    <row r="12" spans="1:30">
      <c r="A12" s="46" t="s">
        <v>142</v>
      </c>
      <c r="B12" s="169" t="s">
        <v>142</v>
      </c>
      <c r="C12" s="170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74"/>
      <c r="AA12" s="174"/>
      <c r="AB12" s="174"/>
      <c r="AC12" s="174"/>
      <c r="AD12" s="174"/>
    </row>
    <row r="15" spans="1:30">
      <c r="B15" s="107" t="s">
        <v>108</v>
      </c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0" ma:contentTypeDescription="Create a new document." ma:contentTypeScope="" ma:versionID="2b372ff3092c8c37f3982edabca5620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88A01D-3EEA-4557-B2D7-9D28D117EA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04AE4E-08C2-42BF-8386-44E0E25C5EC9}"/>
</file>

<file path=customXml/itemProps3.xml><?xml version="1.0" encoding="utf-8"?>
<ds:datastoreItem xmlns:ds="http://schemas.openxmlformats.org/officeDocument/2006/customXml" ds:itemID="{FA3B68FB-0CD3-4C34-825F-A9E78F4C6EBB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Resource</vt:lpstr>
      <vt:lpstr>Total</vt:lpstr>
      <vt:lpstr>PTTDigital_Manday</vt:lpstr>
      <vt:lpstr>Travel Cost</vt:lpstr>
      <vt:lpstr>Project Timeline</vt:lpstr>
    </vt:vector>
  </TitlesOfParts>
  <Company>PTTICT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Wannika Jipibhop</dc:creator>
  <cp:lastModifiedBy>Vorakit Laptavijok</cp:lastModifiedBy>
  <cp:lastPrinted>2021-03-15T06:22:15Z</cp:lastPrinted>
  <dcterms:created xsi:type="dcterms:W3CDTF">2014-03-05T16:20:38Z</dcterms:created>
  <dcterms:modified xsi:type="dcterms:W3CDTF">2026-02-17T04:26:40Z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</Properties>
</file>