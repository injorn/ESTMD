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/>
  <mc:AlternateContent xmlns:mc="http://schemas.openxmlformats.org/markup-compatibility/2006">
    <mc:Choice Requires="x15">
      <x15ac:absPath xmlns:x15ac="http://schemas.microsoft.com/office/spreadsheetml/2010/11/ac" url="https://d.docs.live.net/bbd2d943b23aa384/WorkSharing/DigitalProject/FaFE MY/"/>
    </mc:Choice>
  </mc:AlternateContent>
  <xr:revisionPtr revIDLastSave="77" documentId="8_{2B870FB2-62CC-D34F-9878-CF25090AA732}" xr6:coauthVersionLast="47" xr6:coauthVersionMax="47" xr10:uidLastSave="{D398B5E8-4EC5-3F4F-AA72-E39F0F0C62A7}"/>
  <bookViews>
    <workbookView xWindow="-20" yWindow="680" windowWidth="30240" windowHeight="17920" tabRatio="862" activeTab="5" xr2:uid="{00000000-000D-0000-FFFF-FFFF00000000}"/>
  </bookViews>
  <sheets>
    <sheet name="Resource" sheetId="10" r:id="rId1"/>
    <sheet name="Total" sheetId="12" r:id="rId2"/>
    <sheet name="PTTDigital_Manday" sheetId="21" r:id="rId3"/>
    <sheet name="Sheet1" sheetId="23" state="hidden" r:id="rId4"/>
    <sheet name="Vendor Cost" sheetId="11" r:id="rId5"/>
    <sheet name="Plan" sheetId="22" r:id="rId6"/>
    <sheet name="Vendor MD" sheetId="15" state="hidden" r:id="rId7"/>
  </sheets>
  <externalReferences>
    <externalReference r:id="rId8"/>
    <externalReference r:id="rId9"/>
  </externalReferences>
  <definedNames>
    <definedName name="_xlnm._FilterDatabase" localSheetId="2" hidden="1">PTTDigital_Manday!$A$4:$N$73</definedName>
    <definedName name="Alpha">[1]Actual!#REF!</definedName>
    <definedName name="LstLevel">'[2]999_MSRP'!$A$3:$A$10</definedName>
    <definedName name="LstStaffs">'[2]999_Loaded Rate 2016-Q1'!$F$2:$F$468</definedName>
    <definedName name="Peak">[1]Actual!#REF!</definedName>
    <definedName name="Time0">[1]Actual!#REF!</definedName>
    <definedName name="Time1">[1]Plan!#REF!</definedName>
    <definedName name="Time2">[1]Plan!#REF!</definedName>
    <definedName name="Value1">[1]Plan!#REF!</definedName>
    <definedName name="Value2">[1]Plan!#REF!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2" l="1"/>
  <c r="D25" i="12"/>
  <c r="D26" i="12"/>
  <c r="D23" i="12"/>
  <c r="D30" i="12"/>
  <c r="F73" i="21"/>
  <c r="F142" i="23" l="1"/>
  <c r="L138" i="23"/>
  <c r="L142" i="23" s="1"/>
  <c r="K138" i="23"/>
  <c r="K142" i="23" s="1"/>
  <c r="J138" i="23"/>
  <c r="J142" i="23" s="1"/>
  <c r="I138" i="23"/>
  <c r="I142" i="23" s="1"/>
  <c r="H138" i="23"/>
  <c r="H142" i="23" s="1"/>
  <c r="G138" i="23"/>
  <c r="G142" i="23" s="1"/>
  <c r="F138" i="23"/>
  <c r="E138" i="23"/>
  <c r="E142" i="23" s="1"/>
  <c r="D138" i="23"/>
  <c r="D142" i="23" s="1"/>
  <c r="M142" i="23" l="1"/>
  <c r="M143" i="23" s="1"/>
  <c r="I8" i="10" l="1"/>
  <c r="I9" i="10"/>
  <c r="E73" i="21"/>
  <c r="G73" i="21"/>
  <c r="H73" i="21"/>
  <c r="I73" i="21"/>
  <c r="D73" i="21"/>
  <c r="E77" i="21" l="1"/>
  <c r="H77" i="21" l="1"/>
  <c r="I5" i="10"/>
  <c r="I6" i="10"/>
  <c r="I7" i="10"/>
  <c r="I10" i="10"/>
  <c r="I4" i="10"/>
  <c r="K73" i="21"/>
  <c r="K77" i="21" s="1"/>
  <c r="J73" i="21"/>
  <c r="J77" i="21" s="1"/>
  <c r="I77" i="21"/>
  <c r="G77" i="21"/>
  <c r="F77" i="21"/>
  <c r="I11" i="10" l="1"/>
  <c r="D77" i="21"/>
  <c r="L77" i="21" s="1"/>
  <c r="C3" i="12" s="1"/>
  <c r="L78" i="21" l="1"/>
  <c r="C36" i="12"/>
  <c r="G65" i="15" l="1"/>
  <c r="F65" i="15"/>
  <c r="E65" i="15"/>
  <c r="G60" i="15"/>
  <c r="F60" i="15"/>
  <c r="E60" i="15"/>
  <c r="G55" i="15"/>
  <c r="F55" i="15"/>
  <c r="E55" i="15"/>
  <c r="G50" i="15"/>
  <c r="F50" i="15"/>
  <c r="E50" i="15"/>
  <c r="G45" i="15"/>
  <c r="F45" i="15"/>
  <c r="E45" i="15"/>
  <c r="G40" i="15"/>
  <c r="F40" i="15"/>
  <c r="E40" i="15"/>
  <c r="G34" i="15"/>
  <c r="F34" i="15"/>
  <c r="E34" i="15"/>
  <c r="G29" i="15"/>
  <c r="F29" i="15"/>
  <c r="E29" i="15"/>
  <c r="G24" i="15"/>
  <c r="F24" i="15"/>
  <c r="E24" i="15"/>
  <c r="G19" i="15"/>
  <c r="F19" i="15"/>
  <c r="E19" i="15"/>
  <c r="G15" i="15"/>
  <c r="F15" i="15"/>
  <c r="E15" i="15"/>
  <c r="F80" i="15" l="1"/>
  <c r="F81" i="15" s="1"/>
  <c r="G80" i="15"/>
  <c r="G81" i="15" s="1"/>
  <c r="E80" i="15"/>
  <c r="E81" i="15" s="1"/>
  <c r="H82" i="15" l="1"/>
  <c r="D82" i="15"/>
  <c r="C30" i="12"/>
  <c r="E18" i="12"/>
  <c r="E17" i="12"/>
  <c r="E16" i="12"/>
  <c r="E12" i="12"/>
  <c r="E11" i="12"/>
  <c r="E10" i="12"/>
  <c r="E19" i="12" l="1"/>
  <c r="E13" i="12"/>
  <c r="C4" i="12" s="1"/>
  <c r="E10" i="11" l="1"/>
  <c r="E12" i="11" l="1"/>
  <c r="C5" i="12" s="1"/>
  <c r="C6" i="12" s="1"/>
  <c r="D34" i="12"/>
  <c r="D35" i="12"/>
  <c r="D33" i="12"/>
  <c r="H22" i="12" l="1"/>
  <c r="H23" i="12" s="1"/>
  <c r="H25" i="12" s="1"/>
  <c r="D36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Pimsupak Tammalakkhana</author>
  </authors>
  <commentList>
    <comment ref="G3" authorId="0" shapeId="0" xr:uid="{F383126A-4262-4E01-AF58-53F99FD0410E}">
      <text>
        <r>
          <rPr>
            <b/>
            <sz val="9"/>
            <color rgb="FF000000"/>
            <rFont val="Tahoma"/>
            <family val="2"/>
          </rPr>
          <t>Pimsupak Tammalakkhana: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ให้ใส่</t>
        </r>
        <r>
          <rPr>
            <sz val="9"/>
            <color rgb="FF000000"/>
            <rFont val="Tahoma"/>
            <family val="2"/>
          </rPr>
          <t xml:space="preserve"> Cost 
</t>
        </r>
        <r>
          <rPr>
            <sz val="9"/>
            <color rgb="FF000000"/>
            <rFont val="Tahoma"/>
            <family val="2"/>
          </rPr>
          <t>หาก</t>
        </r>
        <r>
          <rPr>
            <sz val="9"/>
            <color rgb="FF000000"/>
            <rFont val="Tahoma"/>
            <family val="2"/>
          </rPr>
          <t xml:space="preserve"> PM </t>
        </r>
        <r>
          <rPr>
            <sz val="9"/>
            <color rgb="FF000000"/>
            <rFont val="Tahoma"/>
            <family val="2"/>
          </rPr>
          <t>ไม่ทราบให้ว่างไว้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B16" authorId="0" shapeId="0" xr:uid="{3DB12784-2121-487A-A94F-F883654DDFAB}">
      <text>
        <r>
          <rPr>
            <b/>
            <sz val="9"/>
            <color rgb="FF000000"/>
            <rFont val="Tahoma"/>
            <family val="2"/>
          </rPr>
          <t>Pimsupak Tammalakkhana: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ระบุค่าเดินทาง</t>
        </r>
        <r>
          <rPr>
            <sz val="9"/>
            <color rgb="FF000000"/>
            <rFont val="Tahoma"/>
            <family val="2"/>
          </rPr>
          <t xml:space="preserve"> 
</t>
        </r>
        <r>
          <rPr>
            <sz val="9"/>
            <color rgb="FF000000"/>
            <rFont val="Tahoma"/>
            <family val="2"/>
          </rPr>
          <t>หาก</t>
        </r>
        <r>
          <rPr>
            <sz val="9"/>
            <color rgb="FF000000"/>
            <rFont val="Tahoma"/>
            <family val="2"/>
          </rPr>
          <t xml:space="preserve"> Project </t>
        </r>
        <r>
          <rPr>
            <sz val="9"/>
            <color rgb="FF000000"/>
            <rFont val="Tahoma"/>
            <family val="2"/>
          </rPr>
          <t>ไหนต้องย่อยรายละเอียดการเดินทางแยก</t>
        </r>
        <r>
          <rPr>
            <sz val="9"/>
            <color rgb="FF000000"/>
            <rFont val="Tahoma"/>
            <family val="2"/>
          </rPr>
          <t xml:space="preserve"> Sheet Declare </t>
        </r>
        <r>
          <rPr>
            <sz val="9"/>
            <color rgb="FF000000"/>
            <rFont val="Tahoma"/>
            <family val="2"/>
          </rPr>
          <t>มาอีกอัน</t>
        </r>
      </text>
    </comment>
  </commentList>
</comments>
</file>

<file path=xl/sharedStrings.xml><?xml version="1.0" encoding="utf-8"?>
<sst xmlns="http://schemas.openxmlformats.org/spreadsheetml/2006/main" count="615" uniqueCount="270">
  <si>
    <t>Total</t>
  </si>
  <si>
    <t>Phase</t>
  </si>
  <si>
    <t>Project Planning</t>
  </si>
  <si>
    <t>Details</t>
  </si>
  <si>
    <t>Deliverables</t>
  </si>
  <si>
    <t>PM</t>
  </si>
  <si>
    <t>BA</t>
  </si>
  <si>
    <t>Tech. Review</t>
  </si>
  <si>
    <t>App. Support</t>
  </si>
  <si>
    <t>Role</t>
  </si>
  <si>
    <t xml:space="preserve"> </t>
  </si>
  <si>
    <t>Senior = 14,000 per day</t>
  </si>
  <si>
    <t>Junior = 8,500 per day</t>
  </si>
  <si>
    <t>%</t>
  </si>
  <si>
    <t>จำนวนเงิน</t>
  </si>
  <si>
    <t>Digital Rev</t>
  </si>
  <si>
    <t>Sr1</t>
  </si>
  <si>
    <t>Of1</t>
  </si>
  <si>
    <t>ค่าเดินทาง</t>
  </si>
  <si>
    <t>จำนวนครั้ง</t>
  </si>
  <si>
    <t>ครั้งละ</t>
  </si>
  <si>
    <t>Location A</t>
  </si>
  <si>
    <t>Location B</t>
  </si>
  <si>
    <t>Location C</t>
  </si>
  <si>
    <t>รวมค่าเดินทาง</t>
  </si>
  <si>
    <t>ค่าเบี้ยเลี้ยง</t>
  </si>
  <si>
    <t>MR A</t>
  </si>
  <si>
    <t>MR B</t>
  </si>
  <si>
    <t>MR C</t>
  </si>
  <si>
    <t>รวมค่าเบี้ยเลี้ยง</t>
  </si>
  <si>
    <t>Digital Cost + Vendor</t>
  </si>
  <si>
    <t>Margin</t>
  </si>
  <si>
    <t>% Margin</t>
  </si>
  <si>
    <t>งวดที่ 1 : Requirement &amp; Design</t>
  </si>
  <si>
    <t>Name</t>
  </si>
  <si>
    <t>Team Information</t>
  </si>
  <si>
    <t>Total Manday (Day)</t>
  </si>
  <si>
    <t>No.</t>
  </si>
  <si>
    <t>Type</t>
  </si>
  <si>
    <t>Level</t>
  </si>
  <si>
    <t>Planned (Day)</t>
  </si>
  <si>
    <t>Manday Rate (Baht)</t>
  </si>
  <si>
    <t>Senior Officer</t>
  </si>
  <si>
    <t>Officer</t>
  </si>
  <si>
    <t>Outsource</t>
  </si>
  <si>
    <t>Other Information</t>
  </si>
  <si>
    <t>Total Amount (Baht)</t>
  </si>
  <si>
    <t>Hardware</t>
  </si>
  <si>
    <t>-</t>
  </si>
  <si>
    <t>Software</t>
  </si>
  <si>
    <t>License</t>
  </si>
  <si>
    <t>Allowance</t>
  </si>
  <si>
    <t>DevOps Service</t>
  </si>
  <si>
    <t>หมายเหตุ   ถ้ามีประเภทค่าใช้จ่ายอื่นๆ เพิ่มเติมใน Project เพิ่ม Row ได้</t>
  </si>
  <si>
    <t>Order</t>
  </si>
  <si>
    <t>Description</t>
  </si>
  <si>
    <t>Cost</t>
  </si>
  <si>
    <t>Discount</t>
  </si>
  <si>
    <t>Grand Total</t>
  </si>
  <si>
    <t>ค่าเบี้ยเลี้ยง/ค่าเดินทาง</t>
  </si>
  <si>
    <t>Go-live Comunication &amp; preparation</t>
  </si>
  <si>
    <t>Project Closure &amp; Presentation</t>
  </si>
  <si>
    <t>Note :</t>
  </si>
  <si>
    <t>Implement Cost</t>
  </si>
  <si>
    <t>** ราคานี้ยังไม่รวม Vat 7% **</t>
  </si>
  <si>
    <t>Pre-pare proposal &amp; procument process</t>
  </si>
  <si>
    <t>Project Assessment and Planing</t>
  </si>
  <si>
    <t>Project Kick-off</t>
  </si>
  <si>
    <t>Proposal,
Kick-off Presentation, 
Project Plan</t>
  </si>
  <si>
    <t>Rev (Project Cost)</t>
  </si>
  <si>
    <t>Digital Rev (Project Cost)</t>
  </si>
  <si>
    <t>งวดการชำระเงิน PTTEP &gt;&gt; PTT Digital</t>
  </si>
  <si>
    <t>งวดการชำระเงิน PTT DIGITAL &gt;&gt; Vendor</t>
  </si>
  <si>
    <t>งวดที่ 2 : Golive # 1</t>
  </si>
  <si>
    <t>งวดที่ 3 : Golive # 2</t>
  </si>
  <si>
    <t>Gather requirement/ Design</t>
  </si>
  <si>
    <t>Solution development &amp; Unit Test</t>
  </si>
  <si>
    <t>Sprint demo, SIT/UAT assistance and Product Backlog update</t>
  </si>
  <si>
    <t>Develop sprint backlog</t>
  </si>
  <si>
    <t>Sprint 3 - TEPM Expansion</t>
  </si>
  <si>
    <t>Sprint 5 - Data bridging</t>
  </si>
  <si>
    <t>Sprint 10 - Configure SAP Integration IDR, DDR, Write off</t>
  </si>
  <si>
    <t>Deliver all backlog</t>
  </si>
  <si>
    <t xml:space="preserve">Develop User guides, Admin Guides </t>
  </si>
  <si>
    <t>User Training</t>
  </si>
  <si>
    <t>Sprint 1 - Standalone module</t>
  </si>
  <si>
    <t>Sprint 2 - Memo module</t>
  </si>
  <si>
    <t>Develop issue from previous backlog</t>
  </si>
  <si>
    <t>Sprint 4 - RFS module</t>
  </si>
  <si>
    <t>SAP Integration RO, Contract, Enhance PO/SO</t>
  </si>
  <si>
    <t>Sprint 6 - GRO module</t>
  </si>
  <si>
    <t>Sprint 7 - IDR module</t>
  </si>
  <si>
    <t>Sprint 8 - DDR module</t>
  </si>
  <si>
    <t>Sprint 9- Write-off module</t>
  </si>
  <si>
    <t>Gather requirement / Provide logic / design</t>
  </si>
  <si>
    <t>Sprint 11 - Temp. Storage module</t>
  </si>
  <si>
    <t>Project administration &amp; Weekly Status reports</t>
  </si>
  <si>
    <t>PTTEP FaFE Phase 4</t>
  </si>
  <si>
    <t>Resource</t>
  </si>
  <si>
    <t>Summary</t>
  </si>
  <si>
    <t>Solution Consultant (EmpowerAll)</t>
  </si>
  <si>
    <t>Technical Consultant (Empower All)</t>
  </si>
  <si>
    <t>Junior Technical Consultant (Empower All)</t>
  </si>
  <si>
    <t>TBA</t>
  </si>
  <si>
    <t>Rate</t>
  </si>
  <si>
    <t>Initiate Stage</t>
  </si>
  <si>
    <t>Gathering Requirement</t>
  </si>
  <si>
    <t>Research Solution</t>
  </si>
  <si>
    <t>Business Development Stage</t>
  </si>
  <si>
    <t>Prepare Team member project</t>
  </si>
  <si>
    <t>Define Scope of work</t>
  </si>
  <si>
    <t>Prepare Stage</t>
  </si>
  <si>
    <t>Create Stage</t>
  </si>
  <si>
    <t>Transition Stage</t>
  </si>
  <si>
    <t>Go-Live &amp; Early Live Support</t>
  </si>
  <si>
    <t>Close Stage</t>
  </si>
  <si>
    <t>Project Closure report and presentation</t>
  </si>
  <si>
    <t>Summary Manday</t>
  </si>
  <si>
    <t>Sub-Total</t>
  </si>
  <si>
    <t>Total Estimate (ex VAT)</t>
  </si>
  <si>
    <t>Developer</t>
  </si>
  <si>
    <t>Kongdech Hisavanich</t>
  </si>
  <si>
    <t>Kongdech H.</t>
  </si>
  <si>
    <t>Go-live Sign-off</t>
  </si>
  <si>
    <t>Go-live support and Project Closure</t>
  </si>
  <si>
    <t>W1</t>
  </si>
  <si>
    <t>W2</t>
  </si>
  <si>
    <t>W3</t>
  </si>
  <si>
    <t>W4</t>
  </si>
  <si>
    <t>W5</t>
  </si>
  <si>
    <t>Implement, Testing and Deployment forPhase 1A</t>
  </si>
  <si>
    <t xml:space="preserve">  Rev / Day</t>
  </si>
  <si>
    <t>Vendor Cost</t>
  </si>
  <si>
    <t>ค่าดำเนินโครงการโดยที่ปรึกษาภายนอก (IBS Software)</t>
  </si>
  <si>
    <t>Weekly report</t>
  </si>
  <si>
    <t>- Prepare SIT script</t>
  </si>
  <si>
    <t>- Excute SIT</t>
  </si>
  <si>
    <t>Go-live Phase 2</t>
  </si>
  <si>
    <t>June</t>
  </si>
  <si>
    <t>July</t>
  </si>
  <si>
    <t>Prepare proposal &amp; procument process</t>
  </si>
  <si>
    <t>Project assessment and planning</t>
  </si>
  <si>
    <t>Sprint 1 - DDR – Damage discrepancy report</t>
  </si>
  <si>
    <t>Solution development and UT/RT/SIT</t>
  </si>
  <si>
    <t>Sprint demo and pre-pare UAT</t>
  </si>
  <si>
    <t>UAT assistance and Product Backlog update</t>
  </si>
  <si>
    <t>Sprint 2 - IDR – Inventory discrepancy report</t>
  </si>
  <si>
    <t xml:space="preserve">Summary UAT Script &amp; Review </t>
  </si>
  <si>
    <t>Train the Trainer</t>
  </si>
  <si>
    <t>QA Process</t>
  </si>
  <si>
    <t>Go-Live</t>
  </si>
  <si>
    <t>Support After Go-Live</t>
  </si>
  <si>
    <t>- Update and Summarize Product backlog</t>
  </si>
  <si>
    <t>- Perform demo feature and Execute UAT</t>
  </si>
  <si>
    <t>- Intergrate data from GCP</t>
  </si>
  <si>
    <t>- Group,Roles and Authorization by country/asset/plant</t>
  </si>
  <si>
    <t>- Table, backend screen, Logic</t>
  </si>
  <si>
    <t>- Email Notification</t>
  </si>
  <si>
    <t>- Workflow</t>
  </si>
  <si>
    <t xml:space="preserve">- Generate PDF </t>
  </si>
  <si>
    <t>- Portal form (Update solution)</t>
  </si>
  <si>
    <t>- Dashboard</t>
  </si>
  <si>
    <t>- Schedule job (reminder email)</t>
  </si>
  <si>
    <t>Prepare Sprint demo and SIT Script</t>
  </si>
  <si>
    <t>- Prepare demo presentation (with UAT senario)</t>
  </si>
  <si>
    <t>Sprint 3 - Write-off</t>
  </si>
  <si>
    <t>Sprint 4 - Inteface to GCP</t>
  </si>
  <si>
    <t>- Intergrate to AI for Inventory (Connect to endpoint, logic, mapping data)</t>
  </si>
  <si>
    <t>- Settle solution with GCP</t>
  </si>
  <si>
    <t>- Intergrate with GCP</t>
  </si>
  <si>
    <t>- Prepare data object</t>
  </si>
  <si>
    <t>- Logic</t>
  </si>
  <si>
    <r>
      <t xml:space="preserve">Weekly progress and Issue management (14 months)
</t>
    </r>
    <r>
      <rPr>
        <sz val="9"/>
        <color theme="1"/>
        <rFont val="Tahoma"/>
        <family val="2"/>
      </rPr>
      <t>- Weekly Progress report
- Internal progress tracking
- Issue log management</t>
    </r>
  </si>
  <si>
    <t>Eakkarin P</t>
  </si>
  <si>
    <t>Sasivimol C</t>
  </si>
  <si>
    <t>Project : PJR-PTTEP-Discrepancy and Write-off System (DiW) for Corporate</t>
  </si>
  <si>
    <t>Go-live Phase 1</t>
  </si>
  <si>
    <t>- Go-Live</t>
  </si>
  <si>
    <t>- Go-live Comunication &amp; preparation (CRQ request)</t>
  </si>
  <si>
    <t>- QA Process</t>
  </si>
  <si>
    <t>Training and Final UAT</t>
  </si>
  <si>
    <t xml:space="preserve">- Summary UAT Script &amp; Review </t>
  </si>
  <si>
    <t>- Deliver all backlog</t>
  </si>
  <si>
    <t xml:space="preserve">- Develop User guides, Admin Guides </t>
  </si>
  <si>
    <t>- Train the Trainer</t>
  </si>
  <si>
    <r>
      <rPr>
        <b/>
        <sz val="9"/>
        <color theme="1"/>
        <rFont val="Tahoma"/>
        <family val="2"/>
      </rPr>
      <t>After go-live support</t>
    </r>
    <r>
      <rPr>
        <sz val="9"/>
        <color theme="1"/>
        <rFont val="Tahoma"/>
        <family val="2"/>
      </rPr>
      <t xml:space="preserve">
- Issue Clarification and Summary</t>
    </r>
  </si>
  <si>
    <r>
      <rPr>
        <b/>
        <sz val="9"/>
        <color theme="1"/>
        <rFont val="Tahoma"/>
        <family val="2"/>
      </rPr>
      <t>Project Closure &amp; Presentation</t>
    </r>
    <r>
      <rPr>
        <sz val="9"/>
        <color theme="1"/>
        <rFont val="Tahoma"/>
        <family val="2"/>
      </rPr>
      <t xml:space="preserve">
- Prepare Project closure presentation
- Arrange the meeting</t>
    </r>
  </si>
  <si>
    <t xml:space="preserve">Project Issue log (updat issue from go-live support)
</t>
  </si>
  <si>
    <t xml:space="preserve">Project closure presentation
</t>
  </si>
  <si>
    <t>DDR Gather requirement/ Design</t>
  </si>
  <si>
    <t>QA</t>
  </si>
  <si>
    <t>Natamon J</t>
  </si>
  <si>
    <t xml:space="preserve">Wuttipong </t>
  </si>
  <si>
    <t>Kamonwan O</t>
  </si>
  <si>
    <t>Penpitcha O</t>
  </si>
  <si>
    <t xml:space="preserve">Sasivimol Chinudomsuksakul </t>
  </si>
  <si>
    <t>Kamonwan Oilkham</t>
  </si>
  <si>
    <t>Natamon Jongbandan</t>
  </si>
  <si>
    <t>Eakarin Pintafai</t>
  </si>
  <si>
    <t>Wuttipong Inpalud</t>
  </si>
  <si>
    <t>QA Team</t>
  </si>
  <si>
    <t>SA</t>
  </si>
  <si>
    <t>UAT Sign-off</t>
  </si>
  <si>
    <t>- Milestone 1/6 : SRS &amp; FSD #1  Sign-Off</t>
  </si>
  <si>
    <t>- Milestone 2/6 : UAT#1 Sign-Off</t>
  </si>
  <si>
    <t>- Milestone 3/6 : Go-Live#1 Sign-Off</t>
  </si>
  <si>
    <t>- Milestone 6/6 : Go-Live#2 Sign-Off</t>
  </si>
  <si>
    <t>- Milestone 4/6 : SRS &amp; FSD #2  Sign-Off</t>
  </si>
  <si>
    <t>- Milestone 5/6 : UAT#2 Sign-Off</t>
  </si>
  <si>
    <t xml:space="preserve">SRS &amp; FSD Sign-off </t>
  </si>
  <si>
    <t>Month 01</t>
  </si>
  <si>
    <t>Month 02</t>
  </si>
  <si>
    <t>Month 03</t>
  </si>
  <si>
    <t>Month 04</t>
  </si>
  <si>
    <t>Month 05</t>
  </si>
  <si>
    <t>Month 06</t>
  </si>
  <si>
    <t>Month 11</t>
  </si>
  <si>
    <t>Month 12</t>
  </si>
  <si>
    <t>(ระยะเวลาโครงการ 280 วัน)</t>
  </si>
  <si>
    <t>Vendor : -</t>
  </si>
  <si>
    <t>Inteface to GCP(DiW -&gt; GCP) Gather requirement/ Design</t>
  </si>
  <si>
    <t>Prepare SRS and confirmation</t>
  </si>
  <si>
    <t>System design with DEV team</t>
  </si>
  <si>
    <t>Prepare FSD and confirmation</t>
  </si>
  <si>
    <t>Milestone 2/4 : SRS &amp; FSD Sign-Off</t>
  </si>
  <si>
    <t>Phase I : Project Management</t>
  </si>
  <si>
    <t>Milestone 1/4 : SRS &amp; FSD Sign-Off</t>
  </si>
  <si>
    <t>Sprint 2 - Inteface to GCP</t>
  </si>
  <si>
    <t>RT/SIT Component</t>
  </si>
  <si>
    <t>Performance Test</t>
  </si>
  <si>
    <t>UAT</t>
  </si>
  <si>
    <t>Product Backlog update</t>
  </si>
  <si>
    <t>Milestone 3/4 : UAT Sign-Off</t>
  </si>
  <si>
    <t xml:space="preserve"> Phase III : Implement </t>
  </si>
  <si>
    <t>Phase IV : SIT &amp; UAT with SHANA</t>
  </si>
  <si>
    <t>Phase V : Training &amp; Final UAT</t>
  </si>
  <si>
    <t>Phase VII : Support after Golive</t>
  </si>
  <si>
    <t>Phase VI : Deployment</t>
  </si>
  <si>
    <t>3.1.1</t>
  </si>
  <si>
    <t>3.1.2</t>
  </si>
  <si>
    <t>3.1.3</t>
  </si>
  <si>
    <t>3.2.1</t>
  </si>
  <si>
    <t>3.2.2</t>
  </si>
  <si>
    <t>3.2.3</t>
  </si>
  <si>
    <t>- Intergrattion Module with GCP</t>
  </si>
  <si>
    <t>Weekly progress update</t>
  </si>
  <si>
    <t>DDR – Damage discrepancy report</t>
  </si>
  <si>
    <t> Phase II : Requirement Gethering and Design</t>
  </si>
  <si>
    <t>Requirement Gethering and Design</t>
  </si>
  <si>
    <r>
      <t xml:space="preserve">Weekly progress and Issue management (11 months)
</t>
    </r>
    <r>
      <rPr>
        <sz val="9"/>
        <color theme="1"/>
        <rFont val="Tahoma"/>
        <family val="2"/>
      </rPr>
      <t>- Weekly Progress report
- Internal progress tracking
- Issue log management</t>
    </r>
  </si>
  <si>
    <t xml:space="preserve">Implement, Testing and Deployment </t>
  </si>
  <si>
    <t>Inteface to GCP</t>
  </si>
  <si>
    <t xml:space="preserve">SRS &amp; FSD Document,  SRS &amp; FSD Sign-Off </t>
  </si>
  <si>
    <t>- Milestone 3/4 : UAT Sign-Off</t>
  </si>
  <si>
    <t>Milestone 4/4 : Go-Live#1 Sign-Off</t>
  </si>
  <si>
    <t>Deployment</t>
  </si>
  <si>
    <t>Support and Project Closure</t>
  </si>
  <si>
    <t>Training &amp; Final UAT</t>
  </si>
  <si>
    <t>Go-live Comunication &amp; preparation (CRQ request)</t>
  </si>
  <si>
    <t>Milestone 4/4 : Go-Live  Sign-Off</t>
  </si>
  <si>
    <t>SIT &amp; UAT with SHANA</t>
  </si>
  <si>
    <t>UAT execution</t>
  </si>
  <si>
    <t>Prepare document and confirm</t>
  </si>
  <si>
    <t>งวดที่ 4 : Go-live</t>
  </si>
  <si>
    <t>งวดที่ 3 : User Acceptance Test</t>
  </si>
  <si>
    <t>งวดที่ 2 : Requirement Gathering</t>
  </si>
  <si>
    <t>งวดที่ 1 : Kick off</t>
  </si>
  <si>
    <t>Project :  -</t>
  </si>
  <si>
    <t>Month 7</t>
  </si>
  <si>
    <t xml:space="preserve"> Project : Discrepancy and Write off System (DiW) for Malausia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</si>
</sst>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&quot;฿&quot;* #,##0.00_-;\-&quot;฿&quot;* #,##0.00_-;_-&quot;฿&quot;* &quot;-&quot;??_-;_-@_-"/>
    <numFmt numFmtId="165" formatCode="_-* #,##0.00_-;\-* #,##0.00_-;_-* &quot;-&quot;??_-;_-@_-"/>
    <numFmt numFmtId="166" formatCode="&quot;฿&quot;#,##0.00"/>
    <numFmt numFmtId="167" formatCode="_-[$฿-41E]* #,##0.00_-;\-[$฿-41E]* #,##0.00_-;_-[$฿-41E]* &quot;-&quot;??_-;_-@_-"/>
    <numFmt numFmtId="168" formatCode="0.00%;[Red]\-0.00%"/>
    <numFmt numFmtId="169" formatCode="_(* #,##0_);_(* \(#,##0\);_(* &quot;-&quot;??_);_(@_)"/>
    <numFmt numFmtId="170" formatCode="_(* #,##0.0_);_(* \(#,##0.0\);_(* &quot;-&quot;??_);_(@_)"/>
    <numFmt numFmtId="171" formatCode="_(* #,##0.0_);_(* \(#,##0.0\);_(* &quot;-&quot;?_);_(@_)"/>
    <numFmt numFmtId="172" formatCode="[$THB]\ #,##0.00"/>
    <numFmt numFmtId="173" formatCode="_-* #,##0.00_-;\-* #,##0.00_-;_-* &quot;-&quot;??_-;_-@"/>
  </numFmts>
  <fonts count="72">
    <font>
      <sz val="11"/>
      <color theme="1"/>
      <name val="Calibri"/>
      <family val="2"/>
      <charset val="22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FFFF"/>
      <name val="Tahoma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sz val="10"/>
      <color rgb="FFFF0000"/>
      <name val="Calibri"/>
      <family val="2"/>
      <charset val="22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charset val="22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ordia New"/>
      <family val="2"/>
    </font>
    <font>
      <sz val="10"/>
      <color rgb="FFFF0000"/>
      <name val="Cordia New"/>
      <family val="2"/>
    </font>
    <font>
      <sz val="9"/>
      <name val="Tahoma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sz val="10"/>
      <color rgb="FFFF0000"/>
      <name val="Tahoma"/>
      <family val="2"/>
    </font>
    <font>
      <b/>
      <sz val="10"/>
      <color theme="1"/>
      <name val="Tahoma"/>
      <family val="2"/>
    </font>
    <font>
      <b/>
      <u/>
      <sz val="10"/>
      <color theme="1"/>
      <name val="Tahoma"/>
      <family val="2"/>
    </font>
    <font>
      <b/>
      <sz val="10"/>
      <color theme="0"/>
      <name val="Calibri"/>
      <family val="2"/>
      <scheme val="minor"/>
    </font>
    <font>
      <sz val="10"/>
      <color theme="1"/>
      <name val="Sathu"/>
      <family val="2"/>
    </font>
    <font>
      <b/>
      <sz val="11"/>
      <color rgb="FF00B050"/>
      <name val="Calibri"/>
      <family val="2"/>
      <scheme val="minor"/>
    </font>
    <font>
      <sz val="8"/>
      <color theme="1"/>
      <name val="Tahoma"/>
      <family val="2"/>
    </font>
    <font>
      <b/>
      <sz val="10"/>
      <color rgb="FFFF000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i/>
      <sz val="11"/>
      <color theme="1"/>
      <name val="Calibri"/>
      <family val="2"/>
    </font>
    <font>
      <sz val="10"/>
      <color theme="1"/>
      <name val="Arial"/>
      <family val="2"/>
    </font>
    <font>
      <sz val="9"/>
      <color theme="1"/>
      <name val="Trebuchet MS"/>
      <family val="2"/>
    </font>
    <font>
      <b/>
      <sz val="18"/>
      <color rgb="FFFFFFFF"/>
      <name val="Calibri"/>
      <family val="2"/>
    </font>
    <font>
      <b/>
      <sz val="18"/>
      <color theme="0"/>
      <name val="Calibri"/>
      <family val="2"/>
    </font>
    <font>
      <b/>
      <sz val="18"/>
      <color theme="1"/>
      <name val="Calibri"/>
      <family val="2"/>
    </font>
    <font>
      <b/>
      <sz val="10"/>
      <color theme="1"/>
      <name val="Calibri"/>
      <family val="2"/>
    </font>
    <font>
      <b/>
      <sz val="14"/>
      <color theme="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1"/>
      <color theme="5" tint="-0.249977111117893"/>
      <name val="Calibri"/>
      <family val="2"/>
      <charset val="222"/>
      <scheme val="minor"/>
    </font>
    <font>
      <b/>
      <i/>
      <sz val="11"/>
      <color theme="1"/>
      <name val="Calibri (Body)"/>
    </font>
    <font>
      <sz val="11"/>
      <color theme="1"/>
      <name val="Calibri (Body)"/>
    </font>
    <font>
      <i/>
      <sz val="11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</font>
    <font>
      <sz val="8"/>
      <name val="Calibri"/>
      <family val="2"/>
      <charset val="222"/>
      <scheme val="minor"/>
    </font>
    <font>
      <sz val="9"/>
      <name val="Arial"/>
      <family val="2"/>
    </font>
    <font>
      <sz val="10"/>
      <name val="Arial"/>
      <family val="2"/>
    </font>
    <font>
      <sz val="11"/>
      <color theme="0"/>
      <name val="Trebuchet MS Bold Italic"/>
    </font>
    <font>
      <b/>
      <sz val="11"/>
      <color theme="1"/>
      <name val="Calibri"/>
      <family val="2"/>
      <charset val="222"/>
      <scheme val="minor"/>
    </font>
    <font>
      <b/>
      <sz val="9"/>
      <color theme="0"/>
      <name val="Trebuchet MS"/>
      <family val="2"/>
    </font>
    <font>
      <sz val="9"/>
      <color rgb="FF5B9BD5"/>
      <name val="Calibri"/>
      <family val="2"/>
      <scheme val="minor"/>
    </font>
    <font>
      <sz val="9"/>
      <color rgb="FF92D05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Trebuchet MS"/>
      <family val="2"/>
    </font>
    <font>
      <b/>
      <sz val="9"/>
      <color theme="1"/>
      <name val="Trebuchet MS"/>
      <family val="2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9"/>
      <color theme="0"/>
      <name val="Trebuchet MS"/>
      <family val="2"/>
    </font>
    <font>
      <sz val="12"/>
      <color rgb="FF5B9BD5"/>
      <name val="Trebuchet MS"/>
      <family val="2"/>
    </font>
    <font>
      <sz val="12"/>
      <color rgb="FF000000"/>
      <name val="Trebuchet MS"/>
      <family val="2"/>
    </font>
    <font>
      <sz val="12"/>
      <color rgb="FF92D050"/>
      <name val="Trebuchet MS"/>
      <family val="2"/>
    </font>
  </fonts>
  <fills count="4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theme="9" tint="0.79998168889431442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theme="7" tint="0.79998168889431442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theme="7" tint="0.79998168889431442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7" tint="0.79998168889431442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00B0F0"/>
      </patternFill>
    </fill>
    <fill>
      <patternFill patternType="solid">
        <fgColor theme="9" tint="0.79998168889431442"/>
        <bgColor rgb="FFD8D8D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theme="8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10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theme="2" tint="-9.9978637043366805E-2"/>
      </left>
      <right/>
      <top style="medium">
        <color theme="2" tint="-9.9978637043366805E-2"/>
      </top>
      <bottom/>
      <diagonal/>
    </border>
    <border>
      <left/>
      <right/>
      <top style="medium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 style="medium">
        <color theme="2" tint="-9.9978637043366805E-2"/>
      </left>
      <right style="thin">
        <color theme="2" tint="-9.9978637043366805E-2"/>
      </right>
      <top/>
      <bottom style="medium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medium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mediumDashed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/>
      <right/>
      <top style="mediumDash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2">
    <xf numFmtId="0" fontId="0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7" fillId="0" borderId="0"/>
    <xf numFmtId="9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0" fontId="37" fillId="0" borderId="0"/>
    <xf numFmtId="43" fontId="37" fillId="0" borderId="0" applyFont="0" applyFill="0" applyBorder="0" applyAlignment="0" applyProtection="0"/>
    <xf numFmtId="0" fontId="65" fillId="42" borderId="0" applyNumberFormat="0" applyBorder="0" applyAlignment="0" applyProtection="0"/>
  </cellStyleXfs>
  <cellXfs count="411">
    <xf numFmtId="0" fontId="0" fillId="0" borderId="0" xfId="0"/>
    <xf numFmtId="0" fontId="8" fillId="3" borderId="6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vertical="center" wrapText="1"/>
    </xf>
    <xf numFmtId="0" fontId="11" fillId="0" borderId="0" xfId="0" applyFont="1"/>
    <xf numFmtId="166" fontId="0" fillId="0" borderId="0" xfId="0" applyNumberFormat="1"/>
    <xf numFmtId="0" fontId="8" fillId="3" borderId="10" xfId="0" applyFont="1" applyFill="1" applyBorder="1" applyAlignment="1">
      <alignment vertical="center" wrapText="1"/>
    </xf>
    <xf numFmtId="166" fontId="14" fillId="6" borderId="14" xfId="0" applyNumberFormat="1" applyFont="1" applyFill="1" applyBorder="1"/>
    <xf numFmtId="166" fontId="14" fillId="6" borderId="5" xfId="0" applyNumberFormat="1" applyFont="1" applyFill="1" applyBorder="1"/>
    <xf numFmtId="0" fontId="7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7" fillId="0" borderId="0" xfId="0" applyFont="1"/>
    <xf numFmtId="0" fontId="13" fillId="0" borderId="0" xfId="0" applyFont="1"/>
    <xf numFmtId="0" fontId="8" fillId="7" borderId="11" xfId="0" applyFont="1" applyFill="1" applyBorder="1" applyAlignment="1">
      <alignment horizontal="center" vertical="center" wrapText="1"/>
    </xf>
    <xf numFmtId="166" fontId="7" fillId="2" borderId="16" xfId="0" applyNumberFormat="1" applyFont="1" applyFill="1" applyBorder="1"/>
    <xf numFmtId="166" fontId="13" fillId="2" borderId="17" xfId="0" applyNumberFormat="1" applyFont="1" applyFill="1" applyBorder="1" applyAlignment="1">
      <alignment horizontal="right" vertical="center"/>
    </xf>
    <xf numFmtId="166" fontId="16" fillId="8" borderId="18" xfId="0" applyNumberFormat="1" applyFont="1" applyFill="1" applyBorder="1" applyAlignment="1">
      <alignment horizontal="left" indent="1"/>
    </xf>
    <xf numFmtId="166" fontId="12" fillId="8" borderId="15" xfId="0" applyNumberFormat="1" applyFont="1" applyFill="1" applyBorder="1" applyAlignment="1">
      <alignment horizontal="right" vertical="center"/>
    </xf>
    <xf numFmtId="166" fontId="13" fillId="2" borderId="1" xfId="0" applyNumberFormat="1" applyFont="1" applyFill="1" applyBorder="1" applyAlignment="1">
      <alignment horizontal="right" vertical="center"/>
    </xf>
    <xf numFmtId="0" fontId="19" fillId="0" borderId="9" xfId="0" applyFont="1" applyBorder="1"/>
    <xf numFmtId="166" fontId="18" fillId="10" borderId="28" xfId="0" applyNumberFormat="1" applyFont="1" applyFill="1" applyBorder="1" applyAlignment="1">
      <alignment horizontal="right" vertical="center"/>
    </xf>
    <xf numFmtId="0" fontId="20" fillId="5" borderId="27" xfId="0" applyFont="1" applyFill="1" applyBorder="1" applyAlignment="1">
      <alignment horizontal="center"/>
    </xf>
    <xf numFmtId="0" fontId="21" fillId="0" borderId="0" xfId="0" applyFont="1" applyAlignment="1">
      <alignment horizontal="left" vertical="center" indent="3"/>
    </xf>
    <xf numFmtId="9" fontId="13" fillId="0" borderId="15" xfId="4" applyFont="1" applyBorder="1"/>
    <xf numFmtId="0" fontId="13" fillId="0" borderId="18" xfId="0" applyFont="1" applyBorder="1"/>
    <xf numFmtId="0" fontId="22" fillId="0" borderId="20" xfId="0" applyFont="1" applyBorder="1" applyAlignment="1">
      <alignment horizontal="left" vertical="center" indent="3"/>
    </xf>
    <xf numFmtId="9" fontId="13" fillId="0" borderId="21" xfId="0" applyNumberFormat="1" applyFont="1" applyBorder="1"/>
    <xf numFmtId="0" fontId="13" fillId="0" borderId="24" xfId="0" applyFont="1" applyBorder="1"/>
    <xf numFmtId="9" fontId="13" fillId="0" borderId="25" xfId="4" applyFont="1" applyBorder="1"/>
    <xf numFmtId="166" fontId="13" fillId="0" borderId="26" xfId="0" applyNumberFormat="1" applyFont="1" applyBorder="1"/>
    <xf numFmtId="0" fontId="7" fillId="11" borderId="23" xfId="0" applyFont="1" applyFill="1" applyBorder="1" applyAlignment="1">
      <alignment horizontal="center"/>
    </xf>
    <xf numFmtId="1" fontId="7" fillId="11" borderId="12" xfId="0" applyNumberFormat="1" applyFont="1" applyFill="1" applyBorder="1" applyAlignment="1">
      <alignment horizontal="center"/>
    </xf>
    <xf numFmtId="0" fontId="7" fillId="11" borderId="13" xfId="0" applyFont="1" applyFill="1" applyBorder="1" applyAlignment="1">
      <alignment horizontal="center"/>
    </xf>
    <xf numFmtId="166" fontId="7" fillId="0" borderId="22" xfId="0" applyNumberFormat="1" applyFont="1" applyBorder="1"/>
    <xf numFmtId="167" fontId="14" fillId="6" borderId="11" xfId="0" applyNumberFormat="1" applyFont="1" applyFill="1" applyBorder="1"/>
    <xf numFmtId="167" fontId="14" fillId="6" borderId="3" xfId="0" applyNumberFormat="1" applyFont="1" applyFill="1" applyBorder="1"/>
    <xf numFmtId="166" fontId="18" fillId="10" borderId="27" xfId="0" applyNumberFormat="1" applyFont="1" applyFill="1" applyBorder="1"/>
    <xf numFmtId="0" fontId="7" fillId="11" borderId="30" xfId="0" applyFont="1" applyFill="1" applyBorder="1" applyAlignment="1">
      <alignment horizontal="center"/>
    </xf>
    <xf numFmtId="0" fontId="0" fillId="0" borderId="15" xfId="0" applyBorder="1"/>
    <xf numFmtId="0" fontId="0" fillId="0" borderId="31" xfId="0" applyBorder="1"/>
    <xf numFmtId="166" fontId="18" fillId="6" borderId="7" xfId="0" applyNumberFormat="1" applyFont="1" applyFill="1" applyBorder="1"/>
    <xf numFmtId="168" fontId="18" fillId="6" borderId="6" xfId="4" applyNumberFormat="1" applyFont="1" applyFill="1" applyBorder="1"/>
    <xf numFmtId="169" fontId="24" fillId="9" borderId="0" xfId="6" applyNumberFormat="1" applyFont="1" applyFill="1" applyBorder="1" applyAlignment="1">
      <alignment horizontal="center" vertical="center"/>
    </xf>
    <xf numFmtId="0" fontId="25" fillId="0" borderId="0" xfId="5" applyFont="1"/>
    <xf numFmtId="0" fontId="24" fillId="12" borderId="20" xfId="5" applyFont="1" applyFill="1" applyBorder="1" applyAlignment="1">
      <alignment horizontal="center" vertical="center"/>
    </xf>
    <xf numFmtId="4" fontId="24" fillId="9" borderId="0" xfId="6" applyNumberFormat="1" applyFont="1" applyFill="1" applyBorder="1" applyAlignment="1">
      <alignment horizontal="center" vertical="center" wrapText="1"/>
    </xf>
    <xf numFmtId="4" fontId="25" fillId="10" borderId="0" xfId="6" applyNumberFormat="1" applyFont="1" applyFill="1" applyBorder="1"/>
    <xf numFmtId="0" fontId="26" fillId="0" borderId="0" xfId="5" applyFont="1"/>
    <xf numFmtId="4" fontId="25" fillId="0" borderId="0" xfId="6" applyNumberFormat="1" applyFont="1" applyBorder="1"/>
    <xf numFmtId="0" fontId="25" fillId="0" borderId="0" xfId="5" applyFont="1" applyAlignment="1">
      <alignment horizontal="center"/>
    </xf>
    <xf numFmtId="1" fontId="25" fillId="0" borderId="0" xfId="5" applyNumberFormat="1" applyFont="1"/>
    <xf numFmtId="4" fontId="25" fillId="0" borderId="0" xfId="5" applyNumberFormat="1" applyFont="1"/>
    <xf numFmtId="169" fontId="24" fillId="9" borderId="15" xfId="6" applyNumberFormat="1" applyFont="1" applyFill="1" applyBorder="1" applyAlignment="1">
      <alignment vertical="center" wrapText="1"/>
    </xf>
    <xf numFmtId="169" fontId="25" fillId="0" borderId="0" xfId="5" applyNumberFormat="1" applyFont="1"/>
    <xf numFmtId="0" fontId="25" fillId="0" borderId="15" xfId="5" applyFont="1" applyBorder="1" applyAlignment="1">
      <alignment horizontal="center"/>
    </xf>
    <xf numFmtId="0" fontId="25" fillId="0" borderId="15" xfId="5" applyFont="1" applyBorder="1"/>
    <xf numFmtId="170" fontId="25" fillId="13" borderId="15" xfId="6" quotePrefix="1" applyNumberFormat="1" applyFont="1" applyFill="1" applyBorder="1"/>
    <xf numFmtId="171" fontId="25" fillId="0" borderId="0" xfId="5" applyNumberFormat="1" applyFont="1"/>
    <xf numFmtId="0" fontId="27" fillId="0" borderId="0" xfId="5" applyFont="1"/>
    <xf numFmtId="4" fontId="28" fillId="0" borderId="0" xfId="5" applyNumberFormat="1" applyFont="1"/>
    <xf numFmtId="169" fontId="25" fillId="13" borderId="15" xfId="6" quotePrefix="1" applyNumberFormat="1" applyFont="1" applyFill="1" applyBorder="1"/>
    <xf numFmtId="4" fontId="27" fillId="0" borderId="0" xfId="5" applyNumberFormat="1" applyFont="1"/>
    <xf numFmtId="4" fontId="28" fillId="0" borderId="29" xfId="5" applyNumberFormat="1" applyFont="1" applyBorder="1"/>
    <xf numFmtId="0" fontId="10" fillId="4" borderId="15" xfId="0" applyFont="1" applyFill="1" applyBorder="1" applyAlignment="1">
      <alignment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7" fillId="0" borderId="0" xfId="8" applyFont="1"/>
    <xf numFmtId="0" fontId="6" fillId="0" borderId="0" xfId="8" applyFont="1"/>
    <xf numFmtId="0" fontId="29" fillId="7" borderId="23" xfId="8" applyFont="1" applyFill="1" applyBorder="1" applyAlignment="1">
      <alignment horizontal="center" vertical="center"/>
    </xf>
    <xf numFmtId="0" fontId="29" fillId="7" borderId="12" xfId="8" applyFont="1" applyFill="1" applyBorder="1" applyAlignment="1">
      <alignment horizontal="center" vertical="center"/>
    </xf>
    <xf numFmtId="0" fontId="29" fillId="7" borderId="13" xfId="8" applyFont="1" applyFill="1" applyBorder="1" applyAlignment="1">
      <alignment horizontal="center" vertical="center"/>
    </xf>
    <xf numFmtId="0" fontId="6" fillId="0" borderId="16" xfId="8" applyFont="1" applyBorder="1" applyAlignment="1">
      <alignment horizontal="center"/>
    </xf>
    <xf numFmtId="0" fontId="30" fillId="0" borderId="17" xfId="8" applyFont="1" applyBorder="1"/>
    <xf numFmtId="167" fontId="13" fillId="0" borderId="0" xfId="0" applyNumberFormat="1" applyFont="1"/>
    <xf numFmtId="0" fontId="6" fillId="0" borderId="18" xfId="8" applyFont="1" applyBorder="1" applyAlignment="1">
      <alignment horizontal="center"/>
    </xf>
    <xf numFmtId="0" fontId="30" fillId="0" borderId="15" xfId="8" applyFont="1" applyBorder="1"/>
    <xf numFmtId="167" fontId="6" fillId="0" borderId="19" xfId="8" applyNumberFormat="1" applyFont="1" applyBorder="1"/>
    <xf numFmtId="0" fontId="6" fillId="0" borderId="20" xfId="8" applyFont="1" applyBorder="1" applyAlignment="1">
      <alignment horizontal="center"/>
    </xf>
    <xf numFmtId="0" fontId="30" fillId="0" borderId="21" xfId="8" applyFont="1" applyBorder="1"/>
    <xf numFmtId="167" fontId="6" fillId="0" borderId="22" xfId="8" applyNumberFormat="1" applyFont="1" applyBorder="1"/>
    <xf numFmtId="0" fontId="7" fillId="5" borderId="24" xfId="8" applyFont="1" applyFill="1" applyBorder="1" applyAlignment="1">
      <alignment horizontal="center"/>
    </xf>
    <xf numFmtId="0" fontId="7" fillId="5" borderId="25" xfId="8" applyFont="1" applyFill="1" applyBorder="1" applyAlignment="1">
      <alignment horizontal="left" indent="1"/>
    </xf>
    <xf numFmtId="167" fontId="29" fillId="5" borderId="26" xfId="8" applyNumberFormat="1" applyFont="1" applyFill="1" applyBorder="1"/>
    <xf numFmtId="0" fontId="7" fillId="5" borderId="18" xfId="8" applyFont="1" applyFill="1" applyBorder="1" applyAlignment="1">
      <alignment horizontal="center"/>
    </xf>
    <xf numFmtId="0" fontId="7" fillId="5" borderId="15" xfId="8" applyFont="1" applyFill="1" applyBorder="1" applyAlignment="1">
      <alignment horizontal="left" indent="1"/>
    </xf>
    <xf numFmtId="167" fontId="29" fillId="5" borderId="19" xfId="8" applyNumberFormat="1" applyFont="1" applyFill="1" applyBorder="1"/>
    <xf numFmtId="0" fontId="18" fillId="10" borderId="20" xfId="8" applyFont="1" applyFill="1" applyBorder="1" applyAlignment="1">
      <alignment horizontal="center"/>
    </xf>
    <xf numFmtId="0" fontId="18" fillId="10" borderId="21" xfId="8" applyFont="1" applyFill="1" applyBorder="1" applyAlignment="1">
      <alignment horizontal="left" indent="1"/>
    </xf>
    <xf numFmtId="167" fontId="18" fillId="10" borderId="22" xfId="8" applyNumberFormat="1" applyFont="1" applyFill="1" applyBorder="1"/>
    <xf numFmtId="3" fontId="6" fillId="0" borderId="0" xfId="8" applyNumberFormat="1" applyFont="1"/>
    <xf numFmtId="43" fontId="13" fillId="0" borderId="0" xfId="7" applyFont="1"/>
    <xf numFmtId="43" fontId="13" fillId="0" borderId="0" xfId="0" applyNumberFormat="1" applyFont="1"/>
    <xf numFmtId="166" fontId="31" fillId="6" borderId="7" xfId="0" applyNumberFormat="1" applyFont="1" applyFill="1" applyBorder="1"/>
    <xf numFmtId="167" fontId="31" fillId="6" borderId="6" xfId="0" applyNumberFormat="1" applyFont="1" applyFill="1" applyBorder="1"/>
    <xf numFmtId="0" fontId="24" fillId="12" borderId="21" xfId="5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0" fillId="4" borderId="33" xfId="0" applyFont="1" applyFill="1" applyBorder="1" applyAlignment="1">
      <alignment vertical="center" wrapText="1"/>
    </xf>
    <xf numFmtId="0" fontId="10" fillId="4" borderId="36" xfId="0" applyFont="1" applyFill="1" applyBorder="1" applyAlignment="1">
      <alignment vertical="center" wrapText="1"/>
    </xf>
    <xf numFmtId="0" fontId="10" fillId="4" borderId="17" xfId="0" applyFont="1" applyFill="1" applyBorder="1" applyAlignment="1">
      <alignment vertical="center" wrapText="1"/>
    </xf>
    <xf numFmtId="0" fontId="10" fillId="4" borderId="17" xfId="0" applyFont="1" applyFill="1" applyBorder="1" applyAlignment="1">
      <alignment horizontal="center" vertical="center" wrapText="1"/>
    </xf>
    <xf numFmtId="0" fontId="10" fillId="4" borderId="35" xfId="0" applyFont="1" applyFill="1" applyBorder="1" applyAlignment="1">
      <alignment vertical="center" wrapText="1"/>
    </xf>
    <xf numFmtId="0" fontId="10" fillId="4" borderId="19" xfId="0" applyFont="1" applyFill="1" applyBorder="1" applyAlignment="1">
      <alignment vertical="center" wrapText="1"/>
    </xf>
    <xf numFmtId="0" fontId="10" fillId="4" borderId="39" xfId="0" applyFont="1" applyFill="1" applyBorder="1" applyAlignment="1">
      <alignment vertical="center" wrapText="1"/>
    </xf>
    <xf numFmtId="0" fontId="0" fillId="0" borderId="0" xfId="0" applyAlignment="1">
      <alignment horizontal="right"/>
    </xf>
    <xf numFmtId="0" fontId="33" fillId="0" borderId="0" xfId="8" applyFont="1"/>
    <xf numFmtId="43" fontId="26" fillId="0" borderId="0" xfId="7" applyFont="1"/>
    <xf numFmtId="0" fontId="39" fillId="16" borderId="40" xfId="0" applyFont="1" applyFill="1" applyBorder="1" applyAlignment="1">
      <alignment horizontal="center" vertical="center" wrapText="1"/>
    </xf>
    <xf numFmtId="0" fontId="40" fillId="16" borderId="41" xfId="0" applyFont="1" applyFill="1" applyBorder="1" applyAlignment="1">
      <alignment horizontal="center" vertical="center" textRotation="45" wrapText="1"/>
    </xf>
    <xf numFmtId="0" fontId="41" fillId="17" borderId="41" xfId="0" applyFont="1" applyFill="1" applyBorder="1" applyAlignment="1">
      <alignment horizontal="center" vertical="center" textRotation="45" wrapText="1"/>
    </xf>
    <xf numFmtId="0" fontId="42" fillId="18" borderId="42" xfId="0" applyFont="1" applyFill="1" applyBorder="1" applyAlignment="1">
      <alignment horizontal="center" textRotation="45" wrapText="1"/>
    </xf>
    <xf numFmtId="0" fontId="42" fillId="18" borderId="43" xfId="0" applyFont="1" applyFill="1" applyBorder="1" applyAlignment="1">
      <alignment horizontal="center" textRotation="45" wrapText="1"/>
    </xf>
    <xf numFmtId="0" fontId="42" fillId="19" borderId="44" xfId="0" applyFont="1" applyFill="1" applyBorder="1" applyAlignment="1">
      <alignment horizontal="center" textRotation="45" wrapText="1"/>
    </xf>
    <xf numFmtId="0" fontId="43" fillId="16" borderId="45" xfId="0" applyFont="1" applyFill="1" applyBorder="1" applyAlignment="1">
      <alignment horizontal="center" vertical="center" wrapText="1"/>
    </xf>
    <xf numFmtId="0" fontId="43" fillId="16" borderId="46" xfId="0" applyFont="1" applyFill="1" applyBorder="1" applyAlignment="1">
      <alignment horizontal="center" vertical="center" wrapText="1"/>
    </xf>
    <xf numFmtId="0" fontId="43" fillId="17" borderId="46" xfId="0" applyFont="1" applyFill="1" applyBorder="1" applyAlignment="1">
      <alignment horizontal="center" vertical="center" wrapText="1"/>
    </xf>
    <xf numFmtId="0" fontId="44" fillId="20" borderId="47" xfId="0" applyFont="1" applyFill="1" applyBorder="1" applyAlignment="1">
      <alignment horizontal="center" vertical="center"/>
    </xf>
    <xf numFmtId="0" fontId="44" fillId="20" borderId="48" xfId="0" applyFont="1" applyFill="1" applyBorder="1" applyAlignment="1">
      <alignment horizontal="center" vertical="center"/>
    </xf>
    <xf numFmtId="0" fontId="44" fillId="21" borderId="49" xfId="0" applyFont="1" applyFill="1" applyBorder="1" applyAlignment="1">
      <alignment horizontal="center" vertical="center"/>
    </xf>
    <xf numFmtId="0" fontId="43" fillId="22" borderId="5" xfId="0" applyFont="1" applyFill="1" applyBorder="1" applyAlignment="1">
      <alignment horizontal="center" vertical="center" wrapText="1"/>
    </xf>
    <xf numFmtId="0" fontId="43" fillId="16" borderId="0" xfId="0" applyFont="1" applyFill="1" applyAlignment="1">
      <alignment horizontal="center" vertical="center" wrapText="1"/>
    </xf>
    <xf numFmtId="0" fontId="43" fillId="17" borderId="0" xfId="0" applyFont="1" applyFill="1" applyAlignment="1">
      <alignment horizontal="center" vertical="center" wrapText="1"/>
    </xf>
    <xf numFmtId="172" fontId="45" fillId="23" borderId="18" xfId="5" applyNumberFormat="1" applyFont="1" applyFill="1" applyBorder="1" applyAlignment="1">
      <alignment horizontal="center" vertical="center"/>
    </xf>
    <xf numFmtId="172" fontId="45" fillId="15" borderId="3" xfId="5" applyNumberFormat="1" applyFont="1" applyFill="1" applyBorder="1" applyAlignment="1">
      <alignment horizontal="center" vertical="center"/>
    </xf>
    <xf numFmtId="0" fontId="44" fillId="18" borderId="50" xfId="0" applyFont="1" applyFill="1" applyBorder="1" applyAlignment="1">
      <alignment horizontal="center" wrapText="1"/>
    </xf>
    <xf numFmtId="0" fontId="44" fillId="18" borderId="51" xfId="0" applyFont="1" applyFill="1" applyBorder="1" applyAlignment="1">
      <alignment horizontal="center" wrapText="1"/>
    </xf>
    <xf numFmtId="0" fontId="0" fillId="18" borderId="51" xfId="0" applyFill="1" applyBorder="1"/>
    <xf numFmtId="0" fontId="0" fillId="19" borderId="49" xfId="0" applyFill="1" applyBorder="1"/>
    <xf numFmtId="0" fontId="0" fillId="24" borderId="45" xfId="0" applyFill="1" applyBorder="1" applyAlignment="1">
      <alignment wrapText="1"/>
    </xf>
    <xf numFmtId="0" fontId="0" fillId="16" borderId="46" xfId="0" applyFill="1" applyBorder="1" applyAlignment="1">
      <alignment wrapText="1"/>
    </xf>
    <xf numFmtId="0" fontId="0" fillId="17" borderId="46" xfId="0" applyFill="1" applyBorder="1" applyAlignment="1">
      <alignment wrapText="1"/>
    </xf>
    <xf numFmtId="0" fontId="0" fillId="0" borderId="52" xfId="0" applyBorder="1"/>
    <xf numFmtId="0" fontId="0" fillId="0" borderId="53" xfId="0" applyBorder="1"/>
    <xf numFmtId="0" fontId="0" fillId="15" borderId="54" xfId="0" applyFill="1" applyBorder="1"/>
    <xf numFmtId="0" fontId="0" fillId="24" borderId="50" xfId="0" applyFill="1" applyBorder="1" applyAlignment="1">
      <alignment wrapText="1"/>
    </xf>
    <xf numFmtId="0" fontId="0" fillId="16" borderId="51" xfId="0" applyFill="1" applyBorder="1" applyAlignment="1">
      <alignment wrapText="1"/>
    </xf>
    <xf numFmtId="0" fontId="0" fillId="17" borderId="51" xfId="0" applyFill="1" applyBorder="1" applyAlignment="1">
      <alignment wrapText="1"/>
    </xf>
    <xf numFmtId="0" fontId="0" fillId="0" borderId="47" xfId="0" applyBorder="1"/>
    <xf numFmtId="0" fontId="0" fillId="0" borderId="48" xfId="0" applyBorder="1"/>
    <xf numFmtId="0" fontId="0" fillId="15" borderId="49" xfId="0" applyFill="1" applyBorder="1"/>
    <xf numFmtId="0" fontId="44" fillId="16" borderId="51" xfId="0" applyFont="1" applyFill="1" applyBorder="1" applyAlignment="1">
      <alignment horizontal="center" wrapText="1"/>
    </xf>
    <xf numFmtId="0" fontId="44" fillId="17" borderId="51" xfId="0" applyFont="1" applyFill="1" applyBorder="1" applyAlignment="1">
      <alignment horizontal="center" wrapText="1"/>
    </xf>
    <xf numFmtId="172" fontId="44" fillId="18" borderId="51" xfId="0" applyNumberFormat="1" applyFont="1" applyFill="1" applyBorder="1" applyAlignment="1">
      <alignment horizontal="center" wrapText="1"/>
    </xf>
    <xf numFmtId="0" fontId="0" fillId="0" borderId="55" xfId="0" applyBorder="1" applyAlignment="1">
      <alignment wrapText="1"/>
    </xf>
    <xf numFmtId="0" fontId="0" fillId="0" borderId="50" xfId="0" applyBorder="1" applyAlignment="1">
      <alignment wrapText="1"/>
    </xf>
    <xf numFmtId="0" fontId="44" fillId="18" borderId="56" xfId="0" applyFont="1" applyFill="1" applyBorder="1" applyAlignment="1">
      <alignment horizontal="center" wrapText="1"/>
    </xf>
    <xf numFmtId="0" fontId="44" fillId="18" borderId="57" xfId="0" applyFont="1" applyFill="1" applyBorder="1" applyAlignment="1">
      <alignment horizontal="center" wrapText="1"/>
    </xf>
    <xf numFmtId="0" fontId="0" fillId="18" borderId="57" xfId="0" applyFill="1" applyBorder="1"/>
    <xf numFmtId="0" fontId="0" fillId="19" borderId="58" xfId="0" applyFill="1" applyBorder="1"/>
    <xf numFmtId="0" fontId="36" fillId="26" borderId="50" xfId="0" applyFont="1" applyFill="1" applyBorder="1" applyAlignment="1">
      <alignment wrapText="1"/>
    </xf>
    <xf numFmtId="0" fontId="36" fillId="26" borderId="51" xfId="0" applyFont="1" applyFill="1" applyBorder="1" applyAlignment="1">
      <alignment wrapText="1"/>
    </xf>
    <xf numFmtId="172" fontId="44" fillId="27" borderId="51" xfId="0" applyNumberFormat="1" applyFont="1" applyFill="1" applyBorder="1" applyAlignment="1">
      <alignment horizontal="center" wrapText="1"/>
    </xf>
    <xf numFmtId="2" fontId="46" fillId="26" borderId="51" xfId="0" applyNumberFormat="1" applyFont="1" applyFill="1" applyBorder="1"/>
    <xf numFmtId="172" fontId="46" fillId="25" borderId="49" xfId="0" applyNumberFormat="1" applyFont="1" applyFill="1" applyBorder="1"/>
    <xf numFmtId="0" fontId="38" fillId="0" borderId="59" xfId="0" quotePrefix="1" applyFont="1" applyBorder="1" applyAlignment="1">
      <alignment vertical="center"/>
    </xf>
    <xf numFmtId="0" fontId="37" fillId="0" borderId="47" xfId="0" applyFont="1" applyBorder="1" applyAlignment="1">
      <alignment vertical="top"/>
    </xf>
    <xf numFmtId="0" fontId="47" fillId="26" borderId="50" xfId="0" applyFont="1" applyFill="1" applyBorder="1" applyAlignment="1">
      <alignment wrapText="1"/>
    </xf>
    <xf numFmtId="0" fontId="48" fillId="0" borderId="50" xfId="0" applyFont="1" applyBorder="1" applyAlignment="1">
      <alignment wrapText="1"/>
    </xf>
    <xf numFmtId="0" fontId="46" fillId="15" borderId="49" xfId="0" applyFont="1" applyFill="1" applyBorder="1"/>
    <xf numFmtId="0" fontId="46" fillId="15" borderId="54" xfId="0" applyFont="1" applyFill="1" applyBorder="1"/>
    <xf numFmtId="0" fontId="49" fillId="0" borderId="48" xfId="0" applyFont="1" applyBorder="1"/>
    <xf numFmtId="0" fontId="0" fillId="22" borderId="50" xfId="0" quotePrefix="1" applyFill="1" applyBorder="1" applyAlignment="1">
      <alignment wrapText="1"/>
    </xf>
    <xf numFmtId="0" fontId="0" fillId="18" borderId="58" xfId="0" applyFill="1" applyBorder="1"/>
    <xf numFmtId="0" fontId="0" fillId="0" borderId="56" xfId="0" applyBorder="1" applyAlignment="1">
      <alignment wrapText="1"/>
    </xf>
    <xf numFmtId="0" fontId="0" fillId="16" borderId="57" xfId="0" applyFill="1" applyBorder="1" applyAlignment="1">
      <alignment wrapText="1"/>
    </xf>
    <xf numFmtId="0" fontId="0" fillId="17" borderId="57" xfId="0" applyFill="1" applyBorder="1" applyAlignment="1">
      <alignment wrapText="1"/>
    </xf>
    <xf numFmtId="0" fontId="0" fillId="0" borderId="60" xfId="0" applyBorder="1"/>
    <xf numFmtId="0" fontId="0" fillId="0" borderId="61" xfId="0" applyBorder="1"/>
    <xf numFmtId="0" fontId="0" fillId="15" borderId="58" xfId="0" applyFill="1" applyBorder="1"/>
    <xf numFmtId="0" fontId="36" fillId="26" borderId="56" xfId="0" applyFont="1" applyFill="1" applyBorder="1" applyAlignment="1">
      <alignment wrapText="1"/>
    </xf>
    <xf numFmtId="0" fontId="36" fillId="26" borderId="57" xfId="0" applyFont="1" applyFill="1" applyBorder="1" applyAlignment="1">
      <alignment wrapText="1"/>
    </xf>
    <xf numFmtId="0" fontId="36" fillId="28" borderId="57" xfId="0" applyFont="1" applyFill="1" applyBorder="1" applyAlignment="1">
      <alignment wrapText="1"/>
    </xf>
    <xf numFmtId="0" fontId="0" fillId="26" borderId="57" xfId="0" applyFill="1" applyBorder="1"/>
    <xf numFmtId="0" fontId="0" fillId="26" borderId="58" xfId="0" applyFill="1" applyBorder="1"/>
    <xf numFmtId="0" fontId="0" fillId="0" borderId="62" xfId="0" applyBorder="1" applyAlignment="1">
      <alignment wrapText="1"/>
    </xf>
    <xf numFmtId="0" fontId="0" fillId="16" borderId="63" xfId="0" applyFill="1" applyBorder="1" applyAlignment="1">
      <alignment wrapText="1"/>
    </xf>
    <xf numFmtId="0" fontId="0" fillId="17" borderId="32" xfId="0" applyFill="1" applyBorder="1" applyAlignment="1">
      <alignment wrapText="1"/>
    </xf>
    <xf numFmtId="2" fontId="0" fillId="0" borderId="64" xfId="0" applyNumberFormat="1" applyBorder="1"/>
    <xf numFmtId="2" fontId="0" fillId="0" borderId="65" xfId="0" applyNumberFormat="1" applyBorder="1"/>
    <xf numFmtId="2" fontId="0" fillId="0" borderId="11" xfId="0" applyNumberFormat="1" applyBorder="1"/>
    <xf numFmtId="0" fontId="0" fillId="15" borderId="11" xfId="0" applyFill="1" applyBorder="1"/>
    <xf numFmtId="0" fontId="50" fillId="26" borderId="38" xfId="0" applyFont="1" applyFill="1" applyBorder="1" applyAlignment="1">
      <alignment wrapText="1"/>
    </xf>
    <xf numFmtId="0" fontId="51" fillId="16" borderId="66" xfId="0" applyFont="1" applyFill="1" applyBorder="1" applyAlignment="1">
      <alignment wrapText="1"/>
    </xf>
    <xf numFmtId="0" fontId="0" fillId="29" borderId="38" xfId="0" applyFill="1" applyBorder="1"/>
    <xf numFmtId="172" fontId="45" fillId="0" borderId="23" xfId="5" applyNumberFormat="1" applyFont="1" applyBorder="1" applyAlignment="1">
      <alignment horizontal="center" vertical="center"/>
    </xf>
    <xf numFmtId="172" fontId="45" fillId="0" borderId="27" xfId="5" applyNumberFormat="1" applyFont="1" applyBorder="1" applyAlignment="1">
      <alignment horizontal="center" vertical="center"/>
    </xf>
    <xf numFmtId="0" fontId="0" fillId="15" borderId="67" xfId="0" applyFill="1" applyBorder="1"/>
    <xf numFmtId="0" fontId="51" fillId="16" borderId="68" xfId="0" applyFont="1" applyFill="1" applyBorder="1" applyAlignment="1">
      <alignment wrapText="1"/>
    </xf>
    <xf numFmtId="172" fontId="52" fillId="5" borderId="23" xfId="5" applyNumberFormat="1" applyFont="1" applyFill="1" applyBorder="1" applyAlignment="1">
      <alignment horizontal="center" vertical="center"/>
    </xf>
    <xf numFmtId="0" fontId="0" fillId="0" borderId="66" xfId="0" applyBorder="1"/>
    <xf numFmtId="172" fontId="45" fillId="23" borderId="10" xfId="5" applyNumberFormat="1" applyFont="1" applyFill="1" applyBorder="1" applyAlignment="1">
      <alignment horizontal="center" vertical="center"/>
    </xf>
    <xf numFmtId="173" fontId="51" fillId="0" borderId="66" xfId="0" applyNumberFormat="1" applyFont="1" applyBorder="1"/>
    <xf numFmtId="0" fontId="53" fillId="0" borderId="0" xfId="0" applyFont="1" applyAlignment="1">
      <alignment wrapText="1"/>
    </xf>
    <xf numFmtId="0" fontId="0" fillId="15" borderId="0" xfId="0" applyFill="1"/>
    <xf numFmtId="0" fontId="0" fillId="29" borderId="0" xfId="0" applyFill="1"/>
    <xf numFmtId="0" fontId="10" fillId="4" borderId="9" xfId="0" applyFont="1" applyFill="1" applyBorder="1" applyAlignment="1">
      <alignment vertical="center" wrapText="1"/>
    </xf>
    <xf numFmtId="0" fontId="10" fillId="4" borderId="33" xfId="0" applyFont="1" applyFill="1" applyBorder="1" applyAlignment="1">
      <alignment horizontal="center" vertical="center" wrapText="1"/>
    </xf>
    <xf numFmtId="0" fontId="10" fillId="4" borderId="37" xfId="0" applyFont="1" applyFill="1" applyBorder="1" applyAlignment="1">
      <alignment vertical="center" wrapText="1"/>
    </xf>
    <xf numFmtId="0" fontId="37" fillId="0" borderId="25" xfId="0" applyFont="1" applyBorder="1" applyAlignment="1">
      <alignment vertical="top"/>
    </xf>
    <xf numFmtId="0" fontId="37" fillId="0" borderId="21" xfId="0" applyFont="1" applyBorder="1" applyAlignment="1">
      <alignment vertical="top"/>
    </xf>
    <xf numFmtId="4" fontId="0" fillId="0" borderId="0" xfId="0" applyNumberFormat="1"/>
    <xf numFmtId="0" fontId="10" fillId="4" borderId="25" xfId="0" applyFont="1" applyFill="1" applyBorder="1" applyAlignment="1">
      <alignment horizontal="center" vertical="center" wrapText="1"/>
    </xf>
    <xf numFmtId="0" fontId="10" fillId="4" borderId="26" xfId="0" applyFont="1" applyFill="1" applyBorder="1" applyAlignment="1">
      <alignment horizontal="center" vertical="center" wrapText="1"/>
    </xf>
    <xf numFmtId="43" fontId="0" fillId="0" borderId="0" xfId="7" applyFont="1"/>
    <xf numFmtId="43" fontId="0" fillId="0" borderId="0" xfId="0" applyNumberFormat="1"/>
    <xf numFmtId="0" fontId="9" fillId="0" borderId="34" xfId="0" quotePrefix="1" applyFont="1" applyBorder="1" applyAlignment="1">
      <alignment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4" borderId="70" xfId="0" applyFont="1" applyFill="1" applyBorder="1" applyAlignment="1">
      <alignment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4" borderId="22" xfId="0" applyFont="1" applyFill="1" applyBorder="1" applyAlignment="1">
      <alignment horizontal="center" vertical="center" wrapText="1"/>
    </xf>
    <xf numFmtId="0" fontId="1" fillId="0" borderId="15" xfId="5" applyFont="1" applyBorder="1"/>
    <xf numFmtId="167" fontId="0" fillId="0" borderId="0" xfId="0" applyNumberFormat="1"/>
    <xf numFmtId="0" fontId="37" fillId="0" borderId="33" xfId="0" applyFont="1" applyBorder="1" applyAlignment="1">
      <alignment vertical="top"/>
    </xf>
    <xf numFmtId="0" fontId="10" fillId="0" borderId="33" xfId="0" applyFont="1" applyBorder="1" applyAlignment="1">
      <alignment vertical="center" wrapText="1"/>
    </xf>
    <xf numFmtId="0" fontId="10" fillId="0" borderId="37" xfId="0" applyFont="1" applyBorder="1" applyAlignment="1">
      <alignment vertical="center" wrapText="1"/>
    </xf>
    <xf numFmtId="0" fontId="10" fillId="0" borderId="69" xfId="0" quotePrefix="1" applyFont="1" applyBorder="1" applyAlignment="1">
      <alignment vertical="center" wrapText="1"/>
    </xf>
    <xf numFmtId="0" fontId="10" fillId="0" borderId="34" xfId="0" quotePrefix="1" applyFont="1" applyBorder="1" applyAlignment="1">
      <alignment horizontal="left" vertical="center" wrapText="1"/>
    </xf>
    <xf numFmtId="0" fontId="10" fillId="0" borderId="39" xfId="0" quotePrefix="1" applyFont="1" applyBorder="1" applyAlignment="1">
      <alignment vertical="center" wrapText="1"/>
    </xf>
    <xf numFmtId="0" fontId="9" fillId="0" borderId="38" xfId="0" applyFont="1" applyBorder="1" applyAlignment="1">
      <alignment vertical="center" wrapText="1"/>
    </xf>
    <xf numFmtId="0" fontId="10" fillId="4" borderId="27" xfId="0" applyFont="1" applyFill="1" applyBorder="1" applyAlignment="1">
      <alignment horizontal="center" vertical="center" wrapText="1"/>
    </xf>
    <xf numFmtId="0" fontId="10" fillId="32" borderId="39" xfId="0" applyFont="1" applyFill="1" applyBorder="1" applyAlignment="1">
      <alignment vertical="center" wrapText="1"/>
    </xf>
    <xf numFmtId="0" fontId="10" fillId="0" borderId="33" xfId="0" applyFont="1" applyBorder="1" applyAlignment="1">
      <alignment horizontal="center" vertical="center" wrapText="1"/>
    </xf>
    <xf numFmtId="0" fontId="9" fillId="0" borderId="34" xfId="0" quotePrefix="1" applyFont="1" applyBorder="1" applyAlignment="1">
      <alignment horizontal="left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0" fillId="0" borderId="71" xfId="0" applyFont="1" applyBorder="1" applyAlignment="1">
      <alignment horizontal="center" vertical="center" wrapText="1"/>
    </xf>
    <xf numFmtId="0" fontId="10" fillId="0" borderId="71" xfId="0" applyFont="1" applyBorder="1" applyAlignment="1">
      <alignment vertical="center" wrapText="1"/>
    </xf>
    <xf numFmtId="0" fontId="10" fillId="0" borderId="72" xfId="0" applyFont="1" applyBorder="1" applyAlignment="1">
      <alignment vertical="center" wrapText="1"/>
    </xf>
    <xf numFmtId="0" fontId="9" fillId="4" borderId="8" xfId="0" applyFont="1" applyFill="1" applyBorder="1" applyAlignment="1">
      <alignment vertical="center" wrapText="1"/>
    </xf>
    <xf numFmtId="0" fontId="9" fillId="4" borderId="10" xfId="0" applyFont="1" applyFill="1" applyBorder="1" applyAlignment="1">
      <alignment vertical="center" wrapText="1"/>
    </xf>
    <xf numFmtId="0" fontId="23" fillId="0" borderId="18" xfId="0" applyFont="1" applyBorder="1" applyAlignment="1">
      <alignment horizontal="center" vertical="center" wrapText="1"/>
    </xf>
    <xf numFmtId="0" fontId="55" fillId="0" borderId="15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55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73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74" xfId="0" applyFont="1" applyBorder="1" applyAlignment="1">
      <alignment horizontal="center" vertical="center" wrapText="1"/>
    </xf>
    <xf numFmtId="0" fontId="56" fillId="0" borderId="74" xfId="0" applyFont="1" applyBorder="1" applyAlignment="1">
      <alignment horizontal="center" vertical="center"/>
    </xf>
    <xf numFmtId="0" fontId="56" fillId="0" borderId="33" xfId="0" applyFont="1" applyBorder="1" applyAlignment="1">
      <alignment horizontal="center" vertical="center"/>
    </xf>
    <xf numFmtId="0" fontId="56" fillId="0" borderId="15" xfId="0" applyFont="1" applyBorder="1" applyAlignment="1">
      <alignment horizontal="center" vertical="center"/>
    </xf>
    <xf numFmtId="0" fontId="23" fillId="0" borderId="75" xfId="0" applyFont="1" applyBorder="1" applyAlignment="1">
      <alignment horizontal="center" vertical="center" wrapText="1"/>
    </xf>
    <xf numFmtId="0" fontId="23" fillId="0" borderId="71" xfId="0" applyFont="1" applyBorder="1" applyAlignment="1">
      <alignment horizontal="center" vertical="center" wrapText="1"/>
    </xf>
    <xf numFmtId="0" fontId="56" fillId="0" borderId="24" xfId="0" applyFont="1" applyBorder="1" applyAlignment="1">
      <alignment horizontal="center" vertical="center"/>
    </xf>
    <xf numFmtId="0" fontId="56" fillId="0" borderId="25" xfId="0" applyFont="1" applyBorder="1" applyAlignment="1">
      <alignment horizontal="center" vertical="center"/>
    </xf>
    <xf numFmtId="0" fontId="56" fillId="0" borderId="20" xfId="0" applyFont="1" applyBorder="1" applyAlignment="1">
      <alignment horizontal="center" vertical="center"/>
    </xf>
    <xf numFmtId="0" fontId="56" fillId="0" borderId="21" xfId="0" applyFont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9" fillId="37" borderId="81" xfId="0" applyFont="1" applyFill="1" applyBorder="1" applyAlignment="1">
      <alignment horizontal="center"/>
    </xf>
    <xf numFmtId="0" fontId="19" fillId="37" borderId="82" xfId="0" applyFont="1" applyFill="1" applyBorder="1" applyAlignment="1">
      <alignment horizontal="center"/>
    </xf>
    <xf numFmtId="0" fontId="58" fillId="37" borderId="78" xfId="0" applyFont="1" applyFill="1" applyBorder="1" applyAlignment="1">
      <alignment horizontal="center"/>
    </xf>
    <xf numFmtId="0" fontId="19" fillId="37" borderId="78" xfId="0" applyFont="1" applyFill="1" applyBorder="1" applyAlignment="1">
      <alignment horizontal="center"/>
    </xf>
    <xf numFmtId="4" fontId="59" fillId="38" borderId="78" xfId="7" applyNumberFormat="1" applyFont="1" applyFill="1" applyBorder="1" applyAlignment="1">
      <alignment vertical="center"/>
    </xf>
    <xf numFmtId="0" fontId="0" fillId="0" borderId="83" xfId="0" applyBorder="1"/>
    <xf numFmtId="0" fontId="60" fillId="39" borderId="83" xfId="0" applyFont="1" applyFill="1" applyBorder="1" applyAlignment="1">
      <alignment horizontal="center" vertical="center"/>
    </xf>
    <xf numFmtId="0" fontId="60" fillId="39" borderId="84" xfId="0" applyFont="1" applyFill="1" applyBorder="1" applyAlignment="1">
      <alignment horizontal="center" vertical="center"/>
    </xf>
    <xf numFmtId="0" fontId="37" fillId="0" borderId="83" xfId="0" applyFont="1" applyBorder="1" applyAlignment="1">
      <alignment vertical="top"/>
    </xf>
    <xf numFmtId="0" fontId="37" fillId="0" borderId="78" xfId="0" applyFont="1" applyBorder="1" applyAlignment="1">
      <alignment vertical="top"/>
    </xf>
    <xf numFmtId="0" fontId="38" fillId="0" borderId="78" xfId="0" applyFont="1" applyBorder="1" applyAlignment="1">
      <alignment horizontal="center" vertical="center"/>
    </xf>
    <xf numFmtId="0" fontId="38" fillId="0" borderId="78" xfId="0" applyFont="1" applyBorder="1" applyAlignment="1">
      <alignment vertical="center"/>
    </xf>
    <xf numFmtId="0" fontId="0" fillId="0" borderId="78" xfId="0" applyBorder="1"/>
    <xf numFmtId="0" fontId="61" fillId="40" borderId="78" xfId="0" applyFont="1" applyFill="1" applyBorder="1" applyAlignment="1">
      <alignment horizontal="center" vertical="center"/>
    </xf>
    <xf numFmtId="0" fontId="62" fillId="0" borderId="78" xfId="0" applyFont="1" applyBorder="1" applyAlignment="1">
      <alignment horizontal="center" vertical="center"/>
    </xf>
    <xf numFmtId="0" fontId="63" fillId="0" borderId="78" xfId="0" applyFont="1" applyBorder="1" applyAlignment="1">
      <alignment vertical="center"/>
    </xf>
    <xf numFmtId="0" fontId="38" fillId="0" borderId="78" xfId="0" quotePrefix="1" applyFont="1" applyBorder="1" applyAlignment="1">
      <alignment vertical="center"/>
    </xf>
    <xf numFmtId="0" fontId="61" fillId="0" borderId="78" xfId="0" applyFont="1" applyBorder="1" applyAlignment="1">
      <alignment horizontal="center" vertical="center"/>
    </xf>
    <xf numFmtId="0" fontId="60" fillId="0" borderId="78" xfId="0" applyFont="1" applyBorder="1" applyAlignment="1">
      <alignment horizontal="center" vertical="center"/>
    </xf>
    <xf numFmtId="4" fontId="59" fillId="14" borderId="78" xfId="7" applyNumberFormat="1" applyFont="1" applyFill="1" applyBorder="1" applyAlignment="1">
      <alignment vertical="center"/>
    </xf>
    <xf numFmtId="0" fontId="0" fillId="0" borderId="86" xfId="0" applyBorder="1"/>
    <xf numFmtId="0" fontId="0" fillId="0" borderId="87" xfId="0" applyBorder="1"/>
    <xf numFmtId="4" fontId="59" fillId="41" borderId="78" xfId="7" applyNumberFormat="1" applyFont="1" applyFill="1" applyBorder="1" applyAlignment="1">
      <alignment vertical="center"/>
    </xf>
    <xf numFmtId="0" fontId="9" fillId="0" borderId="69" xfId="0" quotePrefix="1" applyFont="1" applyBorder="1" applyAlignment="1">
      <alignment vertical="center" wrapText="1"/>
    </xf>
    <xf numFmtId="0" fontId="10" fillId="0" borderId="9" xfId="0" quotePrefix="1" applyFont="1" applyBorder="1" applyAlignment="1">
      <alignment vertical="center" wrapText="1"/>
    </xf>
    <xf numFmtId="0" fontId="10" fillId="0" borderId="34" xfId="0" quotePrefix="1" applyFont="1" applyBorder="1" applyAlignment="1">
      <alignment vertical="center" wrapText="1"/>
    </xf>
    <xf numFmtId="0" fontId="9" fillId="4" borderId="9" xfId="0" applyFont="1" applyFill="1" applyBorder="1" applyAlignment="1">
      <alignment vertical="center" wrapText="1"/>
    </xf>
    <xf numFmtId="0" fontId="23" fillId="0" borderId="88" xfId="0" applyFont="1" applyBorder="1" applyAlignment="1">
      <alignment horizontal="center" vertical="center" wrapText="1"/>
    </xf>
    <xf numFmtId="0" fontId="23" fillId="0" borderId="89" xfId="0" applyFont="1" applyBorder="1" applyAlignment="1">
      <alignment horizontal="center" vertical="center" wrapText="1"/>
    </xf>
    <xf numFmtId="0" fontId="10" fillId="0" borderId="89" xfId="0" applyFont="1" applyBorder="1" applyAlignment="1">
      <alignment horizontal="center" vertical="center" wrapText="1"/>
    </xf>
    <xf numFmtId="0" fontId="10" fillId="0" borderId="89" xfId="0" applyFont="1" applyBorder="1" applyAlignment="1">
      <alignment vertical="center" wrapText="1"/>
    </xf>
    <xf numFmtId="0" fontId="10" fillId="0" borderId="9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9" fillId="0" borderId="91" xfId="0" quotePrefix="1" applyFont="1" applyBorder="1" applyAlignment="1">
      <alignment vertical="center" wrapText="1"/>
    </xf>
    <xf numFmtId="0" fontId="10" fillId="0" borderId="92" xfId="0" quotePrefix="1" applyFont="1" applyBorder="1" applyAlignment="1">
      <alignment vertical="center" wrapText="1"/>
    </xf>
    <xf numFmtId="0" fontId="10" fillId="0" borderId="93" xfId="0" quotePrefix="1" applyFont="1" applyBorder="1" applyAlignment="1">
      <alignment vertical="center" wrapText="1"/>
    </xf>
    <xf numFmtId="0" fontId="32" fillId="4" borderId="14" xfId="0" applyFont="1" applyFill="1" applyBorder="1" applyAlignment="1">
      <alignment horizontal="center" vertical="center" wrapText="1"/>
    </xf>
    <xf numFmtId="0" fontId="32" fillId="4" borderId="7" xfId="0" applyFont="1" applyFill="1" applyBorder="1" applyAlignment="1">
      <alignment horizontal="center" wrapText="1"/>
    </xf>
    <xf numFmtId="169" fontId="1" fillId="13" borderId="15" xfId="6" quotePrefix="1" applyNumberFormat="1" applyFont="1" applyFill="1" applyBorder="1"/>
    <xf numFmtId="166" fontId="15" fillId="6" borderId="94" xfId="0" applyNumberFormat="1" applyFont="1" applyFill="1" applyBorder="1"/>
    <xf numFmtId="167" fontId="15" fillId="6" borderId="95" xfId="0" applyNumberFormat="1" applyFont="1" applyFill="1" applyBorder="1"/>
    <xf numFmtId="167" fontId="6" fillId="0" borderId="35" xfId="8" applyNumberFormat="1" applyFont="1" applyBorder="1" applyAlignment="1">
      <alignment horizontal="right"/>
    </xf>
    <xf numFmtId="0" fontId="1" fillId="0" borderId="0" xfId="5" applyFont="1"/>
    <xf numFmtId="0" fontId="23" fillId="0" borderId="96" xfId="0" applyFont="1" applyBorder="1" applyAlignment="1">
      <alignment horizontal="center" vertical="center" wrapText="1"/>
    </xf>
    <xf numFmtId="0" fontId="23" fillId="0" borderId="97" xfId="0" applyFont="1" applyBorder="1" applyAlignment="1">
      <alignment horizontal="center" vertical="center" wrapText="1"/>
    </xf>
    <xf numFmtId="0" fontId="10" fillId="0" borderId="97" xfId="0" applyFont="1" applyBorder="1" applyAlignment="1">
      <alignment horizontal="center" vertical="center" wrapText="1"/>
    </xf>
    <xf numFmtId="0" fontId="10" fillId="0" borderId="97" xfId="0" applyFont="1" applyBorder="1" applyAlignment="1">
      <alignment vertical="center" wrapText="1"/>
    </xf>
    <xf numFmtId="0" fontId="10" fillId="0" borderId="98" xfId="0" applyFont="1" applyBorder="1" applyAlignment="1">
      <alignment vertical="center" wrapText="1"/>
    </xf>
    <xf numFmtId="0" fontId="10" fillId="4" borderId="8" xfId="0" applyFont="1" applyFill="1" applyBorder="1" applyAlignment="1">
      <alignment vertical="center" wrapText="1"/>
    </xf>
    <xf numFmtId="0" fontId="13" fillId="0" borderId="24" xfId="0" applyFont="1" applyBorder="1" applyAlignment="1">
      <alignment wrapText="1"/>
    </xf>
    <xf numFmtId="4" fontId="59" fillId="30" borderId="86" xfId="7" applyNumberFormat="1" applyFont="1" applyFill="1" applyBorder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quotePrefix="1" applyFont="1" applyAlignment="1">
      <alignment vertical="center"/>
    </xf>
    <xf numFmtId="0" fontId="63" fillId="0" borderId="0" xfId="0" applyFont="1" applyAlignment="1">
      <alignment vertical="center"/>
    </xf>
    <xf numFmtId="0" fontId="0" fillId="0" borderId="85" xfId="0" applyBorder="1"/>
    <xf numFmtId="0" fontId="60" fillId="39" borderId="99" xfId="0" applyFont="1" applyFill="1" applyBorder="1" applyAlignment="1">
      <alignment horizontal="center" vertical="center"/>
    </xf>
    <xf numFmtId="0" fontId="61" fillId="40" borderId="0" xfId="0" applyFont="1" applyFill="1" applyAlignment="1">
      <alignment horizontal="center" vertical="center"/>
    </xf>
    <xf numFmtId="0" fontId="66" fillId="0" borderId="0" xfId="0" applyFont="1"/>
    <xf numFmtId="0" fontId="38" fillId="0" borderId="86" xfId="0" applyFont="1" applyBorder="1" applyAlignment="1">
      <alignment horizontal="center" vertical="center"/>
    </xf>
    <xf numFmtId="0" fontId="38" fillId="0" borderId="86" xfId="0" quotePrefix="1" applyFont="1" applyBorder="1" applyAlignment="1">
      <alignment vertical="center"/>
    </xf>
    <xf numFmtId="4" fontId="59" fillId="31" borderId="83" xfId="7" applyNumberFormat="1" applyFont="1" applyFill="1" applyBorder="1" applyAlignment="1">
      <alignment vertical="center"/>
    </xf>
    <xf numFmtId="0" fontId="38" fillId="0" borderId="85" xfId="0" applyFont="1" applyBorder="1" applyAlignment="1">
      <alignment horizontal="center" vertical="center"/>
    </xf>
    <xf numFmtId="4" fontId="59" fillId="31" borderId="100" xfId="7" applyNumberFormat="1" applyFont="1" applyFill="1" applyBorder="1" applyAlignment="1">
      <alignment vertical="center"/>
    </xf>
    <xf numFmtId="4" fontId="59" fillId="14" borderId="83" xfId="7" applyNumberFormat="1" applyFont="1" applyFill="1" applyBorder="1" applyAlignment="1">
      <alignment vertical="center"/>
    </xf>
    <xf numFmtId="0" fontId="63" fillId="0" borderId="0" xfId="0" applyFont="1" applyAlignment="1">
      <alignment vertical="top"/>
    </xf>
    <xf numFmtId="0" fontId="0" fillId="0" borderId="84" xfId="0" applyBorder="1"/>
    <xf numFmtId="0" fontId="67" fillId="0" borderId="0" xfId="0" applyFont="1"/>
    <xf numFmtId="4" fontId="68" fillId="43" borderId="86" xfId="11" applyNumberFormat="1" applyFont="1" applyFill="1" applyBorder="1" applyAlignment="1">
      <alignment vertical="center"/>
    </xf>
    <xf numFmtId="0" fontId="64" fillId="44" borderId="78" xfId="0" applyFont="1" applyFill="1" applyBorder="1" applyAlignment="1">
      <alignment horizontal="center" vertical="center"/>
    </xf>
    <xf numFmtId="0" fontId="64" fillId="44" borderId="78" xfId="0" applyFont="1" applyFill="1" applyBorder="1" applyAlignment="1">
      <alignment vertical="center"/>
    </xf>
    <xf numFmtId="0" fontId="64" fillId="44" borderId="78" xfId="0" applyFont="1" applyFill="1" applyBorder="1" applyAlignment="1">
      <alignment vertical="center" wrapText="1"/>
    </xf>
    <xf numFmtId="0" fontId="68" fillId="45" borderId="0" xfId="0" applyFont="1" applyFill="1" applyAlignment="1">
      <alignment horizontal="left" vertical="center"/>
    </xf>
    <xf numFmtId="0" fontId="68" fillId="45" borderId="0" xfId="0" quotePrefix="1" applyFont="1" applyFill="1" applyAlignment="1">
      <alignment vertical="center"/>
    </xf>
    <xf numFmtId="0" fontId="63" fillId="0" borderId="86" xfId="0" applyFont="1" applyBorder="1" applyAlignment="1">
      <alignment vertical="center"/>
    </xf>
    <xf numFmtId="0" fontId="61" fillId="40" borderId="84" xfId="0" applyFont="1" applyFill="1" applyBorder="1" applyAlignment="1">
      <alignment horizontal="center" vertical="center"/>
    </xf>
    <xf numFmtId="0" fontId="9" fillId="4" borderId="9" xfId="0" quotePrefix="1" applyFont="1" applyFill="1" applyBorder="1" applyAlignment="1">
      <alignment vertical="center" wrapText="1"/>
    </xf>
    <xf numFmtId="0" fontId="23" fillId="0" borderId="101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7" xfId="0" applyFont="1" applyBorder="1" applyAlignment="1">
      <alignment vertical="center" wrapText="1"/>
    </xf>
    <xf numFmtId="0" fontId="10" fillId="0" borderId="35" xfId="0" applyFont="1" applyBorder="1" applyAlignment="1">
      <alignment vertical="center" wrapText="1"/>
    </xf>
    <xf numFmtId="0" fontId="10" fillId="0" borderId="70" xfId="0" quotePrefix="1" applyFont="1" applyBorder="1" applyAlignment="1">
      <alignment vertical="center" wrapText="1"/>
    </xf>
    <xf numFmtId="0" fontId="9" fillId="4" borderId="27" xfId="0" applyFont="1" applyFill="1" applyBorder="1" applyAlignment="1">
      <alignment horizontal="center" vertical="center" wrapText="1"/>
    </xf>
    <xf numFmtId="0" fontId="10" fillId="32" borderId="36" xfId="0" applyFont="1" applyFill="1" applyBorder="1" applyAlignment="1">
      <alignment vertical="center" wrapText="1"/>
    </xf>
    <xf numFmtId="0" fontId="9" fillId="4" borderId="8" xfId="0" quotePrefix="1" applyFont="1" applyFill="1" applyBorder="1" applyAlignment="1">
      <alignment vertical="center" wrapText="1"/>
    </xf>
    <xf numFmtId="0" fontId="9" fillId="4" borderId="10" xfId="0" quotePrefix="1" applyFont="1" applyFill="1" applyBorder="1" applyAlignment="1">
      <alignment vertical="center" wrapText="1"/>
    </xf>
    <xf numFmtId="0" fontId="10" fillId="0" borderId="102" xfId="0" quotePrefix="1" applyFont="1" applyBorder="1" applyAlignment="1">
      <alignment vertical="center" wrapText="1"/>
    </xf>
    <xf numFmtId="0" fontId="23" fillId="0" borderId="21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23" fillId="0" borderId="103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10" fillId="0" borderId="104" xfId="0" quotePrefix="1" applyFont="1" applyBorder="1" applyAlignment="1">
      <alignment vertical="center" wrapText="1"/>
    </xf>
    <xf numFmtId="0" fontId="25" fillId="0" borderId="16" xfId="5" applyFont="1" applyBorder="1" applyAlignment="1">
      <alignment horizontal="center"/>
    </xf>
    <xf numFmtId="0" fontId="1" fillId="0" borderId="17" xfId="5" applyFont="1" applyBorder="1" applyAlignment="1">
      <alignment horizontal="left"/>
    </xf>
    <xf numFmtId="0" fontId="25" fillId="0" borderId="17" xfId="5" applyFont="1" applyBorder="1" applyAlignment="1">
      <alignment horizontal="center"/>
    </xf>
    <xf numFmtId="0" fontId="1" fillId="0" borderId="17" xfId="5" applyFont="1" applyBorder="1" applyAlignment="1">
      <alignment horizontal="center"/>
    </xf>
    <xf numFmtId="4" fontId="25" fillId="0" borderId="35" xfId="6" applyNumberFormat="1" applyFont="1" applyBorder="1" applyAlignment="1">
      <alignment horizontal="right"/>
    </xf>
    <xf numFmtId="0" fontId="25" fillId="0" borderId="18" xfId="5" applyFont="1" applyBorder="1" applyAlignment="1">
      <alignment horizontal="center"/>
    </xf>
    <xf numFmtId="0" fontId="1" fillId="0" borderId="15" xfId="5" applyFont="1" applyBorder="1" applyAlignment="1">
      <alignment horizontal="left"/>
    </xf>
    <xf numFmtId="0" fontId="2" fillId="0" borderId="15" xfId="5" applyFont="1" applyBorder="1" applyAlignment="1">
      <alignment horizontal="center"/>
    </xf>
    <xf numFmtId="0" fontId="1" fillId="0" borderId="15" xfId="5" applyFont="1" applyBorder="1" applyAlignment="1">
      <alignment horizontal="center"/>
    </xf>
    <xf numFmtId="4" fontId="25" fillId="0" borderId="19" xfId="6" applyNumberFormat="1" applyFont="1" applyBorder="1"/>
    <xf numFmtId="0" fontId="25" fillId="0" borderId="20" xfId="5" applyFont="1" applyBorder="1" applyAlignment="1">
      <alignment horizontal="center"/>
    </xf>
    <xf numFmtId="0" fontId="1" fillId="0" borderId="21" xfId="5" applyFont="1" applyBorder="1" applyAlignment="1">
      <alignment horizontal="left"/>
    </xf>
    <xf numFmtId="0" fontId="1" fillId="0" borderId="21" xfId="5" applyFont="1" applyBorder="1" applyAlignment="1">
      <alignment horizontal="center"/>
    </xf>
    <xf numFmtId="0" fontId="25" fillId="0" borderId="21" xfId="5" applyFont="1" applyBorder="1" applyAlignment="1">
      <alignment horizontal="center"/>
    </xf>
    <xf numFmtId="4" fontId="25" fillId="0" borderId="22" xfId="6" applyNumberFormat="1" applyFont="1" applyBorder="1"/>
    <xf numFmtId="0" fontId="25" fillId="0" borderId="25" xfId="5" applyFont="1" applyBorder="1" applyAlignment="1">
      <alignment horizontal="center"/>
    </xf>
    <xf numFmtId="4" fontId="24" fillId="9" borderId="22" xfId="6" applyNumberFormat="1" applyFont="1" applyFill="1" applyBorder="1" applyAlignment="1">
      <alignment horizontal="center" vertical="center" wrapText="1"/>
    </xf>
    <xf numFmtId="4" fontId="24" fillId="9" borderId="20" xfId="6" applyNumberFormat="1" applyFont="1" applyFill="1" applyBorder="1" applyAlignment="1">
      <alignment horizontal="center" vertical="center" wrapText="1"/>
    </xf>
    <xf numFmtId="0" fontId="24" fillId="12" borderId="22" xfId="5" applyFont="1" applyFill="1" applyBorder="1" applyAlignment="1">
      <alignment horizontal="center" vertical="center"/>
    </xf>
    <xf numFmtId="0" fontId="32" fillId="4" borderId="106" xfId="0" applyFont="1" applyFill="1" applyBorder="1" applyAlignment="1">
      <alignment horizontal="center" vertical="center" wrapText="1"/>
    </xf>
    <xf numFmtId="0" fontId="32" fillId="4" borderId="105" xfId="0" applyFont="1" applyFill="1" applyBorder="1" applyAlignment="1">
      <alignment horizontal="center" wrapText="1"/>
    </xf>
    <xf numFmtId="0" fontId="57" fillId="36" borderId="78" xfId="0" applyFont="1" applyFill="1" applyBorder="1" applyAlignment="1">
      <alignment horizontal="center"/>
    </xf>
    <xf numFmtId="0" fontId="19" fillId="33" borderId="76" xfId="0" applyFont="1" applyFill="1" applyBorder="1" applyAlignment="1">
      <alignment horizontal="center"/>
    </xf>
    <xf numFmtId="0" fontId="19" fillId="33" borderId="77" xfId="0" applyFont="1" applyFill="1" applyBorder="1" applyAlignment="1">
      <alignment horizontal="center"/>
    </xf>
    <xf numFmtId="0" fontId="19" fillId="34" borderId="78" xfId="0" applyFont="1" applyFill="1" applyBorder="1" applyAlignment="1">
      <alignment horizontal="center"/>
    </xf>
    <xf numFmtId="0" fontId="44" fillId="15" borderId="0" xfId="0" quotePrefix="1" applyFont="1" applyFill="1" applyAlignment="1">
      <alignment horizontal="left" vertical="center"/>
    </xf>
    <xf numFmtId="0" fontId="44" fillId="15" borderId="80" xfId="0" quotePrefix="1" applyFont="1" applyFill="1" applyBorder="1" applyAlignment="1">
      <alignment horizontal="left" vertical="center"/>
    </xf>
    <xf numFmtId="0" fontId="57" fillId="35" borderId="79" xfId="0" applyFont="1" applyFill="1" applyBorder="1" applyAlignment="1">
      <alignment horizontal="center"/>
    </xf>
    <xf numFmtId="0" fontId="57" fillId="35" borderId="78" xfId="0" applyFont="1" applyFill="1" applyBorder="1" applyAlignment="1">
      <alignment horizontal="center"/>
    </xf>
    <xf numFmtId="0" fontId="24" fillId="12" borderId="14" xfId="5" applyFont="1" applyFill="1" applyBorder="1" applyAlignment="1">
      <alignment horizontal="center" vertical="center"/>
    </xf>
    <xf numFmtId="0" fontId="24" fillId="12" borderId="32" xfId="5" applyFont="1" applyFill="1" applyBorder="1" applyAlignment="1">
      <alignment horizontal="center" vertical="center"/>
    </xf>
    <xf numFmtId="0" fontId="24" fillId="12" borderId="5" xfId="5" applyFont="1" applyFill="1" applyBorder="1" applyAlignment="1">
      <alignment horizontal="center" vertical="center"/>
    </xf>
    <xf numFmtId="0" fontId="24" fillId="12" borderId="0" xfId="5" applyFont="1" applyFill="1" applyAlignment="1">
      <alignment horizontal="center" vertical="center"/>
    </xf>
    <xf numFmtId="169" fontId="24" fillId="9" borderId="14" xfId="6" applyNumberFormat="1" applyFont="1" applyFill="1" applyBorder="1" applyAlignment="1">
      <alignment horizontal="center" vertical="center" wrapText="1"/>
    </xf>
    <xf numFmtId="169" fontId="24" fillId="9" borderId="11" xfId="6" applyNumberFormat="1" applyFont="1" applyFill="1" applyBorder="1" applyAlignment="1">
      <alignment horizontal="center" vertical="center"/>
    </xf>
    <xf numFmtId="169" fontId="24" fillId="9" borderId="5" xfId="6" applyNumberFormat="1" applyFont="1" applyFill="1" applyBorder="1" applyAlignment="1">
      <alignment horizontal="center" vertical="center"/>
    </xf>
    <xf numFmtId="169" fontId="24" fillId="9" borderId="3" xfId="6" applyNumberFormat="1" applyFont="1" applyFill="1" applyBorder="1" applyAlignment="1">
      <alignment horizontal="center" vertical="center"/>
    </xf>
    <xf numFmtId="0" fontId="24" fillId="12" borderId="4" xfId="5" applyFont="1" applyFill="1" applyBorder="1" applyAlignment="1">
      <alignment horizontal="center" vertical="center"/>
    </xf>
    <xf numFmtId="0" fontId="24" fillId="12" borderId="2" xfId="5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9" fillId="4" borderId="36" xfId="0" applyFont="1" applyFill="1" applyBorder="1" applyAlignment="1">
      <alignment horizontal="center" vertical="center" wrapText="1"/>
    </xf>
    <xf numFmtId="0" fontId="9" fillId="4" borderId="69" xfId="0" applyFont="1" applyFill="1" applyBorder="1" applyAlignment="1">
      <alignment horizontal="center" vertical="center" wrapText="1"/>
    </xf>
    <xf numFmtId="0" fontId="9" fillId="4" borderId="70" xfId="0" applyFont="1" applyFill="1" applyBorder="1" applyAlignment="1">
      <alignment horizontal="center" vertical="center" wrapText="1"/>
    </xf>
    <xf numFmtId="0" fontId="7" fillId="0" borderId="0" xfId="8" applyFont="1" applyAlignment="1">
      <alignment horizontal="left"/>
    </xf>
    <xf numFmtId="0" fontId="60" fillId="0" borderId="85" xfId="0" applyFont="1" applyBorder="1" applyAlignment="1">
      <alignment horizontal="center" vertical="center"/>
    </xf>
    <xf numFmtId="0" fontId="61" fillId="0" borderId="85" xfId="0" applyFont="1" applyBorder="1" applyAlignment="1">
      <alignment horizontal="center" vertical="center"/>
    </xf>
    <xf numFmtId="0" fontId="0" fillId="0" borderId="0" xfId="0" applyBorder="1"/>
    <xf numFmtId="0" fontId="69" fillId="39" borderId="0" xfId="0" applyFont="1" applyFill="1" applyBorder="1" applyAlignment="1">
      <alignment horizontal="center" vertical="center"/>
    </xf>
    <xf numFmtId="0" fontId="70" fillId="0" borderId="0" xfId="0" applyFont="1" applyBorder="1"/>
    <xf numFmtId="0" fontId="66" fillId="0" borderId="0" xfId="0" applyFont="1" applyBorder="1"/>
    <xf numFmtId="0" fontId="71" fillId="40" borderId="0" xfId="0" applyFont="1" applyFill="1" applyBorder="1" applyAlignment="1">
      <alignment horizontal="center" vertical="center"/>
    </xf>
    <xf numFmtId="0" fontId="60" fillId="0" borderId="0" xfId="0" applyFont="1" applyBorder="1" applyAlignment="1">
      <alignment horizontal="center" vertical="center"/>
    </xf>
    <xf numFmtId="0" fontId="61" fillId="0" borderId="0" xfId="0" applyFont="1" applyBorder="1" applyAlignment="1">
      <alignment horizontal="center" vertical="center"/>
    </xf>
  </cellXfs>
  <cellStyles count="12">
    <cellStyle name="Accent5" xfId="11" builtinId="45"/>
    <cellStyle name="Comma" xfId="7" builtinId="3"/>
    <cellStyle name="Comma 2" xfId="1" xr:uid="{00000000-0005-0000-0000-000000000000}"/>
    <cellStyle name="Comma 3" xfId="6" xr:uid="{93584D8C-796C-40D5-A63E-BA96E89357E3}"/>
    <cellStyle name="Comma 4" xfId="10" xr:uid="{1CD212B3-2A29-F94E-BBAA-5CC0CD993A6B}"/>
    <cellStyle name="Currency 2" xfId="2" xr:uid="{00000000-0005-0000-0000-000001000000}"/>
    <cellStyle name="Normal" xfId="0" builtinId="0"/>
    <cellStyle name="Normal 2" xfId="3" xr:uid="{00000000-0005-0000-0000-000003000000}"/>
    <cellStyle name="Normal 2 2" xfId="8" xr:uid="{5861D115-E5E6-42F6-976C-EC050404E9B3}"/>
    <cellStyle name="Normal 3" xfId="5" xr:uid="{C23F1591-A991-49A3-AB46-018112AC1CA7}"/>
    <cellStyle name="Normal 4" xfId="9" xr:uid="{A16F6B3A-FA22-4742-876A-76B1F04266B6}"/>
    <cellStyle name="Percent" xfId="4" builtinId="5"/>
  </cellStyles>
  <dxfs count="0"/>
  <tableStyles count="0" defaultTableStyle="TableStyleMedium2" defaultPivotStyle="PivotStyleLight16"/>
  <colors>
    <mruColors>
      <color rgb="FF99A8BD"/>
      <color rgb="FFFFFF66"/>
      <color rgb="FFDEBDFF"/>
      <color rgb="FFCC00FF"/>
      <color rgb="FFFF3399"/>
      <color rgb="FFFF8FC7"/>
      <color rgb="FFFFA3FF"/>
      <color rgb="FF99FF99"/>
      <color rgb="FFFFFF99"/>
      <color rgb="FFAFE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th-TH" sz="1600" baseline="0"/>
              <a:t>โครงการ </a:t>
            </a:r>
            <a:r>
              <a:rPr lang="en-US" sz="1800">
                <a:effectLst/>
              </a:rPr>
              <a:t>PJR-PTTEP-Discrepancy and Write-off System (DiW) for Corporate</a:t>
            </a:r>
            <a:endParaRPr lang="en-TH" sz="1800">
              <a:effectLst/>
            </a:endParaRPr>
          </a:p>
        </c:rich>
      </c:tx>
      <c:layout>
        <c:manualLayout>
          <c:xMode val="edge"/>
          <c:yMode val="edge"/>
          <c:x val="0.14523570577249262"/>
          <c:y val="3.58290813694366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4C7-4406-9F6D-DD4368DF9F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4C7-4406-9F6D-DD4368DF9F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4C7-4406-9F6D-DD4368DF9F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4C7-4406-9F6D-DD4368DF9FA7}"/>
              </c:ext>
            </c:extLst>
          </c:dPt>
          <c:dLbls>
            <c:dLbl>
              <c:idx val="2"/>
              <c:layout>
                <c:manualLayout>
                  <c:x val="9.4576056528707542E-2"/>
                  <c:y val="-0.1148510591887040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4C7-4406-9F6D-DD4368DF9FA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Total!$B$3:$B$5</c:f>
              <c:strCache>
                <c:ptCount val="3"/>
                <c:pt idx="0">
                  <c:v>Digital Rev (Project Cost)</c:v>
                </c:pt>
                <c:pt idx="1">
                  <c:v>ค่าเบี้ยเลี้ยง/ค่าเดินทาง</c:v>
                </c:pt>
                <c:pt idx="2">
                  <c:v>Vendor Cost</c:v>
                </c:pt>
              </c:strCache>
            </c:strRef>
          </c:cat>
          <c:val>
            <c:numRef>
              <c:f>Total!$C$3:$C$5</c:f>
              <c:numCache>
                <c:formatCode>_-[$฿-41E]* #,##0.00_-;\-[$฿-41E]* #,##0.00_-;_-[$฿-41E]* "-"??_-;_-@_-</c:formatCode>
                <c:ptCount val="3"/>
                <c:pt idx="0">
                  <c:v>1976000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C7-4406-9F6D-DD4368DF9FA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228599</xdr:colOff>
      <xdr:row>0</xdr:row>
      <xdr:rowOff>125865</xdr:rowOff>
    </xdr:from>
    <xdr:to>
      <xdr:col>10</xdr:col>
      <xdr:colOff>257175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9C77C7-8F5E-42F9-9EA6-17B112362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274204</xdr:colOff>
      <xdr:row>38</xdr:row>
      <xdr:rowOff>176389</xdr:rowOff>
    </xdr:from>
    <xdr:to>
      <xdr:col>48</xdr:col>
      <xdr:colOff>10585</xdr:colOff>
      <xdr:row>40</xdr:row>
      <xdr:rowOff>43617</xdr:rowOff>
    </xdr:to>
    <xdr:sp macro="" textlink="">
      <xdr:nvSpPr>
        <xdr:cNvPr id="7" name="5-Point Star 6">
          <a:extLst>
            <a:ext uri="{FF2B5EF4-FFF2-40B4-BE49-F238E27FC236}">
              <a16:creationId xmlns:a16="http://schemas.microsoft.com/office/drawing/2014/main" id="{EDF68E2B-8C3F-CE49-967D-B00E1ED0CB01}"/>
            </a:ext>
            <a:ext uri="{147F2762-F138-4A5C-976F-8EAC2B608ADB}">
              <a16:predDERef xmlns:a16="http://schemas.microsoft.com/office/drawing/2014/main" pred="{14567173-F4AF-4295-A281-0803A674F546}"/>
            </a:ext>
          </a:extLst>
        </xdr:cNvPr>
        <xdr:cNvSpPr/>
      </xdr:nvSpPr>
      <xdr:spPr>
        <a:xfrm>
          <a:off x="14046648" y="7683500"/>
          <a:ext cx="300826" cy="262339"/>
        </a:xfrm>
        <a:prstGeom prst="star5">
          <a:avLst>
            <a:gd name="adj" fmla="val 26545"/>
            <a:gd name="hf" fmla="val 105146"/>
            <a:gd name="vf" fmla="val 110557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28</xdr:col>
      <xdr:colOff>29635</xdr:colOff>
      <xdr:row>5</xdr:row>
      <xdr:rowOff>174507</xdr:rowOff>
    </xdr:from>
    <xdr:to>
      <xdr:col>28</xdr:col>
      <xdr:colOff>255629</xdr:colOff>
      <xdr:row>7</xdr:row>
      <xdr:rowOff>2767</xdr:rowOff>
    </xdr:to>
    <xdr:sp macro="" textlink="">
      <xdr:nvSpPr>
        <xdr:cNvPr id="3" name="5-Point Star 2">
          <a:extLst>
            <a:ext uri="{FF2B5EF4-FFF2-40B4-BE49-F238E27FC236}">
              <a16:creationId xmlns:a16="http://schemas.microsoft.com/office/drawing/2014/main" id="{718762EB-7E37-064D-A084-71E67AB51C92}"/>
            </a:ext>
          </a:extLst>
        </xdr:cNvPr>
        <xdr:cNvSpPr/>
      </xdr:nvSpPr>
      <xdr:spPr>
        <a:xfrm>
          <a:off x="9286524" y="1162285"/>
          <a:ext cx="225994" cy="223371"/>
        </a:xfrm>
        <a:prstGeom prst="star5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tharidsawanoantueng/Library/CloudStorage/OneDrive-Personal/PTT/FAFE/_MM/_Phase%204/Project%20doc/20230104%20Work%20Planning.xlsx" TargetMode="External"/><Relationship Id="rId1" Type="http://schemas.openxmlformats.org/officeDocument/2006/relationships/externalLinkPath" Target="https://pttep-my.sharepoint.com/Users/tharidsawanoantueng/Library/CloudStorage/OneDrive-Personal/PTT/FAFE/_MM/_Phase%204/Project%20doc/20230104%20Work%20Plannin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maneenuch.w.PTTICT/Desktop/TMS_Lube_Resource_and_Cost_Template_V0_0_2.xlsx" TargetMode="External"/><Relationship Id="rId1" Type="http://schemas.openxmlformats.org/officeDocument/2006/relationships/externalLinkPath" Target="/Users/maneenuch.w.PTTICT/Desktop/TMS_Lube_Resource_and_Cost_Template_V0_0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"/>
      <sheetName val="Sheet1"/>
      <sheetName val="Plan"/>
      <sheetName val="Actual"/>
      <sheetName val="Sheet2"/>
    </sheetNames>
    <sheetDataSet>
      <sheetData sheetId="0" refreshError="1"/>
      <sheetData sheetId="1" refreshError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MS Lube Bulk &amp; Surprise Check"/>
      <sheetName val="TMS Lulk Bulk&amp;Surprise Check(2)"/>
      <sheetName val="Template for Other service (2)"/>
      <sheetName val="Template for Other service"/>
      <sheetName val="999_MSRP"/>
      <sheetName val="999_Loaded Rate 2016-Q1"/>
    </sheetNames>
    <sheetDataSet>
      <sheetData sheetId="0"/>
      <sheetData sheetId="1"/>
      <sheetData sheetId="2"/>
      <sheetData sheetId="3"/>
      <sheetData sheetId="4">
        <row r="3">
          <cell r="A3" t="str">
            <v>VP</v>
          </cell>
        </row>
        <row r="4">
          <cell r="A4" t="str">
            <v>Sr.Manager</v>
          </cell>
        </row>
        <row r="5">
          <cell r="A5" t="str">
            <v>Manager</v>
          </cell>
        </row>
        <row r="6">
          <cell r="A6" t="str">
            <v>Sr.Officer</v>
          </cell>
        </row>
        <row r="7">
          <cell r="A7" t="str">
            <v>Officer</v>
          </cell>
        </row>
        <row r="8">
          <cell r="A8" t="str">
            <v>Associate Officer/Programmer</v>
          </cell>
        </row>
        <row r="9">
          <cell r="A9" t="str">
            <v>Zyen ABAPER</v>
          </cell>
        </row>
        <row r="10">
          <cell r="A10" t="str">
            <v>Zyen ABAPER (NM)</v>
          </cell>
        </row>
      </sheetData>
      <sheetData sheetId="5">
        <row r="2">
          <cell r="F2" t="str">
            <v>adisak.n</v>
          </cell>
        </row>
        <row r="3">
          <cell r="F3" t="str">
            <v>akachai.y</v>
          </cell>
        </row>
        <row r="4">
          <cell r="F4" t="str">
            <v>akarachai.a</v>
          </cell>
        </row>
        <row r="5">
          <cell r="F5" t="str">
            <v>akkaphon.n</v>
          </cell>
        </row>
        <row r="6">
          <cell r="F6" t="str">
            <v>aleena.t</v>
          </cell>
        </row>
        <row r="7">
          <cell r="F7" t="str">
            <v>amornsak.p</v>
          </cell>
        </row>
        <row r="8">
          <cell r="F8" t="str">
            <v>anake.p</v>
          </cell>
        </row>
        <row r="9">
          <cell r="F9" t="str">
            <v>anawin.e</v>
          </cell>
        </row>
        <row r="10">
          <cell r="F10" t="str">
            <v>annop.r</v>
          </cell>
        </row>
        <row r="11">
          <cell r="F11" t="str">
            <v>anocha.u</v>
          </cell>
        </row>
        <row r="12">
          <cell r="F12" t="str">
            <v>anucha.c</v>
          </cell>
        </row>
        <row r="13">
          <cell r="F13" t="str">
            <v>anuchit.c</v>
          </cell>
        </row>
        <row r="14">
          <cell r="F14" t="str">
            <v>anut.c</v>
          </cell>
        </row>
        <row r="15">
          <cell r="F15" t="str">
            <v>aphichat.n</v>
          </cell>
        </row>
        <row r="16">
          <cell r="F16" t="str">
            <v>apichaluck.c</v>
          </cell>
        </row>
        <row r="17">
          <cell r="F17" t="str">
            <v>apichat.m</v>
          </cell>
        </row>
        <row r="18">
          <cell r="F18" t="str">
            <v>apinun.b</v>
          </cell>
        </row>
        <row r="19">
          <cell r="F19" t="str">
            <v>apiwat.b</v>
          </cell>
        </row>
        <row r="20">
          <cell r="F20" t="str">
            <v>arisa.p</v>
          </cell>
        </row>
        <row r="21">
          <cell r="F21" t="str">
            <v>ariya.k</v>
          </cell>
        </row>
        <row r="22">
          <cell r="F22" t="str">
            <v>arunrote.k</v>
          </cell>
        </row>
        <row r="23">
          <cell r="F23" t="str">
            <v>arunya.c</v>
          </cell>
        </row>
        <row r="24">
          <cell r="F24" t="str">
            <v>atawee.y</v>
          </cell>
        </row>
        <row r="25">
          <cell r="F25" t="str">
            <v>athita.a</v>
          </cell>
        </row>
        <row r="26">
          <cell r="F26" t="str">
            <v>attayoot.p</v>
          </cell>
        </row>
        <row r="27">
          <cell r="F27" t="str">
            <v>benjaluk.y</v>
          </cell>
        </row>
        <row r="28">
          <cell r="F28" t="str">
            <v>benjo.j</v>
          </cell>
        </row>
        <row r="29">
          <cell r="F29" t="str">
            <v>benyapa.a</v>
          </cell>
        </row>
        <row r="30">
          <cell r="F30" t="str">
            <v>bongkoch.r</v>
          </cell>
        </row>
        <row r="31">
          <cell r="F31" t="str">
            <v>boonrueng.t</v>
          </cell>
        </row>
        <row r="32">
          <cell r="F32" t="str">
            <v>boonsomsak.p</v>
          </cell>
        </row>
        <row r="33">
          <cell r="F33" t="str">
            <v>boonsong.l</v>
          </cell>
        </row>
        <row r="34">
          <cell r="F34" t="str">
            <v>boonyapat.p</v>
          </cell>
        </row>
        <row r="35">
          <cell r="F35" t="str">
            <v>borvonwan.p</v>
          </cell>
        </row>
        <row r="36">
          <cell r="F36" t="str">
            <v>buchaya.r</v>
          </cell>
        </row>
        <row r="37">
          <cell r="F37" t="str">
            <v>burin.y</v>
          </cell>
        </row>
        <row r="38">
          <cell r="F38" t="str">
            <v>busakorn.i</v>
          </cell>
        </row>
        <row r="39">
          <cell r="F39" t="str">
            <v>chaiwut.c</v>
          </cell>
        </row>
        <row r="40">
          <cell r="F40" t="str">
            <v>chaiyapol.w</v>
          </cell>
        </row>
        <row r="41">
          <cell r="F41" t="str">
            <v>chaiyapurk.j</v>
          </cell>
        </row>
        <row r="42">
          <cell r="F42" t="str">
            <v>chanatip.s</v>
          </cell>
        </row>
        <row r="43">
          <cell r="F43" t="str">
            <v>chanin.m</v>
          </cell>
        </row>
        <row r="44">
          <cell r="F44" t="str">
            <v>channarongwet.s</v>
          </cell>
        </row>
        <row r="45">
          <cell r="F45" t="str">
            <v>chanprapa.t</v>
          </cell>
        </row>
        <row r="46">
          <cell r="F46" t="str">
            <v>charoen.n</v>
          </cell>
        </row>
        <row r="47">
          <cell r="F47" t="str">
            <v>chatchai.w</v>
          </cell>
        </row>
        <row r="48">
          <cell r="F48" t="str">
            <v>chatchanun.k</v>
          </cell>
        </row>
        <row r="49">
          <cell r="F49" t="str">
            <v>chatchapon.p</v>
          </cell>
        </row>
        <row r="50">
          <cell r="F50" t="str">
            <v>chatlada.t</v>
          </cell>
        </row>
        <row r="51">
          <cell r="F51" t="str">
            <v>chattrabhorn.m</v>
          </cell>
        </row>
        <row r="52">
          <cell r="F52" t="str">
            <v>chawalita.l</v>
          </cell>
        </row>
        <row r="53">
          <cell r="F53" t="str">
            <v>chawanat.c</v>
          </cell>
        </row>
        <row r="54">
          <cell r="F54" t="str">
            <v>chayamon.d</v>
          </cell>
        </row>
        <row r="55">
          <cell r="F55" t="str">
            <v>chedsada.r</v>
          </cell>
        </row>
        <row r="56">
          <cell r="F56" t="str">
            <v>chintana.t</v>
          </cell>
        </row>
        <row r="57">
          <cell r="F57" t="str">
            <v>chokchai.p</v>
          </cell>
        </row>
        <row r="58">
          <cell r="F58" t="str">
            <v>cholticha.t</v>
          </cell>
        </row>
        <row r="59">
          <cell r="F59" t="str">
            <v>chompoonuch.p</v>
          </cell>
        </row>
        <row r="60">
          <cell r="F60" t="str">
            <v>chompunuch.r</v>
          </cell>
        </row>
        <row r="61">
          <cell r="F61" t="str">
            <v>choochai.p</v>
          </cell>
        </row>
        <row r="62">
          <cell r="F62" t="str">
            <v>chotiros.k</v>
          </cell>
        </row>
        <row r="63">
          <cell r="F63" t="str">
            <v>chutinathorn.t</v>
          </cell>
        </row>
        <row r="64">
          <cell r="F64" t="str">
            <v>deena.u</v>
          </cell>
        </row>
        <row r="65">
          <cell r="F65" t="str">
            <v>denchart.p</v>
          </cell>
        </row>
        <row r="66">
          <cell r="F66" t="str">
            <v>duangjaichanok.d</v>
          </cell>
        </row>
        <row r="67">
          <cell r="F67" t="str">
            <v>eakarach.t</v>
          </cell>
        </row>
        <row r="68">
          <cell r="F68" t="str">
            <v>eakchai.j</v>
          </cell>
        </row>
        <row r="69">
          <cell r="F69" t="str">
            <v>eakong.a</v>
          </cell>
        </row>
        <row r="70">
          <cell r="F70" t="str">
            <v>ekaraj.p</v>
          </cell>
        </row>
        <row r="71">
          <cell r="F71" t="str">
            <v>ekkaluk.w</v>
          </cell>
        </row>
        <row r="72">
          <cell r="F72" t="str">
            <v>ekkapong.k</v>
          </cell>
        </row>
        <row r="73">
          <cell r="F73" t="str">
            <v>ekkarat.m</v>
          </cell>
        </row>
        <row r="74">
          <cell r="F74" t="str">
            <v>gedsarin.k</v>
          </cell>
        </row>
        <row r="75">
          <cell r="F75" t="str">
            <v>gitisak.p</v>
          </cell>
        </row>
        <row r="76">
          <cell r="F76" t="str">
            <v>haemwaan.s</v>
          </cell>
        </row>
        <row r="77">
          <cell r="F77" t="str">
            <v>isaraporn.t</v>
          </cell>
        </row>
        <row r="78">
          <cell r="F78" t="str">
            <v>issara.s</v>
          </cell>
        </row>
        <row r="79">
          <cell r="F79" t="str">
            <v>itsariya.s</v>
          </cell>
        </row>
        <row r="80">
          <cell r="F80" t="str">
            <v>ittipat.t</v>
          </cell>
        </row>
        <row r="81">
          <cell r="F81" t="str">
            <v>ittipol.p</v>
          </cell>
        </row>
        <row r="82">
          <cell r="F82" t="str">
            <v>ittipol.w</v>
          </cell>
        </row>
        <row r="83">
          <cell r="F83" t="str">
            <v>jakkrit.p</v>
          </cell>
        </row>
        <row r="84">
          <cell r="F84" t="str">
            <v>jakraphan.k</v>
          </cell>
        </row>
        <row r="85">
          <cell r="F85" t="str">
            <v>jariya.p</v>
          </cell>
        </row>
        <row r="86">
          <cell r="F86" t="str">
            <v>jaroonpong.s</v>
          </cell>
        </row>
        <row r="87">
          <cell r="F87" t="str">
            <v>jeeranat.m</v>
          </cell>
        </row>
        <row r="88">
          <cell r="F88" t="str">
            <v>jettana.m</v>
          </cell>
        </row>
        <row r="89">
          <cell r="F89" t="str">
            <v>jirapat.s</v>
          </cell>
        </row>
        <row r="90">
          <cell r="F90" t="str">
            <v>jirasak.t</v>
          </cell>
        </row>
        <row r="91">
          <cell r="F91" t="str">
            <v>jirat.t</v>
          </cell>
        </row>
        <row r="92">
          <cell r="F92" t="str">
            <v>jirawan.s</v>
          </cell>
        </row>
        <row r="93">
          <cell r="F93" t="str">
            <v>jittapol.j</v>
          </cell>
        </row>
        <row r="94">
          <cell r="F94" t="str">
            <v>jomkhwan.w</v>
          </cell>
        </row>
        <row r="95">
          <cell r="F95" t="str">
            <v>jugkrit.n</v>
          </cell>
        </row>
        <row r="96">
          <cell r="F96" t="str">
            <v>jurairat.d</v>
          </cell>
        </row>
        <row r="97">
          <cell r="F97" t="str">
            <v>jutarmart.k</v>
          </cell>
        </row>
        <row r="98">
          <cell r="F98" t="str">
            <v>kajohn.s</v>
          </cell>
        </row>
        <row r="99">
          <cell r="F99" t="str">
            <v>kamolchai.a</v>
          </cell>
        </row>
        <row r="100">
          <cell r="F100" t="str">
            <v>kamolwan.p</v>
          </cell>
        </row>
        <row r="101">
          <cell r="F101" t="str">
            <v>kamonporn.s</v>
          </cell>
        </row>
        <row r="102">
          <cell r="F102" t="str">
            <v>kanlaya.r</v>
          </cell>
        </row>
        <row r="103">
          <cell r="F103" t="str">
            <v>kanungnit.s</v>
          </cell>
        </row>
        <row r="104">
          <cell r="F104" t="str">
            <v>kanyaporn.s</v>
          </cell>
        </row>
        <row r="105">
          <cell r="F105" t="str">
            <v>kasamaporn.s</v>
          </cell>
        </row>
        <row r="106">
          <cell r="F106" t="str">
            <v>kavisara.a</v>
          </cell>
        </row>
        <row r="107">
          <cell r="F107" t="str">
            <v>kawin.s</v>
          </cell>
        </row>
        <row r="108">
          <cell r="F108" t="str">
            <v>keerati.k</v>
          </cell>
        </row>
        <row r="109">
          <cell r="F109" t="str">
            <v>keng.t</v>
          </cell>
        </row>
        <row r="110">
          <cell r="F110" t="str">
            <v>ketkaew.s</v>
          </cell>
        </row>
        <row r="111">
          <cell r="F111" t="str">
            <v>khemarath.c</v>
          </cell>
        </row>
        <row r="112">
          <cell r="F112" t="str">
            <v>khuanruthai.b</v>
          </cell>
        </row>
        <row r="113">
          <cell r="F113" t="str">
            <v>khwanhatai.s</v>
          </cell>
        </row>
        <row r="114">
          <cell r="F114" t="str">
            <v>kiattisak.b</v>
          </cell>
        </row>
        <row r="115">
          <cell r="F115" t="str">
            <v>kiattisak.c</v>
          </cell>
        </row>
        <row r="116">
          <cell r="F116" t="str">
            <v>kingkaew.h</v>
          </cell>
        </row>
        <row r="117">
          <cell r="F117" t="str">
            <v>kitipat.n</v>
          </cell>
        </row>
        <row r="118">
          <cell r="F118" t="str">
            <v>kitsanapat.v</v>
          </cell>
        </row>
        <row r="119">
          <cell r="F119" t="str">
            <v>kittiphong.k</v>
          </cell>
        </row>
        <row r="120">
          <cell r="F120" t="str">
            <v>kittisak.c</v>
          </cell>
        </row>
        <row r="121">
          <cell r="F121" t="str">
            <v>kittituch.o</v>
          </cell>
        </row>
        <row r="122">
          <cell r="F122" t="str">
            <v>komol.k</v>
          </cell>
        </row>
        <row r="123">
          <cell r="F123" t="str">
            <v>kongsak.p</v>
          </cell>
        </row>
        <row r="124">
          <cell r="F124" t="str">
            <v>koonthida.w</v>
          </cell>
        </row>
        <row r="125">
          <cell r="F125" t="str">
            <v>kornvipa.l</v>
          </cell>
        </row>
        <row r="126">
          <cell r="F126" t="str">
            <v>kosin.p</v>
          </cell>
        </row>
        <row r="127">
          <cell r="F127" t="str">
            <v>kraisorn.k</v>
          </cell>
        </row>
        <row r="128">
          <cell r="F128" t="str">
            <v>kriangsak.p</v>
          </cell>
        </row>
        <row r="129">
          <cell r="F129" t="str">
            <v>krisada.j</v>
          </cell>
        </row>
        <row r="130">
          <cell r="F130" t="str">
            <v>krissada.p</v>
          </cell>
        </row>
        <row r="131">
          <cell r="F131" t="str">
            <v>kritsada.k</v>
          </cell>
        </row>
        <row r="132">
          <cell r="F132" t="str">
            <v>krittiya.m</v>
          </cell>
        </row>
        <row r="133">
          <cell r="F133" t="str">
            <v>kuerkool.k</v>
          </cell>
        </row>
        <row r="134">
          <cell r="F134" t="str">
            <v>laddawan.r</v>
          </cell>
        </row>
        <row r="135">
          <cell r="F135" t="str">
            <v>lalida.n</v>
          </cell>
        </row>
        <row r="136">
          <cell r="F136" t="str">
            <v>lalita.r</v>
          </cell>
        </row>
        <row r="137">
          <cell r="F137" t="str">
            <v>lavitra.p</v>
          </cell>
        </row>
        <row r="138">
          <cell r="F138" t="str">
            <v>mananya.s</v>
          </cell>
        </row>
        <row r="139">
          <cell r="F139" t="str">
            <v>manasanan.c</v>
          </cell>
        </row>
        <row r="140">
          <cell r="F140" t="str">
            <v>maneenuch.w</v>
          </cell>
        </row>
        <row r="141">
          <cell r="F141" t="str">
            <v>manida.p</v>
          </cell>
        </row>
        <row r="142">
          <cell r="F142" t="str">
            <v>manimeth.p</v>
          </cell>
        </row>
        <row r="143">
          <cell r="F143" t="str">
            <v>manisa.c</v>
          </cell>
        </row>
        <row r="144">
          <cell r="F144" t="str">
            <v>manussavee.p</v>
          </cell>
        </row>
        <row r="145">
          <cell r="F145" t="str">
            <v>marasri.h</v>
          </cell>
        </row>
        <row r="146">
          <cell r="F146" t="str">
            <v>marutpong.s</v>
          </cell>
        </row>
        <row r="147">
          <cell r="F147" t="str">
            <v>millibhu.r</v>
          </cell>
        </row>
        <row r="148">
          <cell r="F148" t="str">
            <v>montakan.w</v>
          </cell>
        </row>
        <row r="149">
          <cell r="F149" t="str">
            <v>montree.s</v>
          </cell>
        </row>
        <row r="150">
          <cell r="F150" t="str">
            <v>montri.s</v>
          </cell>
        </row>
        <row r="151">
          <cell r="F151" t="str">
            <v>nalatthawan.w</v>
          </cell>
        </row>
        <row r="152">
          <cell r="F152" t="str">
            <v>nalinee.l</v>
          </cell>
        </row>
        <row r="153">
          <cell r="F153" t="str">
            <v>naovarat.l</v>
          </cell>
        </row>
        <row r="154">
          <cell r="F154" t="str">
            <v>napaluck.s</v>
          </cell>
        </row>
        <row r="155">
          <cell r="F155" t="str">
            <v>napat.t</v>
          </cell>
        </row>
        <row r="156">
          <cell r="F156" t="str">
            <v>napawan.r</v>
          </cell>
        </row>
        <row r="157">
          <cell r="F157" t="str">
            <v>napitch.t</v>
          </cell>
        </row>
        <row r="158">
          <cell r="F158" t="str">
            <v>narin.p</v>
          </cell>
        </row>
        <row r="159">
          <cell r="F159" t="str">
            <v>narinrat.n</v>
          </cell>
        </row>
        <row r="160">
          <cell r="F160" t="str">
            <v>narisara.c</v>
          </cell>
        </row>
        <row r="161">
          <cell r="F161" t="str">
            <v>narong.sr</v>
          </cell>
        </row>
        <row r="162">
          <cell r="F162" t="str">
            <v>nathacha.ta</v>
          </cell>
        </row>
        <row r="163">
          <cell r="F163" t="str">
            <v>natpol.j</v>
          </cell>
        </row>
        <row r="164">
          <cell r="F164" t="str">
            <v>nattaphon.s</v>
          </cell>
        </row>
        <row r="165">
          <cell r="F165" t="str">
            <v>nattapoom.y</v>
          </cell>
        </row>
        <row r="166">
          <cell r="F166" t="str">
            <v>nattavit.k</v>
          </cell>
        </row>
        <row r="167">
          <cell r="F167" t="str">
            <v>nattawan.t</v>
          </cell>
        </row>
        <row r="168">
          <cell r="F168" t="str">
            <v>nattawut.s</v>
          </cell>
        </row>
        <row r="169">
          <cell r="F169" t="str">
            <v>nattechint.s</v>
          </cell>
        </row>
        <row r="170">
          <cell r="F170" t="str">
            <v>natthapaak.p</v>
          </cell>
        </row>
        <row r="171">
          <cell r="F171" t="str">
            <v>navapon.w</v>
          </cell>
        </row>
        <row r="172">
          <cell r="F172" t="str">
            <v>nawapat.w</v>
          </cell>
        </row>
        <row r="173">
          <cell r="F173" t="str">
            <v>nichakorn.k</v>
          </cell>
        </row>
        <row r="174">
          <cell r="F174" t="str">
            <v>nipoon.s</v>
          </cell>
        </row>
        <row r="175">
          <cell r="F175" t="str">
            <v>niramol.r</v>
          </cell>
        </row>
        <row r="176">
          <cell r="F176" t="str">
            <v>niran.m</v>
          </cell>
        </row>
        <row r="177">
          <cell r="F177" t="str">
            <v>nirat.s</v>
          </cell>
        </row>
        <row r="178">
          <cell r="F178" t="str">
            <v>nithi.b</v>
          </cell>
        </row>
        <row r="179">
          <cell r="F179" t="str">
            <v>nivit.p</v>
          </cell>
        </row>
        <row r="180">
          <cell r="F180" t="str">
            <v>nongnoot.w</v>
          </cell>
        </row>
        <row r="181">
          <cell r="F181" t="str">
            <v>nonthachai.s</v>
          </cell>
        </row>
        <row r="182">
          <cell r="F182" t="str">
            <v>nopadol.s</v>
          </cell>
        </row>
        <row r="183">
          <cell r="F183" t="str">
            <v>noppachai.t</v>
          </cell>
        </row>
        <row r="184">
          <cell r="F184" t="str">
            <v>noppadon.p</v>
          </cell>
        </row>
        <row r="185">
          <cell r="F185" t="str">
            <v>noppong.s</v>
          </cell>
        </row>
        <row r="186">
          <cell r="F186" t="str">
            <v>nopporn.w</v>
          </cell>
        </row>
        <row r="187">
          <cell r="F187" t="str">
            <v>norapatra.s</v>
          </cell>
        </row>
        <row r="188">
          <cell r="F188" t="str">
            <v>nuthargorn.j</v>
          </cell>
        </row>
        <row r="189">
          <cell r="F189" t="str">
            <v>nuttakorn.c</v>
          </cell>
        </row>
        <row r="190">
          <cell r="F190" t="str">
            <v>nuttapon.a</v>
          </cell>
        </row>
        <row r="191">
          <cell r="F191" t="str">
            <v>nuttapong.s</v>
          </cell>
        </row>
        <row r="192">
          <cell r="F192" t="str">
            <v>nuttawan.p</v>
          </cell>
        </row>
        <row r="193">
          <cell r="F193" t="str">
            <v>onthipa.t</v>
          </cell>
        </row>
        <row r="194">
          <cell r="F194" t="str">
            <v>onuma.p</v>
          </cell>
        </row>
        <row r="195">
          <cell r="F195" t="str">
            <v>padet.t</v>
          </cell>
        </row>
        <row r="196">
          <cell r="F196" t="str">
            <v>pairat.m</v>
          </cell>
        </row>
        <row r="197">
          <cell r="F197" t="str">
            <v>paisal.s</v>
          </cell>
        </row>
        <row r="198">
          <cell r="F198" t="str">
            <v>paitoon.p</v>
          </cell>
        </row>
        <row r="199">
          <cell r="F199" t="str">
            <v>paitoon.s</v>
          </cell>
        </row>
        <row r="200">
          <cell r="F200" t="str">
            <v>pakit.k</v>
          </cell>
        </row>
        <row r="201">
          <cell r="F201" t="str">
            <v>pakornkiat.c</v>
          </cell>
        </row>
        <row r="202">
          <cell r="F202" t="str">
            <v>pakpoom.l</v>
          </cell>
        </row>
        <row r="203">
          <cell r="F203" t="str">
            <v>palangchana.s</v>
          </cell>
        </row>
        <row r="204">
          <cell r="F204" t="str">
            <v>paleerat.s</v>
          </cell>
        </row>
        <row r="205">
          <cell r="F205" t="str">
            <v>palida.p</v>
          </cell>
        </row>
        <row r="206">
          <cell r="F206" t="str">
            <v>panipak.p</v>
          </cell>
        </row>
        <row r="207">
          <cell r="F207" t="str">
            <v>panita.y</v>
          </cell>
        </row>
        <row r="208">
          <cell r="F208" t="str">
            <v>panumars.t</v>
          </cell>
        </row>
        <row r="209">
          <cell r="F209" t="str">
            <v>panupun.s</v>
          </cell>
        </row>
        <row r="210">
          <cell r="F210" t="str">
            <v>papat.j</v>
          </cell>
        </row>
        <row r="211">
          <cell r="F211" t="str">
            <v>paralee.l</v>
          </cell>
        </row>
        <row r="212">
          <cell r="F212" t="str">
            <v>parida.k</v>
          </cell>
        </row>
        <row r="213">
          <cell r="F213" t="str">
            <v>parinda.r</v>
          </cell>
        </row>
        <row r="214">
          <cell r="F214" t="str">
            <v>parnrada.p</v>
          </cell>
        </row>
        <row r="215">
          <cell r="F215" t="str">
            <v>pasuchart.s</v>
          </cell>
        </row>
        <row r="216">
          <cell r="F216" t="str">
            <v>patarawut.c</v>
          </cell>
        </row>
        <row r="217">
          <cell r="F217" t="str">
            <v>patcharee.p</v>
          </cell>
        </row>
        <row r="218">
          <cell r="F218" t="str">
            <v>patcharin.v</v>
          </cell>
        </row>
        <row r="219">
          <cell r="F219" t="str">
            <v>patcharopas.l</v>
          </cell>
        </row>
        <row r="220">
          <cell r="F220" t="str">
            <v>pathcharnee.c</v>
          </cell>
        </row>
        <row r="221">
          <cell r="F221" t="str">
            <v>pattamawadee.c</v>
          </cell>
        </row>
        <row r="222">
          <cell r="F222" t="str">
            <v>pattanachat.k</v>
          </cell>
        </row>
        <row r="223">
          <cell r="F223" t="str">
            <v>pattaraporn.t</v>
          </cell>
        </row>
        <row r="224">
          <cell r="F224" t="str">
            <v>pattharin.u</v>
          </cell>
        </row>
        <row r="225">
          <cell r="F225" t="str">
            <v>paveena.p</v>
          </cell>
        </row>
        <row r="226">
          <cell r="F226" t="str">
            <v>pawida.s</v>
          </cell>
        </row>
        <row r="227">
          <cell r="F227" t="str">
            <v>pawinee.k</v>
          </cell>
        </row>
        <row r="228">
          <cell r="F228" t="str">
            <v>pawitra.n</v>
          </cell>
        </row>
        <row r="229">
          <cell r="F229" t="str">
            <v>perapong.s</v>
          </cell>
        </row>
        <row r="230">
          <cell r="F230" t="str">
            <v>permporn.h</v>
          </cell>
        </row>
        <row r="231">
          <cell r="F231" t="str">
            <v>phaiphan.t</v>
          </cell>
        </row>
        <row r="232">
          <cell r="F232" t="str">
            <v>phairuch.c</v>
          </cell>
        </row>
        <row r="233">
          <cell r="F233" t="str">
            <v>phamorn.v</v>
          </cell>
        </row>
        <row r="234">
          <cell r="F234" t="str">
            <v>pharkphoom.c</v>
          </cell>
        </row>
        <row r="235">
          <cell r="F235" t="str">
            <v>phatarapa.b</v>
          </cell>
        </row>
        <row r="236">
          <cell r="F236" t="str">
            <v>phattrawat.p</v>
          </cell>
        </row>
        <row r="237">
          <cell r="F237" t="str">
            <v>phongrawee.t</v>
          </cell>
        </row>
        <row r="238">
          <cell r="F238" t="str">
            <v>phonphan.c</v>
          </cell>
        </row>
        <row r="239">
          <cell r="F239" t="str">
            <v>pichet.s</v>
          </cell>
        </row>
        <row r="240">
          <cell r="F240" t="str">
            <v>pilaiwan.p</v>
          </cell>
        </row>
        <row r="241">
          <cell r="F241" t="str">
            <v>pimjai.d</v>
          </cell>
        </row>
        <row r="242">
          <cell r="F242" t="str">
            <v>pinanong.j</v>
          </cell>
        </row>
        <row r="243">
          <cell r="F243" t="str">
            <v>pinit.r</v>
          </cell>
        </row>
        <row r="244">
          <cell r="F244" t="str">
            <v>piroj.s</v>
          </cell>
        </row>
        <row r="245">
          <cell r="F245" t="str">
            <v>pitak.k</v>
          </cell>
        </row>
        <row r="246">
          <cell r="F246" t="str">
            <v>pitsamorn.i</v>
          </cell>
        </row>
        <row r="247">
          <cell r="F247" t="str">
            <v>piyadara.r</v>
          </cell>
        </row>
        <row r="248">
          <cell r="F248" t="str">
            <v>pol.c</v>
          </cell>
        </row>
        <row r="249">
          <cell r="F249" t="str">
            <v>polchet.a</v>
          </cell>
        </row>
        <row r="250">
          <cell r="F250" t="str">
            <v>pongpat.t</v>
          </cell>
        </row>
        <row r="251">
          <cell r="F251" t="str">
            <v>pongpisut.n</v>
          </cell>
        </row>
        <row r="252">
          <cell r="F252" t="str">
            <v>pongsakorn.k</v>
          </cell>
        </row>
        <row r="253">
          <cell r="F253" t="str">
            <v>pongsaporn.n</v>
          </cell>
        </row>
        <row r="254">
          <cell r="F254" t="str">
            <v>pongsiri.n</v>
          </cell>
        </row>
        <row r="255">
          <cell r="F255" t="str">
            <v>poonpitsuda.a</v>
          </cell>
        </row>
        <row r="256">
          <cell r="F256" t="str">
            <v>pornchai.k</v>
          </cell>
        </row>
        <row r="257">
          <cell r="F257" t="str">
            <v>pornchai.p</v>
          </cell>
        </row>
        <row r="258">
          <cell r="F258" t="str">
            <v>pornchai.t</v>
          </cell>
        </row>
        <row r="259">
          <cell r="F259" t="str">
            <v>pornpimon.k</v>
          </cell>
        </row>
        <row r="260">
          <cell r="F260" t="str">
            <v>pornrudee.j</v>
          </cell>
        </row>
        <row r="261">
          <cell r="F261" t="str">
            <v>porntip.s</v>
          </cell>
        </row>
        <row r="262">
          <cell r="F262" t="str">
            <v>porpailin.p</v>
          </cell>
        </row>
        <row r="263">
          <cell r="F263" t="str">
            <v>prachaya.p</v>
          </cell>
        </row>
        <row r="264">
          <cell r="F264" t="str">
            <v>praewpailin.r</v>
          </cell>
        </row>
        <row r="265">
          <cell r="F265" t="str">
            <v>praewpan.k</v>
          </cell>
        </row>
        <row r="266">
          <cell r="F266" t="str">
            <v>praewpran.j</v>
          </cell>
        </row>
        <row r="267">
          <cell r="F267" t="str">
            <v>prajuab.v</v>
          </cell>
        </row>
        <row r="268">
          <cell r="F268" t="str">
            <v>pramote.w</v>
          </cell>
        </row>
        <row r="269">
          <cell r="F269" t="str">
            <v>prapas.b</v>
          </cell>
        </row>
        <row r="270">
          <cell r="F270" t="str">
            <v>prapon.k</v>
          </cell>
        </row>
        <row r="271">
          <cell r="F271" t="str">
            <v>prasong.lu</v>
          </cell>
        </row>
        <row r="272">
          <cell r="F272" t="str">
            <v>prateep.w</v>
          </cell>
        </row>
        <row r="273">
          <cell r="F273" t="str">
            <v>prichaya.c</v>
          </cell>
        </row>
        <row r="274">
          <cell r="F274" t="str">
            <v>prissana.p</v>
          </cell>
        </row>
        <row r="275">
          <cell r="F275" t="str">
            <v>punnit.m</v>
          </cell>
        </row>
        <row r="276">
          <cell r="F276" t="str">
            <v>punyanan.p</v>
          </cell>
        </row>
        <row r="277">
          <cell r="F277" t="str">
            <v>puttipong.s</v>
          </cell>
        </row>
        <row r="278">
          <cell r="F278" t="str">
            <v>rachin.i</v>
          </cell>
        </row>
        <row r="279">
          <cell r="F279" t="str">
            <v>rangrath.k</v>
          </cell>
        </row>
        <row r="280">
          <cell r="F280" t="str">
            <v>ratchadaporn.y</v>
          </cell>
        </row>
        <row r="281">
          <cell r="F281" t="str">
            <v>ratchanee.l</v>
          </cell>
        </row>
        <row r="282">
          <cell r="F282" t="str">
            <v>ratchaneekorn.s</v>
          </cell>
        </row>
        <row r="283">
          <cell r="F283" t="str">
            <v>ratchaneekorn.v</v>
          </cell>
        </row>
        <row r="284">
          <cell r="F284" t="str">
            <v>ratchatawan.w</v>
          </cell>
        </row>
        <row r="285">
          <cell r="F285" t="str">
            <v>ravivat.d</v>
          </cell>
        </row>
        <row r="286">
          <cell r="F286" t="str">
            <v>rerai.n</v>
          </cell>
        </row>
        <row r="287">
          <cell r="F287" t="str">
            <v>rerngwutt.l</v>
          </cell>
        </row>
        <row r="288">
          <cell r="F288" t="str">
            <v>rewat.p</v>
          </cell>
        </row>
        <row r="289">
          <cell r="F289" t="str">
            <v>rittirong.w</v>
          </cell>
        </row>
        <row r="290">
          <cell r="F290" t="str">
            <v>roongkiat.k</v>
          </cell>
        </row>
        <row r="291">
          <cell r="F291" t="str">
            <v>rosarin.t</v>
          </cell>
        </row>
        <row r="292">
          <cell r="F292" t="str">
            <v>rujiras.t</v>
          </cell>
        </row>
        <row r="293">
          <cell r="F293" t="str">
            <v>rujirawat.a</v>
          </cell>
        </row>
        <row r="294">
          <cell r="F294" t="str">
            <v>rungsima.r</v>
          </cell>
        </row>
        <row r="295">
          <cell r="F295" t="str">
            <v>ruttanachai.a</v>
          </cell>
        </row>
        <row r="296">
          <cell r="F296" t="str">
            <v>sakol.k</v>
          </cell>
        </row>
        <row r="297">
          <cell r="F297" t="str">
            <v>saktip.t</v>
          </cell>
        </row>
        <row r="298">
          <cell r="F298" t="str">
            <v>samila.p</v>
          </cell>
        </row>
        <row r="299">
          <cell r="F299" t="str">
            <v>sangtip.c</v>
          </cell>
        </row>
        <row r="300">
          <cell r="F300" t="str">
            <v>sanya.k</v>
          </cell>
        </row>
        <row r="301">
          <cell r="F301" t="str">
            <v>saowanee.c</v>
          </cell>
        </row>
        <row r="302">
          <cell r="F302" t="str">
            <v>saran.j</v>
          </cell>
        </row>
        <row r="303">
          <cell r="F303" t="str">
            <v>saran.y</v>
          </cell>
        </row>
        <row r="304">
          <cell r="F304" t="str">
            <v>sarayut.t</v>
          </cell>
        </row>
        <row r="305">
          <cell r="F305" t="str">
            <v>sasi.r</v>
          </cell>
        </row>
        <row r="306">
          <cell r="F306" t="str">
            <v>sasikarn.c</v>
          </cell>
        </row>
        <row r="307">
          <cell r="F307" t="str">
            <v>sasitha.k</v>
          </cell>
        </row>
        <row r="308">
          <cell r="F308" t="str">
            <v>sayamon.v</v>
          </cell>
        </row>
        <row r="309">
          <cell r="F309" t="str">
            <v>sayumporn.r</v>
          </cell>
        </row>
        <row r="310">
          <cell r="F310" t="str">
            <v>seree.c</v>
          </cell>
        </row>
        <row r="311">
          <cell r="F311" t="str">
            <v>sineenart.s</v>
          </cell>
        </row>
        <row r="312">
          <cell r="F312" t="str">
            <v>sinvisa.n</v>
          </cell>
        </row>
        <row r="313">
          <cell r="F313" t="str">
            <v>sirima.c</v>
          </cell>
        </row>
        <row r="314">
          <cell r="F314" t="str">
            <v>siripong.s</v>
          </cell>
        </row>
        <row r="315">
          <cell r="F315" t="str">
            <v>siriporn.j</v>
          </cell>
        </row>
        <row r="316">
          <cell r="F316" t="str">
            <v>sirivit.y</v>
          </cell>
        </row>
        <row r="317">
          <cell r="F317" t="str">
            <v>siriyaporn.s</v>
          </cell>
        </row>
        <row r="318">
          <cell r="F318" t="str">
            <v>siroj.v</v>
          </cell>
        </row>
        <row r="319">
          <cell r="F319" t="str">
            <v>sitthameth.t</v>
          </cell>
        </row>
        <row r="320">
          <cell r="F320" t="str">
            <v>sittichoke.w</v>
          </cell>
        </row>
        <row r="321">
          <cell r="F321" t="str">
            <v>sivakan.s</v>
          </cell>
        </row>
        <row r="322">
          <cell r="F322" t="str">
            <v>sivanart.r</v>
          </cell>
        </row>
        <row r="323">
          <cell r="F323" t="str">
            <v>sivapong.t</v>
          </cell>
        </row>
        <row r="324">
          <cell r="F324" t="str">
            <v>somboon.r</v>
          </cell>
        </row>
        <row r="325">
          <cell r="F325" t="str">
            <v>somchai.w</v>
          </cell>
        </row>
        <row r="326">
          <cell r="F326" t="str">
            <v>somkid.k</v>
          </cell>
        </row>
        <row r="327">
          <cell r="F327" t="str">
            <v>sommai.j</v>
          </cell>
        </row>
        <row r="328">
          <cell r="F328" t="str">
            <v>somphob.a</v>
          </cell>
        </row>
        <row r="329">
          <cell r="F329" t="str">
            <v>somphong.w</v>
          </cell>
        </row>
        <row r="330">
          <cell r="F330" t="str">
            <v>somphot.s</v>
          </cell>
        </row>
        <row r="331">
          <cell r="F331" t="str">
            <v>sompoch.b</v>
          </cell>
        </row>
        <row r="332">
          <cell r="F332" t="str">
            <v>somprasong.p</v>
          </cell>
        </row>
        <row r="333">
          <cell r="F333" t="str">
            <v>somruthai.k</v>
          </cell>
        </row>
        <row r="334">
          <cell r="F334" t="str">
            <v>somsak.c</v>
          </cell>
        </row>
        <row r="335">
          <cell r="F335" t="str">
            <v>somyot.t</v>
          </cell>
        </row>
        <row r="336">
          <cell r="F336" t="str">
            <v>songpol.p</v>
          </cell>
        </row>
        <row r="337">
          <cell r="F337" t="str">
            <v>songsuda.w</v>
          </cell>
        </row>
        <row r="338">
          <cell r="F338" t="str">
            <v>songwuth.p</v>
          </cell>
        </row>
        <row r="339">
          <cell r="F339" t="str">
            <v>soonthorn.r</v>
          </cell>
        </row>
        <row r="340">
          <cell r="F340" t="str">
            <v>sopin.p</v>
          </cell>
        </row>
        <row r="341">
          <cell r="F341" t="str">
            <v>soracha.w</v>
          </cell>
        </row>
        <row r="342">
          <cell r="F342" t="str">
            <v>sorranun.s</v>
          </cell>
        </row>
        <row r="343">
          <cell r="F343" t="str">
            <v>suchachit.l</v>
          </cell>
        </row>
        <row r="344">
          <cell r="F344" t="str">
            <v>suchintana.r</v>
          </cell>
        </row>
        <row r="345">
          <cell r="F345" t="str">
            <v>suda.u</v>
          </cell>
        </row>
        <row r="346">
          <cell r="F346" t="str">
            <v>sudawan.k</v>
          </cell>
        </row>
        <row r="347">
          <cell r="F347" t="str">
            <v>sujin.w</v>
          </cell>
        </row>
        <row r="348">
          <cell r="F348" t="str">
            <v>sukanlaya.c</v>
          </cell>
        </row>
        <row r="349">
          <cell r="F349" t="str">
            <v>sukhin.j</v>
          </cell>
        </row>
        <row r="350">
          <cell r="F350" t="str">
            <v>sukritta.j</v>
          </cell>
        </row>
        <row r="351">
          <cell r="F351" t="str">
            <v>sulawan.t</v>
          </cell>
        </row>
        <row r="352">
          <cell r="F352" t="str">
            <v>supada.s</v>
          </cell>
        </row>
        <row r="353">
          <cell r="F353" t="str">
            <v>supakorn.m</v>
          </cell>
        </row>
        <row r="354">
          <cell r="F354" t="str">
            <v>supaluck.v</v>
          </cell>
        </row>
        <row r="355">
          <cell r="F355" t="str">
            <v>supaporn.s</v>
          </cell>
        </row>
        <row r="356">
          <cell r="F356" t="str">
            <v>supara.h</v>
          </cell>
        </row>
        <row r="357">
          <cell r="F357" t="str">
            <v>supatchaya.t</v>
          </cell>
        </row>
        <row r="358">
          <cell r="F358" t="str">
            <v>supattra.c</v>
          </cell>
        </row>
        <row r="359">
          <cell r="F359" t="str">
            <v>supawat.n</v>
          </cell>
        </row>
        <row r="360">
          <cell r="F360" t="str">
            <v>supharuek.i</v>
          </cell>
        </row>
        <row r="361">
          <cell r="F361" t="str">
            <v>supinya.c</v>
          </cell>
        </row>
        <row r="362">
          <cell r="F362" t="str">
            <v>supreeya.s</v>
          </cell>
        </row>
        <row r="363">
          <cell r="F363" t="str">
            <v>surachai.l</v>
          </cell>
        </row>
        <row r="364">
          <cell r="F364" t="str">
            <v>suradech.t</v>
          </cell>
        </row>
        <row r="365">
          <cell r="F365" t="str">
            <v>surapong.s</v>
          </cell>
        </row>
        <row r="366">
          <cell r="F366" t="str">
            <v>surarit.c</v>
          </cell>
        </row>
        <row r="367">
          <cell r="F367" t="str">
            <v>sureemas.c</v>
          </cell>
        </row>
        <row r="368">
          <cell r="F368" t="str">
            <v>sutas.j</v>
          </cell>
        </row>
        <row r="369">
          <cell r="F369" t="str">
            <v>sutee.k</v>
          </cell>
        </row>
        <row r="370">
          <cell r="F370" t="str">
            <v>suthida.r</v>
          </cell>
        </row>
        <row r="371">
          <cell r="F371" t="str">
            <v>suthinan.j</v>
          </cell>
        </row>
        <row r="372">
          <cell r="F372" t="str">
            <v>suttasinee.t</v>
          </cell>
        </row>
        <row r="373">
          <cell r="F373" t="str">
            <v>sutthi.k</v>
          </cell>
        </row>
        <row r="374">
          <cell r="F374" t="str">
            <v>sutthida.y</v>
          </cell>
        </row>
        <row r="375">
          <cell r="F375" t="str">
            <v>suwin.s</v>
          </cell>
        </row>
        <row r="376">
          <cell r="F376" t="str">
            <v>taiyen.r</v>
          </cell>
        </row>
        <row r="377">
          <cell r="F377" t="str">
            <v>tamolwatt.g</v>
          </cell>
        </row>
        <row r="378">
          <cell r="F378" t="str">
            <v>tanakrit.j</v>
          </cell>
        </row>
        <row r="379">
          <cell r="F379" t="str">
            <v>tanapon.p</v>
          </cell>
        </row>
        <row r="380">
          <cell r="F380" t="str">
            <v>tanat.p</v>
          </cell>
        </row>
        <row r="381">
          <cell r="F381" t="str">
            <v>tanatorn.s</v>
          </cell>
        </row>
        <row r="382">
          <cell r="F382" t="str">
            <v>tanin.k</v>
          </cell>
        </row>
        <row r="383">
          <cell r="F383" t="str">
            <v>taratorn.k</v>
          </cell>
        </row>
        <row r="384">
          <cell r="F384" t="str">
            <v>tarngrud.t</v>
          </cell>
        </row>
        <row r="385">
          <cell r="F385" t="str">
            <v>tawat.e</v>
          </cell>
        </row>
        <row r="386">
          <cell r="F386" t="str">
            <v>tawit.c</v>
          </cell>
        </row>
        <row r="387">
          <cell r="F387" t="str">
            <v>teera.p</v>
          </cell>
        </row>
        <row r="388">
          <cell r="F388" t="str">
            <v>teera.w</v>
          </cell>
        </row>
        <row r="389">
          <cell r="F389" t="str">
            <v>teeradej.d</v>
          </cell>
        </row>
        <row r="390">
          <cell r="F390" t="str">
            <v>teeraphong.c</v>
          </cell>
        </row>
        <row r="391">
          <cell r="F391" t="str">
            <v>temduang.s</v>
          </cell>
        </row>
        <row r="392">
          <cell r="F392" t="str">
            <v>teparat.i</v>
          </cell>
        </row>
        <row r="393">
          <cell r="F393" t="str">
            <v>thamanoon.k</v>
          </cell>
        </row>
        <row r="394">
          <cell r="F394" t="str">
            <v>thanakorn.bu</v>
          </cell>
        </row>
        <row r="395">
          <cell r="F395" t="str">
            <v>thanakrit.l</v>
          </cell>
        </row>
        <row r="396">
          <cell r="F396" t="str">
            <v>thanasan.i</v>
          </cell>
        </row>
        <row r="397">
          <cell r="F397" t="str">
            <v>thanasin.j</v>
          </cell>
        </row>
        <row r="398">
          <cell r="F398" t="str">
            <v>thanawadee.t</v>
          </cell>
        </row>
        <row r="399">
          <cell r="F399" t="str">
            <v>thanawat.h</v>
          </cell>
        </row>
        <row r="400">
          <cell r="F400" t="str">
            <v>thanawat.k</v>
          </cell>
        </row>
        <row r="401">
          <cell r="F401" t="str">
            <v>thaned.t</v>
          </cell>
        </row>
        <row r="402">
          <cell r="F402" t="str">
            <v>thanest.s</v>
          </cell>
        </row>
        <row r="403">
          <cell r="F403" t="str">
            <v>thaninnut.s</v>
          </cell>
        </row>
        <row r="404">
          <cell r="F404" t="str">
            <v>thapranee.c</v>
          </cell>
        </row>
        <row r="405">
          <cell r="F405" t="str">
            <v>thassanan.s</v>
          </cell>
        </row>
        <row r="406">
          <cell r="F406" t="str">
            <v>thawatchai.w</v>
          </cell>
        </row>
        <row r="407">
          <cell r="F407" t="str">
            <v>thaweechai.c</v>
          </cell>
        </row>
        <row r="408">
          <cell r="F408" t="str">
            <v>theeranuch.n</v>
          </cell>
        </row>
        <row r="409">
          <cell r="F409" t="str">
            <v>theeraphat.s</v>
          </cell>
        </row>
        <row r="410">
          <cell r="F410" t="str">
            <v>thida.v</v>
          </cell>
        </row>
        <row r="411">
          <cell r="F411" t="str">
            <v>thita.t</v>
          </cell>
        </row>
        <row r="412">
          <cell r="F412" t="str">
            <v>thitikorn.s</v>
          </cell>
        </row>
        <row r="413">
          <cell r="F413" t="str">
            <v>thitipong.t</v>
          </cell>
        </row>
        <row r="414">
          <cell r="F414" t="str">
            <v>thossaphol.d</v>
          </cell>
        </row>
        <row r="415">
          <cell r="F415" t="str">
            <v>tosporn.k</v>
          </cell>
        </row>
        <row r="416">
          <cell r="F416" t="str">
            <v>truswin.r</v>
          </cell>
        </row>
        <row r="417">
          <cell r="F417" t="str">
            <v>tuantong.s</v>
          </cell>
        </row>
        <row r="418">
          <cell r="F418" t="str">
            <v>udtapol.l</v>
          </cell>
        </row>
        <row r="419">
          <cell r="F419" t="str">
            <v>unnop.k</v>
          </cell>
        </row>
        <row r="420">
          <cell r="F420" t="str">
            <v>uraiwan.j</v>
          </cell>
        </row>
        <row r="421">
          <cell r="F421" t="str">
            <v>uruponk.p</v>
          </cell>
        </row>
        <row r="422">
          <cell r="F422" t="str">
            <v>utarat.p</v>
          </cell>
        </row>
        <row r="423">
          <cell r="F423" t="str">
            <v>varantorn.w</v>
          </cell>
        </row>
        <row r="424">
          <cell r="F424" t="str">
            <v>varinpong.t</v>
          </cell>
        </row>
        <row r="425">
          <cell r="F425" t="str">
            <v>vatcharaj.t</v>
          </cell>
        </row>
        <row r="426">
          <cell r="F426" t="str">
            <v>veerabol.a</v>
          </cell>
        </row>
        <row r="427">
          <cell r="F427" t="str">
            <v>vichit.k</v>
          </cell>
        </row>
        <row r="428">
          <cell r="F428" t="str">
            <v>vijarn.h</v>
          </cell>
        </row>
        <row r="429">
          <cell r="F429" t="str">
            <v>visarut.s</v>
          </cell>
        </row>
        <row r="430">
          <cell r="F430" t="str">
            <v>visid.u</v>
          </cell>
        </row>
        <row r="431">
          <cell r="F431" t="str">
            <v>vorakit.l</v>
          </cell>
        </row>
        <row r="432">
          <cell r="F432" t="str">
            <v>wanida.w</v>
          </cell>
        </row>
        <row r="433">
          <cell r="F433" t="str">
            <v>wanna.p</v>
          </cell>
        </row>
        <row r="434">
          <cell r="F434" t="str">
            <v>wannaporn.a</v>
          </cell>
        </row>
        <row r="435">
          <cell r="F435" t="str">
            <v>wannaporn.s</v>
          </cell>
        </row>
        <row r="436">
          <cell r="F436" t="str">
            <v>wannika.j</v>
          </cell>
        </row>
        <row r="437">
          <cell r="F437" t="str">
            <v>wannisa.m</v>
          </cell>
        </row>
        <row r="438">
          <cell r="F438" t="str">
            <v>wannisa.p</v>
          </cell>
        </row>
        <row r="439">
          <cell r="F439" t="str">
            <v>wanniwat.n</v>
          </cell>
        </row>
        <row r="440">
          <cell r="F440" t="str">
            <v>warinee.h</v>
          </cell>
        </row>
        <row r="441">
          <cell r="F441" t="str">
            <v>waritta.b</v>
          </cell>
        </row>
        <row r="442">
          <cell r="F442" t="str">
            <v>warot.s</v>
          </cell>
        </row>
        <row r="443">
          <cell r="F443" t="str">
            <v>washirapong.w</v>
          </cell>
        </row>
        <row r="444">
          <cell r="F444" t="str">
            <v>watchara.k</v>
          </cell>
        </row>
        <row r="445">
          <cell r="F445" t="str">
            <v>watchara.r</v>
          </cell>
        </row>
        <row r="446">
          <cell r="F446" t="str">
            <v>watcharapong.h</v>
          </cell>
        </row>
        <row r="447">
          <cell r="F447" t="str">
            <v>watsapon.s</v>
          </cell>
        </row>
        <row r="448">
          <cell r="F448" t="str">
            <v>wikkasit.k</v>
          </cell>
        </row>
        <row r="449">
          <cell r="F449" t="str">
            <v>wilaiporn.j</v>
          </cell>
        </row>
        <row r="450">
          <cell r="F450" t="str">
            <v>wilaiwan.p</v>
          </cell>
        </row>
        <row r="451">
          <cell r="F451" t="str">
            <v>wilasinee.w</v>
          </cell>
        </row>
        <row r="452">
          <cell r="F452" t="str">
            <v>winai.s</v>
          </cell>
        </row>
        <row r="453">
          <cell r="F453" t="str">
            <v>wirachai.w</v>
          </cell>
        </row>
        <row r="454">
          <cell r="F454" t="str">
            <v>wisut.a</v>
          </cell>
        </row>
        <row r="455">
          <cell r="F455" t="str">
            <v>witoon.t</v>
          </cell>
        </row>
        <row r="456">
          <cell r="F456" t="str">
            <v>witsanu.m</v>
          </cell>
        </row>
        <row r="457">
          <cell r="F457" t="str">
            <v>wittawat.u</v>
          </cell>
        </row>
        <row r="458">
          <cell r="F458" t="str">
            <v>wittawin.t</v>
          </cell>
        </row>
        <row r="459">
          <cell r="F459" t="str">
            <v>worrayod.w</v>
          </cell>
        </row>
        <row r="460">
          <cell r="F460" t="str">
            <v>wunlop.s</v>
          </cell>
        </row>
        <row r="461">
          <cell r="F461" t="str">
            <v>wuttichai.m</v>
          </cell>
        </row>
        <row r="462">
          <cell r="F462" t="str">
            <v>wuttidetch.p</v>
          </cell>
        </row>
        <row r="463">
          <cell r="F463" t="str">
            <v>wuttipong.l</v>
          </cell>
        </row>
        <row r="464">
          <cell r="F464" t="str">
            <v>yaowapa.c</v>
          </cell>
        </row>
        <row r="465">
          <cell r="F465" t="str">
            <v>yaowapa.l</v>
          </cell>
        </row>
        <row r="466">
          <cell r="F466" t="str">
            <v>yawarhed.c</v>
          </cell>
        </row>
        <row r="467">
          <cell r="F467" t="str">
            <v>yingsak.p</v>
          </cell>
        </row>
        <row r="468">
          <cell r="F468" t="str">
            <v>yutthana.s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6BA2E-70DB-43BE-A081-EC75971A386F}">
  <sheetPr>
    <tabColor rgb="FFFF0000"/>
  </sheetPr>
  <dimension ref="A1:N24"/>
  <sheetViews>
    <sheetView zoomScaleNormal="100" workbookViewId="0">
      <selection activeCell="D9" sqref="D9"/>
    </sheetView>
  </sheetViews>
  <sheetFormatPr baseColWidth="10" defaultColWidth="9.1640625" defaultRowHeight="13" outlineLevelCol="1"/>
  <cols>
    <col min="1" max="1" width="8.1640625" style="48" customWidth="1"/>
    <col min="2" max="2" width="44.33203125" style="42" customWidth="1"/>
    <col min="3" max="3" width="18.6640625" style="42" bestFit="1" customWidth="1"/>
    <col min="4" max="4" width="27.33203125" style="42" customWidth="1"/>
    <col min="5" max="5" width="13.83203125" style="42" bestFit="1" customWidth="1"/>
    <col min="6" max="6" width="9.6640625" style="49" customWidth="1" outlineLevel="1"/>
    <col min="7" max="7" width="14" style="50" customWidth="1" outlineLevel="1"/>
    <col min="8" max="8" width="18.33203125" style="50" customWidth="1" outlineLevel="1"/>
    <col min="9" max="9" width="15.5" style="50" customWidth="1" outlineLevel="1"/>
    <col min="10" max="10" width="17" style="42" customWidth="1"/>
    <col min="11" max="16384" width="9.1640625" style="42"/>
  </cols>
  <sheetData>
    <row r="1" spans="1:14" ht="15.75" customHeight="1">
      <c r="A1" s="379" t="s">
        <v>35</v>
      </c>
      <c r="B1" s="380"/>
      <c r="C1" s="380"/>
      <c r="D1" s="380"/>
      <c r="E1" s="380"/>
      <c r="F1" s="383" t="s">
        <v>36</v>
      </c>
      <c r="G1" s="384"/>
      <c r="H1" s="41"/>
      <c r="I1" s="41"/>
    </row>
    <row r="2" spans="1:14" ht="24" customHeight="1">
      <c r="A2" s="381"/>
      <c r="B2" s="382"/>
      <c r="C2" s="382"/>
      <c r="D2" s="382"/>
      <c r="E2" s="382"/>
      <c r="F2" s="385"/>
      <c r="G2" s="386"/>
      <c r="H2" s="41"/>
      <c r="I2" s="41"/>
    </row>
    <row r="3" spans="1:14" ht="29" thickBot="1">
      <c r="A3" s="43" t="s">
        <v>37</v>
      </c>
      <c r="B3" s="92" t="s">
        <v>34</v>
      </c>
      <c r="C3" s="92" t="s">
        <v>38</v>
      </c>
      <c r="D3" s="92" t="s">
        <v>9</v>
      </c>
      <c r="E3" s="368" t="s">
        <v>39</v>
      </c>
      <c r="F3" s="367" t="s">
        <v>40</v>
      </c>
      <c r="G3" s="366" t="s">
        <v>41</v>
      </c>
      <c r="H3" s="44"/>
      <c r="I3" s="44"/>
    </row>
    <row r="4" spans="1:14" ht="12.75" customHeight="1">
      <c r="A4" s="350">
        <v>1</v>
      </c>
      <c r="B4" s="351" t="s">
        <v>121</v>
      </c>
      <c r="C4" s="352" t="s">
        <v>44</v>
      </c>
      <c r="D4" s="352" t="s">
        <v>5</v>
      </c>
      <c r="E4" s="353" t="s">
        <v>42</v>
      </c>
      <c r="F4" s="365">
        <v>32</v>
      </c>
      <c r="G4" s="354">
        <v>14000</v>
      </c>
      <c r="H4" s="45">
        <v>14000</v>
      </c>
      <c r="I4" s="45">
        <f>F4*H4</f>
        <v>448000</v>
      </c>
      <c r="J4" s="104"/>
    </row>
    <row r="5" spans="1:14" ht="12.75" customHeight="1">
      <c r="A5" s="355">
        <v>2</v>
      </c>
      <c r="B5" s="356" t="s">
        <v>195</v>
      </c>
      <c r="C5" s="357" t="s">
        <v>44</v>
      </c>
      <c r="D5" s="53" t="s">
        <v>6</v>
      </c>
      <c r="E5" s="358" t="s">
        <v>42</v>
      </c>
      <c r="F5" s="53">
        <v>46</v>
      </c>
      <c r="G5" s="359">
        <v>14000</v>
      </c>
      <c r="H5" s="45">
        <v>14000</v>
      </c>
      <c r="I5" s="45">
        <f t="shared" ref="I5:I10" si="0">F5*H5</f>
        <v>644000</v>
      </c>
      <c r="J5" s="104"/>
    </row>
    <row r="6" spans="1:14" ht="12.75" customHeight="1">
      <c r="A6" s="355">
        <v>3</v>
      </c>
      <c r="B6" s="356" t="s">
        <v>196</v>
      </c>
      <c r="C6" s="53" t="s">
        <v>44</v>
      </c>
      <c r="D6" s="53" t="s">
        <v>6</v>
      </c>
      <c r="E6" s="358" t="s">
        <v>43</v>
      </c>
      <c r="F6" s="53">
        <v>61</v>
      </c>
      <c r="G6" s="359">
        <v>8500</v>
      </c>
      <c r="H6" s="45">
        <v>8500</v>
      </c>
      <c r="I6" s="45">
        <f t="shared" si="0"/>
        <v>518500</v>
      </c>
      <c r="J6" s="104"/>
    </row>
    <row r="7" spans="1:14" ht="12.75" customHeight="1">
      <c r="A7" s="355">
        <v>4</v>
      </c>
      <c r="B7" s="356" t="s">
        <v>198</v>
      </c>
      <c r="C7" s="53" t="s">
        <v>44</v>
      </c>
      <c r="D7" s="53" t="s">
        <v>120</v>
      </c>
      <c r="E7" s="358" t="s">
        <v>43</v>
      </c>
      <c r="F7" s="53">
        <v>25</v>
      </c>
      <c r="G7" s="359">
        <v>8500</v>
      </c>
      <c r="H7" s="45">
        <v>8500</v>
      </c>
      <c r="I7" s="45">
        <f t="shared" si="0"/>
        <v>212500</v>
      </c>
      <c r="J7" s="46"/>
    </row>
    <row r="8" spans="1:14" ht="12.75" customHeight="1">
      <c r="A8" s="355">
        <v>5</v>
      </c>
      <c r="B8" s="356" t="s">
        <v>199</v>
      </c>
      <c r="C8" s="53" t="s">
        <v>44</v>
      </c>
      <c r="D8" s="53" t="s">
        <v>120</v>
      </c>
      <c r="E8" s="358" t="s">
        <v>43</v>
      </c>
      <c r="F8" s="53">
        <v>15</v>
      </c>
      <c r="G8" s="359">
        <v>8500</v>
      </c>
      <c r="H8" s="45">
        <v>8500</v>
      </c>
      <c r="I8" s="45">
        <f t="shared" si="0"/>
        <v>127500</v>
      </c>
      <c r="J8" s="46"/>
    </row>
    <row r="9" spans="1:14" ht="12.75" customHeight="1">
      <c r="A9" s="355">
        <v>6</v>
      </c>
      <c r="B9" s="356" t="s">
        <v>197</v>
      </c>
      <c r="C9" s="358" t="s">
        <v>44</v>
      </c>
      <c r="D9" s="358" t="s">
        <v>200</v>
      </c>
      <c r="E9" s="358" t="s">
        <v>43</v>
      </c>
      <c r="F9" s="53">
        <v>3</v>
      </c>
      <c r="G9" s="359">
        <v>8500</v>
      </c>
      <c r="H9" s="45">
        <v>8500</v>
      </c>
      <c r="I9" s="45">
        <f t="shared" si="0"/>
        <v>25500</v>
      </c>
      <c r="J9" s="46"/>
      <c r="N9" s="301"/>
    </row>
    <row r="10" spans="1:14" ht="12.75" customHeight="1" thickBot="1">
      <c r="A10" s="360"/>
      <c r="B10" s="361"/>
      <c r="C10" s="362"/>
      <c r="D10" s="362"/>
      <c r="E10" s="362"/>
      <c r="F10" s="363"/>
      <c r="G10" s="364"/>
      <c r="H10" s="45"/>
      <c r="I10" s="45">
        <f t="shared" si="0"/>
        <v>0</v>
      </c>
      <c r="J10" s="104"/>
    </row>
    <row r="11" spans="1:14" ht="12.75" customHeight="1">
      <c r="I11" s="47">
        <f>SUM(I4:I10)</f>
        <v>1976000</v>
      </c>
    </row>
    <row r="12" spans="1:14" ht="16" customHeight="1">
      <c r="A12" s="387" t="s">
        <v>45</v>
      </c>
      <c r="B12" s="388"/>
      <c r="C12" s="51" t="s">
        <v>46</v>
      </c>
      <c r="F12" s="42"/>
      <c r="G12" s="52"/>
      <c r="H12" s="42"/>
      <c r="I12" s="42"/>
    </row>
    <row r="13" spans="1:14" ht="12.75" customHeight="1">
      <c r="A13" s="53">
        <v>1</v>
      </c>
      <c r="B13" s="54" t="s">
        <v>47</v>
      </c>
      <c r="C13" s="55" t="s">
        <v>48</v>
      </c>
      <c r="F13" s="42"/>
      <c r="G13" s="42"/>
    </row>
    <row r="14" spans="1:14" ht="12.75" customHeight="1">
      <c r="A14" s="53">
        <v>2</v>
      </c>
      <c r="B14" s="54" t="s">
        <v>49</v>
      </c>
      <c r="C14" s="55" t="s">
        <v>48</v>
      </c>
      <c r="F14" s="42"/>
      <c r="G14" s="42"/>
      <c r="H14" s="42"/>
      <c r="I14" s="56"/>
    </row>
    <row r="15" spans="1:14" ht="12.75" customHeight="1">
      <c r="A15" s="53">
        <v>3</v>
      </c>
      <c r="B15" s="54" t="s">
        <v>50</v>
      </c>
      <c r="C15" s="55" t="s">
        <v>48</v>
      </c>
      <c r="F15" s="42"/>
      <c r="G15" s="42"/>
      <c r="H15" s="57"/>
      <c r="I15" s="58"/>
    </row>
    <row r="16" spans="1:14">
      <c r="A16" s="53">
        <v>4</v>
      </c>
      <c r="B16" s="54" t="s">
        <v>51</v>
      </c>
      <c r="C16" s="59" t="s">
        <v>48</v>
      </c>
      <c r="F16" s="42"/>
      <c r="G16" s="42"/>
      <c r="H16" s="42"/>
      <c r="I16" s="42"/>
    </row>
    <row r="17" spans="1:9">
      <c r="A17" s="53">
        <v>5</v>
      </c>
      <c r="B17" s="213" t="s">
        <v>133</v>
      </c>
      <c r="C17" s="297" t="s">
        <v>48</v>
      </c>
      <c r="F17" s="42"/>
    </row>
    <row r="18" spans="1:9">
      <c r="A18" s="53">
        <v>6</v>
      </c>
      <c r="B18" s="54" t="s">
        <v>52</v>
      </c>
      <c r="C18" s="59"/>
      <c r="H18" s="42"/>
    </row>
    <row r="19" spans="1:9">
      <c r="H19" s="60"/>
      <c r="I19" s="61"/>
    </row>
    <row r="20" spans="1:9" ht="14">
      <c r="A20" s="3" t="s">
        <v>53</v>
      </c>
    </row>
    <row r="24" spans="1:9">
      <c r="H24" s="60" t="s">
        <v>0</v>
      </c>
      <c r="I24" s="61"/>
    </row>
  </sheetData>
  <mergeCells count="3">
    <mergeCell ref="A1:E2"/>
    <mergeCell ref="F1:G2"/>
    <mergeCell ref="A12:B12"/>
  </mergeCells>
  <dataValidations count="1">
    <dataValidation type="list" allowBlank="1" showInputMessage="1" showErrorMessage="1" sqref="D4:D8" xr:uid="{529C034C-DA37-4979-839A-0994AE92707A}">
      <formula1>"PM,Consultant,PMO,DM,Abaper,Developer,BA,SA,Basis,System,Network,Security,SAP-PI"</formula1>
    </dataValidation>
  </dataValidations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C664-6248-4C33-818B-92B2C602446F}">
  <sheetPr>
    <tabColor rgb="FFFF0000"/>
  </sheetPr>
  <dimension ref="B2:J37"/>
  <sheetViews>
    <sheetView zoomScaleNormal="100" workbookViewId="0">
      <selection activeCell="C23" sqref="C23"/>
    </sheetView>
  </sheetViews>
  <sheetFormatPr baseColWidth="10" defaultColWidth="8.83203125" defaultRowHeight="15"/>
  <cols>
    <col min="2" max="2" width="35" customWidth="1"/>
    <col min="3" max="3" width="21.6640625" customWidth="1"/>
    <col min="4" max="4" width="17.6640625" customWidth="1"/>
    <col min="5" max="5" width="12.33203125" customWidth="1"/>
    <col min="7" max="7" width="31" bestFit="1" customWidth="1"/>
    <col min="8" max="8" width="20.1640625" customWidth="1"/>
  </cols>
  <sheetData>
    <row r="2" spans="2:5" ht="16" thickBot="1">
      <c r="B2" s="4"/>
      <c r="C2" s="4"/>
    </row>
    <row r="3" spans="2:5">
      <c r="B3" s="6" t="s">
        <v>70</v>
      </c>
      <c r="C3" s="33">
        <f>PTTDigital_Manday!L77</f>
        <v>1976000</v>
      </c>
    </row>
    <row r="4" spans="2:5" ht="16" customHeight="1">
      <c r="B4" s="7" t="s">
        <v>59</v>
      </c>
      <c r="C4" s="34">
        <f>E13+E19</f>
        <v>0</v>
      </c>
    </row>
    <row r="5" spans="2:5" ht="16" thickBot="1">
      <c r="B5" s="90" t="s">
        <v>132</v>
      </c>
      <c r="C5" s="91">
        <f>'Vendor Cost'!E12</f>
        <v>0</v>
      </c>
    </row>
    <row r="6" spans="2:5" ht="16" thickBot="1">
      <c r="B6" s="298" t="s">
        <v>0</v>
      </c>
      <c r="C6" s="299">
        <f>SUM(C3:C5)</f>
        <v>1976000</v>
      </c>
    </row>
    <row r="7" spans="2:5" ht="16" thickTop="1"/>
    <row r="8" spans="2:5" ht="16" thickBot="1"/>
    <row r="9" spans="2:5">
      <c r="B9" s="36" t="s">
        <v>18</v>
      </c>
      <c r="C9" s="36" t="s">
        <v>19</v>
      </c>
      <c r="D9" s="36" t="s">
        <v>20</v>
      </c>
      <c r="E9" s="36" t="s">
        <v>24</v>
      </c>
    </row>
    <row r="10" spans="2:5">
      <c r="B10" s="37" t="s">
        <v>21</v>
      </c>
      <c r="C10" s="37"/>
      <c r="D10" s="37"/>
      <c r="E10" s="37">
        <f>C10*D10</f>
        <v>0</v>
      </c>
    </row>
    <row r="11" spans="2:5">
      <c r="B11" s="37" t="s">
        <v>22</v>
      </c>
      <c r="C11" s="37"/>
      <c r="D11" s="37"/>
      <c r="E11" s="37">
        <f t="shared" ref="E11:E12" si="0">C11*D11</f>
        <v>0</v>
      </c>
    </row>
    <row r="12" spans="2:5">
      <c r="B12" s="37" t="s">
        <v>23</v>
      </c>
      <c r="C12" s="37"/>
      <c r="D12" s="37"/>
      <c r="E12" s="37">
        <f t="shared" si="0"/>
        <v>0</v>
      </c>
    </row>
    <row r="13" spans="2:5" ht="16" thickBot="1">
      <c r="D13" t="s">
        <v>0</v>
      </c>
      <c r="E13" s="38">
        <f>SUM(E10:E12)</f>
        <v>0</v>
      </c>
    </row>
    <row r="14" spans="2:5" ht="21" thickTop="1" thickBot="1">
      <c r="B14" s="21"/>
    </row>
    <row r="15" spans="2:5">
      <c r="B15" s="36" t="s">
        <v>25</v>
      </c>
      <c r="C15" s="36" t="s">
        <v>19</v>
      </c>
      <c r="D15" s="36" t="s">
        <v>20</v>
      </c>
      <c r="E15" s="36" t="s">
        <v>29</v>
      </c>
    </row>
    <row r="16" spans="2:5">
      <c r="B16" s="37" t="s">
        <v>26</v>
      </c>
      <c r="C16" s="37"/>
      <c r="D16" s="37">
        <v>600</v>
      </c>
      <c r="E16" s="37">
        <f>C16*D16</f>
        <v>0</v>
      </c>
    </row>
    <row r="17" spans="2:10">
      <c r="B17" s="37" t="s">
        <v>27</v>
      </c>
      <c r="C17" s="37"/>
      <c r="D17" s="37">
        <v>600</v>
      </c>
      <c r="E17" s="37">
        <f t="shared" ref="E17:E18" si="1">C17*D17</f>
        <v>0</v>
      </c>
    </row>
    <row r="18" spans="2:10">
      <c r="B18" s="37" t="s">
        <v>28</v>
      </c>
      <c r="C18" s="37"/>
      <c r="D18" s="37">
        <v>600</v>
      </c>
      <c r="E18" s="37">
        <f t="shared" si="1"/>
        <v>0</v>
      </c>
    </row>
    <row r="19" spans="2:10" ht="16" thickBot="1">
      <c r="D19" t="s">
        <v>0</v>
      </c>
      <c r="E19" s="38">
        <f>SUM(E16:E18)</f>
        <v>0</v>
      </c>
    </row>
    <row r="20" spans="2:10" ht="16" thickTop="1"/>
    <row r="21" spans="2:10" ht="16" thickBot="1"/>
    <row r="22" spans="2:10" ht="16" thickBot="1">
      <c r="B22" s="29" t="s">
        <v>71</v>
      </c>
      <c r="C22" s="30" t="s">
        <v>13</v>
      </c>
      <c r="D22" s="31" t="s">
        <v>14</v>
      </c>
      <c r="G22" s="6" t="s">
        <v>30</v>
      </c>
      <c r="H22" s="33">
        <f>C6+E13+E19</f>
        <v>1976000</v>
      </c>
    </row>
    <row r="23" spans="2:10">
      <c r="B23" s="308" t="s">
        <v>266</v>
      </c>
      <c r="C23" s="27">
        <v>0.2</v>
      </c>
      <c r="D23" s="28">
        <f>$C$6*C23</f>
        <v>395200</v>
      </c>
      <c r="G23" s="7" t="s">
        <v>31</v>
      </c>
      <c r="H23" s="34">
        <f>H22-(C3+'Vendor Cost'!E12)</f>
        <v>0</v>
      </c>
      <c r="J23" s="214"/>
    </row>
    <row r="24" spans="2:10">
      <c r="B24" s="26" t="s">
        <v>265</v>
      </c>
      <c r="C24" s="27">
        <v>0.3</v>
      </c>
      <c r="D24" s="28">
        <f t="shared" ref="D24:D26" si="2">$C$6*C24</f>
        <v>592800</v>
      </c>
      <c r="G24" s="7"/>
      <c r="H24" s="34"/>
    </row>
    <row r="25" spans="2:10" ht="20" thickBot="1">
      <c r="B25" s="23" t="s">
        <v>264</v>
      </c>
      <c r="C25" s="22">
        <v>0.3</v>
      </c>
      <c r="D25" s="28">
        <f t="shared" si="2"/>
        <v>592800</v>
      </c>
      <c r="G25" s="39" t="s">
        <v>32</v>
      </c>
      <c r="H25" s="40">
        <f>H23/H22</f>
        <v>0</v>
      </c>
    </row>
    <row r="26" spans="2:10">
      <c r="B26" s="23" t="s">
        <v>263</v>
      </c>
      <c r="C26" s="22">
        <v>0.2</v>
      </c>
      <c r="D26" s="28">
        <f t="shared" si="2"/>
        <v>395200</v>
      </c>
    </row>
    <row r="27" spans="2:10">
      <c r="B27" s="23"/>
      <c r="C27" s="22"/>
      <c r="D27" s="28"/>
    </row>
    <row r="28" spans="2:10">
      <c r="B28" s="23"/>
      <c r="C28" s="22"/>
      <c r="D28" s="28"/>
    </row>
    <row r="29" spans="2:10">
      <c r="B29" s="23"/>
      <c r="C29" s="22"/>
      <c r="D29" s="28"/>
    </row>
    <row r="30" spans="2:10" ht="16" thickBot="1">
      <c r="B30" s="24"/>
      <c r="C30" s="25">
        <f>SUM(C23:C29)</f>
        <v>1</v>
      </c>
      <c r="D30" s="32">
        <f>SUM(D23:D29)</f>
        <v>1976000</v>
      </c>
    </row>
    <row r="32" spans="2:10" ht="16" hidden="1" thickBot="1">
      <c r="B32" s="29" t="s">
        <v>72</v>
      </c>
      <c r="C32" s="30" t="s">
        <v>13</v>
      </c>
      <c r="D32" s="31" t="s">
        <v>14</v>
      </c>
    </row>
    <row r="33" spans="2:4" hidden="1">
      <c r="B33" s="26" t="s">
        <v>33</v>
      </c>
      <c r="C33" s="27">
        <v>0.4</v>
      </c>
      <c r="D33" s="28">
        <f>'Vendor Cost'!$E$12*Total!C33</f>
        <v>0</v>
      </c>
    </row>
    <row r="34" spans="2:4" hidden="1">
      <c r="B34" s="23" t="s">
        <v>73</v>
      </c>
      <c r="C34" s="22">
        <v>0.3</v>
      </c>
      <c r="D34" s="28">
        <f>'Vendor Cost'!$E$12*Total!C34</f>
        <v>0</v>
      </c>
    </row>
    <row r="35" spans="2:4" hidden="1">
      <c r="B35" s="23" t="s">
        <v>74</v>
      </c>
      <c r="C35" s="22">
        <v>0.3</v>
      </c>
      <c r="D35" s="28">
        <f>'Vendor Cost'!$E$12*Total!C35</f>
        <v>0</v>
      </c>
    </row>
    <row r="36" spans="2:4" ht="16" hidden="1" thickBot="1">
      <c r="B36" s="24"/>
      <c r="C36" s="25">
        <f>SUM(C33:C35)</f>
        <v>1</v>
      </c>
      <c r="D36" s="32">
        <f>SUM(D33:D35)</f>
        <v>0</v>
      </c>
    </row>
    <row r="37" spans="2:4" hidden="1"/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D21A-EEA0-3542-B029-62D6170D085D}">
  <sheetPr>
    <tabColor rgb="FFFF0000"/>
    <pageSetUpPr fitToPage="1"/>
  </sheetPr>
  <dimension ref="A1:N83"/>
  <sheetViews>
    <sheetView zoomScaleNormal="100" workbookViewId="0">
      <pane xSplit="3" ySplit="4" topLeftCell="D72" activePane="bottomRight" state="frozen"/>
      <selection pane="topRight" activeCell="D1" sqref="D1"/>
      <selection pane="bottomLeft" activeCell="A5" sqref="A5"/>
      <selection pane="bottomRight" activeCell="C80" sqref="C80"/>
    </sheetView>
  </sheetViews>
  <sheetFormatPr baseColWidth="10" defaultColWidth="8.83203125" defaultRowHeight="15"/>
  <cols>
    <col min="1" max="1" width="23.33203125" customWidth="1"/>
    <col min="2" max="2" width="53.33203125" customWidth="1"/>
    <col min="3" max="3" width="19.5" customWidth="1"/>
    <col min="4" max="7" width="13.6640625" customWidth="1"/>
    <col min="8" max="8" width="14.33203125" customWidth="1"/>
    <col min="9" max="11" width="13.6640625" customWidth="1"/>
    <col min="12" max="12" width="24" customWidth="1"/>
    <col min="14" max="14" width="11.6640625" bestFit="1" customWidth="1"/>
  </cols>
  <sheetData>
    <row r="1" spans="1:11">
      <c r="A1" s="8" t="s">
        <v>175</v>
      </c>
      <c r="B1" s="9"/>
      <c r="C1" s="9"/>
      <c r="D1" s="9"/>
      <c r="E1" s="9"/>
      <c r="F1" s="9"/>
      <c r="G1" s="9"/>
      <c r="H1" s="9"/>
      <c r="J1" s="9"/>
      <c r="K1" s="9"/>
    </row>
    <row r="2" spans="1:11" ht="16" thickBot="1">
      <c r="A2" s="10" t="s">
        <v>218</v>
      </c>
      <c r="B2" s="11"/>
      <c r="C2" s="11"/>
      <c r="D2" s="11" t="s">
        <v>16</v>
      </c>
      <c r="E2" s="11" t="s">
        <v>16</v>
      </c>
      <c r="F2" s="11" t="s">
        <v>17</v>
      </c>
      <c r="G2" s="11" t="s">
        <v>17</v>
      </c>
      <c r="H2" s="11" t="s">
        <v>17</v>
      </c>
      <c r="I2" s="11" t="s">
        <v>17</v>
      </c>
      <c r="J2" s="11" t="s">
        <v>16</v>
      </c>
      <c r="K2" s="11" t="s">
        <v>17</v>
      </c>
    </row>
    <row r="3" spans="1:11" ht="14.25" customHeight="1">
      <c r="A3" s="389" t="s">
        <v>1</v>
      </c>
      <c r="B3" s="389" t="s">
        <v>3</v>
      </c>
      <c r="C3" s="389" t="s">
        <v>4</v>
      </c>
      <c r="D3" s="12" t="s">
        <v>5</v>
      </c>
      <c r="E3" s="12" t="s">
        <v>6</v>
      </c>
      <c r="F3" s="12" t="s">
        <v>6</v>
      </c>
      <c r="G3" s="12" t="s">
        <v>120</v>
      </c>
      <c r="H3" s="12" t="s">
        <v>120</v>
      </c>
      <c r="I3" s="12" t="s">
        <v>190</v>
      </c>
      <c r="J3" s="12" t="s">
        <v>7</v>
      </c>
      <c r="K3" s="12" t="s">
        <v>8</v>
      </c>
    </row>
    <row r="4" spans="1:11" ht="20.25" customHeight="1" thickBot="1">
      <c r="A4" s="395"/>
      <c r="B4" s="395"/>
      <c r="C4" s="390"/>
      <c r="D4" s="63" t="s">
        <v>122</v>
      </c>
      <c r="E4" s="63" t="s">
        <v>174</v>
      </c>
      <c r="F4" s="63" t="s">
        <v>193</v>
      </c>
      <c r="G4" s="63" t="s">
        <v>173</v>
      </c>
      <c r="H4" s="63" t="s">
        <v>192</v>
      </c>
      <c r="I4" s="63" t="s">
        <v>191</v>
      </c>
      <c r="J4" s="63" t="s">
        <v>34</v>
      </c>
      <c r="K4" s="63" t="s">
        <v>34</v>
      </c>
    </row>
    <row r="5" spans="1:11" ht="16" thickBot="1">
      <c r="A5" s="391" t="s">
        <v>2</v>
      </c>
      <c r="B5" s="96" t="s">
        <v>65</v>
      </c>
      <c r="C5" s="393" t="s">
        <v>68</v>
      </c>
      <c r="D5" s="234">
        <v>5</v>
      </c>
      <c r="E5" s="235">
        <v>2</v>
      </c>
      <c r="F5" s="236"/>
      <c r="G5" s="98"/>
      <c r="H5" s="97"/>
      <c r="I5" s="97"/>
      <c r="J5" s="97"/>
      <c r="K5" s="99"/>
    </row>
    <row r="6" spans="1:11" ht="16" thickBot="1">
      <c r="A6" s="392"/>
      <c r="B6" s="101" t="s">
        <v>66</v>
      </c>
      <c r="C6" s="394"/>
      <c r="D6" s="235">
        <v>3</v>
      </c>
      <c r="E6" s="235">
        <v>6</v>
      </c>
      <c r="F6" s="237"/>
      <c r="G6" s="93"/>
      <c r="H6" s="62"/>
      <c r="I6" s="62"/>
      <c r="J6" s="62"/>
      <c r="K6" s="100"/>
    </row>
    <row r="7" spans="1:11" ht="16" thickBot="1">
      <c r="A7" s="392"/>
      <c r="B7" s="101" t="s">
        <v>67</v>
      </c>
      <c r="C7" s="394"/>
      <c r="D7" s="238">
        <v>1</v>
      </c>
      <c r="E7" s="238">
        <v>2</v>
      </c>
      <c r="F7" s="239"/>
      <c r="G7" s="194"/>
      <c r="H7" s="95"/>
      <c r="I7" s="95"/>
      <c r="J7" s="95"/>
      <c r="K7" s="195"/>
    </row>
    <row r="8" spans="1:11" ht="53" customHeight="1" thickBot="1">
      <c r="A8" s="340" t="s">
        <v>130</v>
      </c>
      <c r="B8" s="221" t="s">
        <v>249</v>
      </c>
      <c r="C8" s="222" t="s">
        <v>134</v>
      </c>
      <c r="D8" s="240">
        <v>20</v>
      </c>
      <c r="E8" s="241">
        <v>2</v>
      </c>
      <c r="F8" s="241"/>
      <c r="G8" s="226"/>
      <c r="H8" s="227"/>
      <c r="I8" s="227"/>
      <c r="J8" s="227"/>
      <c r="K8" s="228"/>
    </row>
    <row r="9" spans="1:11" ht="16" customHeight="1" thickBot="1">
      <c r="A9" s="342" t="s">
        <v>248</v>
      </c>
      <c r="B9" s="341" t="s">
        <v>246</v>
      </c>
      <c r="C9" s="393" t="s">
        <v>252</v>
      </c>
      <c r="D9" s="335"/>
      <c r="E9" s="236"/>
      <c r="F9" s="236"/>
      <c r="G9" s="336"/>
      <c r="H9" s="337"/>
      <c r="I9" s="337"/>
      <c r="J9" s="337"/>
      <c r="K9" s="338"/>
    </row>
    <row r="10" spans="1:11" ht="16" thickBot="1">
      <c r="A10" s="334"/>
      <c r="B10" s="218" t="s">
        <v>244</v>
      </c>
      <c r="C10" s="394"/>
      <c r="D10" s="242"/>
      <c r="E10" s="243">
        <v>0.5</v>
      </c>
      <c r="F10" s="243">
        <v>1</v>
      </c>
      <c r="G10" s="204"/>
      <c r="H10" s="205"/>
      <c r="I10" s="205"/>
      <c r="J10" s="205"/>
      <c r="K10" s="206"/>
    </row>
    <row r="11" spans="1:11" ht="16" thickBot="1">
      <c r="A11" s="334"/>
      <c r="B11" s="218" t="s">
        <v>155</v>
      </c>
      <c r="C11" s="394"/>
      <c r="D11" s="242"/>
      <c r="E11" s="243">
        <v>0.5</v>
      </c>
      <c r="F11" s="243">
        <v>1</v>
      </c>
      <c r="G11" s="204"/>
      <c r="H11" s="205"/>
      <c r="I11" s="205"/>
      <c r="J11" s="205"/>
      <c r="K11" s="206"/>
    </row>
    <row r="12" spans="1:11" ht="16" thickBot="1">
      <c r="A12" s="334"/>
      <c r="B12" s="218" t="s">
        <v>156</v>
      </c>
      <c r="C12" s="394"/>
      <c r="D12" s="242"/>
      <c r="E12" s="243">
        <v>0.5</v>
      </c>
      <c r="F12" s="243">
        <v>1</v>
      </c>
      <c r="G12" s="204"/>
      <c r="H12" s="205"/>
      <c r="I12" s="205"/>
      <c r="J12" s="205"/>
      <c r="K12" s="206"/>
    </row>
    <row r="13" spans="1:11" ht="16" thickBot="1">
      <c r="A13" s="334"/>
      <c r="B13" s="218" t="s">
        <v>158</v>
      </c>
      <c r="C13" s="394"/>
      <c r="D13" s="242"/>
      <c r="E13" s="243">
        <v>0.5</v>
      </c>
      <c r="F13" s="243">
        <v>1</v>
      </c>
      <c r="G13" s="204"/>
      <c r="H13" s="205"/>
      <c r="I13" s="205"/>
      <c r="J13" s="205"/>
      <c r="K13" s="206"/>
    </row>
    <row r="14" spans="1:11" ht="16" thickBot="1">
      <c r="A14" s="334"/>
      <c r="B14" s="218" t="s">
        <v>157</v>
      </c>
      <c r="C14" s="394"/>
      <c r="D14" s="242"/>
      <c r="E14" s="237">
        <v>0.5</v>
      </c>
      <c r="F14" s="237">
        <v>0.5</v>
      </c>
      <c r="G14" s="204"/>
      <c r="H14" s="205"/>
      <c r="I14" s="205"/>
      <c r="J14" s="205"/>
      <c r="K14" s="206"/>
    </row>
    <row r="15" spans="1:11" ht="16" thickBot="1">
      <c r="A15" s="334"/>
      <c r="B15" s="218" t="s">
        <v>159</v>
      </c>
      <c r="C15" s="394"/>
      <c r="D15" s="242"/>
      <c r="E15" s="237">
        <v>0.5</v>
      </c>
      <c r="F15" s="237">
        <v>0.5</v>
      </c>
      <c r="G15" s="204"/>
      <c r="H15" s="205"/>
      <c r="I15" s="205"/>
      <c r="J15" s="205"/>
      <c r="K15" s="206"/>
    </row>
    <row r="16" spans="1:11" ht="16" thickBot="1">
      <c r="A16" s="334"/>
      <c r="B16" s="218" t="s">
        <v>160</v>
      </c>
      <c r="C16" s="394"/>
      <c r="D16" s="242"/>
      <c r="E16" s="237">
        <v>0.5</v>
      </c>
      <c r="F16" s="237">
        <v>0.5</v>
      </c>
      <c r="G16" s="204"/>
      <c r="H16" s="205"/>
      <c r="I16" s="205"/>
      <c r="J16" s="205"/>
      <c r="K16" s="206"/>
    </row>
    <row r="17" spans="1:11" ht="16" thickBot="1">
      <c r="A17" s="334"/>
      <c r="B17" s="218" t="s">
        <v>161</v>
      </c>
      <c r="C17" s="394"/>
      <c r="D17" s="242"/>
      <c r="E17" s="237">
        <v>0.5</v>
      </c>
      <c r="F17" s="237">
        <v>0.5</v>
      </c>
      <c r="G17" s="204"/>
      <c r="H17" s="205"/>
      <c r="I17" s="205"/>
      <c r="J17" s="205"/>
      <c r="K17" s="206"/>
    </row>
    <row r="18" spans="1:11" ht="16" thickBot="1">
      <c r="A18" s="334"/>
      <c r="B18" s="218" t="s">
        <v>162</v>
      </c>
      <c r="C18" s="394"/>
      <c r="D18" s="244"/>
      <c r="E18" s="237">
        <v>0.5</v>
      </c>
      <c r="F18" s="237">
        <v>0.5</v>
      </c>
      <c r="G18" s="209"/>
      <c r="H18" s="207"/>
      <c r="I18" s="207"/>
      <c r="J18" s="207"/>
      <c r="K18" s="208"/>
    </row>
    <row r="19" spans="1:11" ht="16" thickBot="1">
      <c r="A19" s="334"/>
      <c r="B19" s="341" t="s">
        <v>251</v>
      </c>
      <c r="C19" s="394"/>
      <c r="D19" s="244"/>
      <c r="E19" s="237"/>
      <c r="F19" s="237"/>
      <c r="G19" s="209"/>
      <c r="H19" s="207"/>
      <c r="I19" s="207"/>
      <c r="J19" s="207"/>
      <c r="K19" s="208"/>
    </row>
    <row r="20" spans="1:11" ht="16" thickBot="1">
      <c r="A20" s="334"/>
      <c r="B20" s="218" t="s">
        <v>168</v>
      </c>
      <c r="C20" s="394"/>
      <c r="D20" s="244"/>
      <c r="E20" s="237">
        <v>1</v>
      </c>
      <c r="F20" s="237">
        <v>2</v>
      </c>
      <c r="G20" s="209"/>
      <c r="H20" s="207"/>
      <c r="I20" s="207"/>
      <c r="J20" s="207"/>
      <c r="K20" s="208"/>
    </row>
    <row r="21" spans="1:11" ht="16" thickBot="1">
      <c r="A21" s="334"/>
      <c r="B21" s="218" t="s">
        <v>169</v>
      </c>
      <c r="C21" s="394"/>
      <c r="D21" s="244"/>
      <c r="E21" s="237">
        <v>1</v>
      </c>
      <c r="F21" s="237">
        <v>2</v>
      </c>
      <c r="G21" s="209"/>
      <c r="H21" s="207"/>
      <c r="I21" s="207"/>
      <c r="J21" s="207"/>
      <c r="K21" s="208"/>
    </row>
    <row r="22" spans="1:11" ht="16" thickBot="1">
      <c r="A22" s="334"/>
      <c r="B22" s="218" t="s">
        <v>170</v>
      </c>
      <c r="C22" s="394"/>
      <c r="D22" s="244"/>
      <c r="E22" s="237">
        <v>0.5</v>
      </c>
      <c r="F22" s="237">
        <v>1</v>
      </c>
      <c r="G22" s="209"/>
      <c r="H22" s="207"/>
      <c r="I22" s="207"/>
      <c r="J22" s="207"/>
      <c r="K22" s="208"/>
    </row>
    <row r="23" spans="1:11" ht="16" thickBot="1">
      <c r="A23" s="334"/>
      <c r="B23" s="218" t="s">
        <v>171</v>
      </c>
      <c r="C23" s="394"/>
      <c r="D23" s="244"/>
      <c r="E23" s="237">
        <v>0.5</v>
      </c>
      <c r="F23" s="237">
        <v>1</v>
      </c>
      <c r="G23" s="209"/>
      <c r="H23" s="207"/>
      <c r="I23" s="207"/>
      <c r="J23" s="207"/>
      <c r="K23" s="208"/>
    </row>
    <row r="24" spans="1:11" ht="16" thickBot="1">
      <c r="A24" s="334"/>
      <c r="B24" s="341" t="s">
        <v>262</v>
      </c>
      <c r="C24" s="394"/>
      <c r="D24" s="244"/>
      <c r="E24" s="237"/>
      <c r="F24" s="237"/>
      <c r="G24" s="209"/>
      <c r="H24" s="207"/>
      <c r="I24" s="207"/>
      <c r="J24" s="207"/>
      <c r="K24" s="208"/>
    </row>
    <row r="25" spans="1:11" ht="16" thickBot="1">
      <c r="A25" s="334"/>
      <c r="B25" s="344" t="s">
        <v>221</v>
      </c>
      <c r="C25" s="394"/>
      <c r="D25" s="244"/>
      <c r="E25" s="237">
        <v>2</v>
      </c>
      <c r="F25" s="237">
        <v>3</v>
      </c>
      <c r="G25" s="209"/>
      <c r="H25" s="207"/>
      <c r="I25" s="207"/>
      <c r="J25" s="207"/>
      <c r="K25" s="208"/>
    </row>
    <row r="26" spans="1:11" ht="16" thickBot="1">
      <c r="A26" s="334"/>
      <c r="B26" s="344" t="s">
        <v>222</v>
      </c>
      <c r="C26" s="394"/>
      <c r="D26" s="244"/>
      <c r="E26" s="237">
        <v>1.5</v>
      </c>
      <c r="F26" s="237">
        <v>1.5</v>
      </c>
      <c r="G26" s="209"/>
      <c r="H26" s="207"/>
      <c r="I26" s="207"/>
      <c r="J26" s="207"/>
      <c r="K26" s="208"/>
    </row>
    <row r="27" spans="1:11" ht="16" thickBot="1">
      <c r="A27" s="334"/>
      <c r="B27" s="344" t="s">
        <v>223</v>
      </c>
      <c r="C27" s="394"/>
      <c r="D27" s="244"/>
      <c r="E27" s="237">
        <v>2</v>
      </c>
      <c r="F27" s="237">
        <v>3</v>
      </c>
      <c r="G27" s="209"/>
      <c r="H27" s="207"/>
      <c r="I27" s="207"/>
      <c r="J27" s="207"/>
      <c r="K27" s="208"/>
    </row>
    <row r="28" spans="1:11" ht="16" thickBot="1">
      <c r="A28" s="343"/>
      <c r="B28" s="339" t="s">
        <v>224</v>
      </c>
      <c r="C28" s="397"/>
      <c r="D28" s="347">
        <v>0.5</v>
      </c>
      <c r="E28" s="345"/>
      <c r="F28" s="345"/>
      <c r="G28" s="346"/>
      <c r="H28" s="290"/>
      <c r="I28" s="290"/>
      <c r="J28" s="290"/>
      <c r="K28" s="291"/>
    </row>
    <row r="29" spans="1:11" ht="17" customHeight="1" thickBot="1">
      <c r="A29" s="392" t="s">
        <v>250</v>
      </c>
      <c r="B29" s="223" t="s">
        <v>142</v>
      </c>
      <c r="C29" s="193"/>
      <c r="D29" s="242"/>
      <c r="E29" s="243"/>
      <c r="F29" s="243"/>
      <c r="G29" s="204"/>
      <c r="H29" s="205"/>
      <c r="I29" s="205"/>
      <c r="J29" s="205"/>
      <c r="K29" s="206"/>
    </row>
    <row r="30" spans="1:11" ht="16" thickBot="1">
      <c r="A30" s="392"/>
      <c r="B30" s="203" t="s">
        <v>76</v>
      </c>
      <c r="C30" s="193"/>
      <c r="D30" s="242"/>
      <c r="E30" s="243"/>
      <c r="F30" s="243"/>
      <c r="G30" s="204"/>
      <c r="H30" s="205"/>
      <c r="I30" s="205"/>
      <c r="J30" s="205"/>
      <c r="K30" s="206"/>
    </row>
    <row r="31" spans="1:11" ht="16" thickBot="1">
      <c r="A31" s="392"/>
      <c r="B31" s="218" t="s">
        <v>154</v>
      </c>
      <c r="C31" s="193"/>
      <c r="D31" s="242"/>
      <c r="E31" s="243"/>
      <c r="F31" s="243"/>
      <c r="G31" s="204">
        <v>3</v>
      </c>
      <c r="H31" s="205"/>
      <c r="I31" s="205"/>
      <c r="J31" s="205"/>
      <c r="K31" s="206"/>
    </row>
    <row r="32" spans="1:11" ht="16" thickBot="1">
      <c r="A32" s="392"/>
      <c r="B32" s="218" t="s">
        <v>155</v>
      </c>
      <c r="C32" s="193"/>
      <c r="D32" s="242"/>
      <c r="E32" s="243"/>
      <c r="F32" s="243"/>
      <c r="G32" s="204">
        <v>2</v>
      </c>
      <c r="H32" s="205"/>
      <c r="I32" s="205"/>
      <c r="J32" s="205"/>
      <c r="K32" s="206"/>
    </row>
    <row r="33" spans="1:11" ht="16" thickBot="1">
      <c r="A33" s="392"/>
      <c r="B33" s="218" t="s">
        <v>156</v>
      </c>
      <c r="C33" s="193"/>
      <c r="D33" s="242"/>
      <c r="E33" s="243"/>
      <c r="F33" s="243"/>
      <c r="G33" s="204">
        <v>4</v>
      </c>
      <c r="H33" s="205"/>
      <c r="I33" s="205"/>
      <c r="J33" s="205"/>
      <c r="K33" s="206"/>
    </row>
    <row r="34" spans="1:11" ht="16" thickBot="1">
      <c r="A34" s="392"/>
      <c r="B34" s="218" t="s">
        <v>158</v>
      </c>
      <c r="C34" s="193"/>
      <c r="D34" s="242"/>
      <c r="E34" s="243"/>
      <c r="F34" s="243"/>
      <c r="G34" s="204">
        <v>4</v>
      </c>
      <c r="H34" s="205"/>
      <c r="I34" s="205"/>
      <c r="J34" s="205"/>
      <c r="K34" s="206"/>
    </row>
    <row r="35" spans="1:11" ht="16" thickBot="1">
      <c r="A35" s="392"/>
      <c r="B35" s="218" t="s">
        <v>157</v>
      </c>
      <c r="C35" s="193"/>
      <c r="D35" s="242"/>
      <c r="E35" s="243"/>
      <c r="F35" s="243"/>
      <c r="G35" s="204">
        <v>2</v>
      </c>
      <c r="H35" s="204"/>
      <c r="I35" s="205"/>
      <c r="J35" s="205"/>
      <c r="K35" s="206"/>
    </row>
    <row r="36" spans="1:11" ht="16" thickBot="1">
      <c r="A36" s="392"/>
      <c r="B36" s="218" t="s">
        <v>159</v>
      </c>
      <c r="C36" s="193"/>
      <c r="D36" s="242"/>
      <c r="E36" s="243"/>
      <c r="F36" s="243"/>
      <c r="G36" s="204">
        <v>2</v>
      </c>
      <c r="H36" s="204"/>
      <c r="I36" s="205"/>
      <c r="J36" s="205"/>
      <c r="K36" s="206"/>
    </row>
    <row r="37" spans="1:11" ht="16" thickBot="1">
      <c r="A37" s="392"/>
      <c r="B37" s="218" t="s">
        <v>160</v>
      </c>
      <c r="C37" s="193"/>
      <c r="D37" s="242"/>
      <c r="E37" s="243"/>
      <c r="F37" s="243"/>
      <c r="G37" s="204">
        <v>2</v>
      </c>
      <c r="H37" s="204"/>
      <c r="I37" s="205"/>
      <c r="J37" s="205"/>
      <c r="K37" s="206"/>
    </row>
    <row r="38" spans="1:11" ht="16" thickBot="1">
      <c r="A38" s="392"/>
      <c r="B38" s="218" t="s">
        <v>161</v>
      </c>
      <c r="C38" s="193"/>
      <c r="D38" s="242"/>
      <c r="E38" s="243"/>
      <c r="F38" s="243"/>
      <c r="G38" s="204">
        <v>2</v>
      </c>
      <c r="H38" s="204"/>
      <c r="I38" s="205"/>
      <c r="J38" s="205"/>
      <c r="K38" s="206"/>
    </row>
    <row r="39" spans="1:11" ht="16" thickBot="1">
      <c r="A39" s="392"/>
      <c r="B39" s="218" t="s">
        <v>162</v>
      </c>
      <c r="C39" s="193"/>
      <c r="D39" s="242"/>
      <c r="E39" s="243"/>
      <c r="F39" s="243"/>
      <c r="G39" s="204">
        <v>2</v>
      </c>
      <c r="H39" s="204"/>
      <c r="I39" s="205"/>
      <c r="J39" s="205"/>
      <c r="K39" s="206"/>
    </row>
    <row r="40" spans="1:11" ht="16" thickBot="1">
      <c r="A40" s="392"/>
      <c r="B40" s="225" t="s">
        <v>163</v>
      </c>
      <c r="C40" s="193"/>
      <c r="D40" s="245"/>
      <c r="E40" s="237"/>
      <c r="F40" s="239"/>
      <c r="G40" s="224"/>
      <c r="H40" s="216"/>
      <c r="I40" s="216"/>
      <c r="J40" s="216"/>
      <c r="K40" s="217"/>
    </row>
    <row r="41" spans="1:11" ht="16" thickBot="1">
      <c r="A41" s="392"/>
      <c r="B41" s="219" t="s">
        <v>135</v>
      </c>
      <c r="C41" s="193"/>
      <c r="D41" s="245"/>
      <c r="E41" s="237">
        <v>1</v>
      </c>
      <c r="F41" s="239">
        <v>2</v>
      </c>
      <c r="G41" s="224"/>
      <c r="H41" s="216"/>
      <c r="I41" s="216"/>
      <c r="J41" s="216"/>
      <c r="K41" s="217"/>
    </row>
    <row r="42" spans="1:11" ht="16" thickBot="1">
      <c r="A42" s="392"/>
      <c r="B42" s="219" t="s">
        <v>136</v>
      </c>
      <c r="C42" s="193"/>
      <c r="D42" s="246"/>
      <c r="E42" s="237">
        <v>1</v>
      </c>
      <c r="F42" s="247">
        <v>2</v>
      </c>
      <c r="G42" s="215"/>
      <c r="H42" s="215"/>
      <c r="I42" s="216"/>
      <c r="J42" s="216"/>
      <c r="K42" s="217"/>
    </row>
    <row r="43" spans="1:11" ht="16" thickBot="1">
      <c r="A43" s="392"/>
      <c r="B43" s="219" t="s">
        <v>164</v>
      </c>
      <c r="C43" s="193"/>
      <c r="D43" s="246"/>
      <c r="E43" s="237">
        <v>1</v>
      </c>
      <c r="F43" s="247">
        <v>2</v>
      </c>
      <c r="G43" s="215"/>
      <c r="H43" s="215"/>
      <c r="I43" s="216"/>
      <c r="J43" s="216"/>
      <c r="K43" s="217"/>
    </row>
    <row r="44" spans="1:11" ht="16" thickBot="1">
      <c r="A44" s="392"/>
      <c r="B44" s="225" t="s">
        <v>145</v>
      </c>
      <c r="C44" s="193"/>
      <c r="D44" s="245"/>
      <c r="E44" s="239"/>
      <c r="F44" s="239"/>
      <c r="G44" s="224"/>
      <c r="H44" s="216"/>
      <c r="I44" s="216"/>
      <c r="J44" s="216"/>
      <c r="K44" s="217"/>
    </row>
    <row r="45" spans="1:11" ht="16" thickBot="1">
      <c r="A45" s="392"/>
      <c r="B45" s="219" t="s">
        <v>153</v>
      </c>
      <c r="C45" s="193"/>
      <c r="D45" s="245"/>
      <c r="E45" s="239">
        <v>1</v>
      </c>
      <c r="F45" s="239">
        <v>2</v>
      </c>
      <c r="G45" s="224">
        <v>2</v>
      </c>
      <c r="H45" s="224"/>
      <c r="I45" s="216"/>
      <c r="J45" s="216"/>
      <c r="K45" s="217"/>
    </row>
    <row r="46" spans="1:11" ht="16" thickBot="1">
      <c r="A46" s="392"/>
      <c r="B46" s="220" t="s">
        <v>152</v>
      </c>
      <c r="C46" s="193"/>
      <c r="D46" s="246"/>
      <c r="E46" s="247"/>
      <c r="F46" s="247">
        <v>0.5</v>
      </c>
      <c r="G46" s="215"/>
      <c r="H46" s="215"/>
      <c r="I46" s="216"/>
      <c r="J46" s="216"/>
      <c r="K46" s="217"/>
    </row>
    <row r="47" spans="1:11" ht="17" customHeight="1" thickBot="1">
      <c r="A47" s="392"/>
      <c r="B47" s="223" t="s">
        <v>227</v>
      </c>
      <c r="C47" s="256"/>
      <c r="D47" s="244"/>
      <c r="E47" s="237"/>
      <c r="F47" s="237"/>
      <c r="G47" s="209"/>
      <c r="H47" s="207"/>
      <c r="I47" s="207"/>
      <c r="J47" s="207"/>
      <c r="K47" s="208"/>
    </row>
    <row r="48" spans="1:11" ht="16" thickBot="1">
      <c r="A48" s="392"/>
      <c r="B48" s="203" t="s">
        <v>76</v>
      </c>
      <c r="C48" s="256"/>
      <c r="D48" s="242"/>
      <c r="E48" s="243"/>
      <c r="F48" s="243"/>
      <c r="G48" s="204"/>
      <c r="H48" s="205"/>
      <c r="I48" s="205"/>
      <c r="J48" s="205"/>
      <c r="K48" s="206"/>
    </row>
    <row r="49" spans="1:11" ht="16" thickBot="1">
      <c r="A49" s="392"/>
      <c r="B49" s="218" t="s">
        <v>169</v>
      </c>
      <c r="C49" s="256"/>
      <c r="D49" s="242"/>
      <c r="E49" s="243"/>
      <c r="F49" s="243"/>
      <c r="G49" s="243"/>
      <c r="H49" s="204">
        <v>4</v>
      </c>
      <c r="I49" s="205"/>
      <c r="J49" s="205"/>
      <c r="K49" s="206"/>
    </row>
    <row r="50" spans="1:11" ht="16" thickBot="1">
      <c r="A50" s="392"/>
      <c r="B50" s="218" t="s">
        <v>171</v>
      </c>
      <c r="C50" s="256"/>
      <c r="D50" s="242"/>
      <c r="E50" s="243"/>
      <c r="F50" s="243"/>
      <c r="G50" s="243"/>
      <c r="H50" s="204">
        <v>8</v>
      </c>
      <c r="I50" s="205"/>
      <c r="J50" s="205"/>
      <c r="K50" s="206"/>
    </row>
    <row r="51" spans="1:11" ht="16" thickBot="1">
      <c r="A51" s="392"/>
      <c r="B51" s="225" t="s">
        <v>163</v>
      </c>
      <c r="C51" s="256"/>
      <c r="D51" s="242"/>
      <c r="E51" s="243"/>
      <c r="F51" s="243"/>
      <c r="G51" s="204"/>
      <c r="H51" s="205"/>
      <c r="I51" s="205"/>
      <c r="J51" s="205"/>
      <c r="K51" s="206"/>
    </row>
    <row r="52" spans="1:11" ht="16" thickBot="1">
      <c r="A52" s="392"/>
      <c r="B52" s="219" t="s">
        <v>135</v>
      </c>
      <c r="C52" s="256"/>
      <c r="D52" s="242"/>
      <c r="E52" s="243">
        <v>0.5</v>
      </c>
      <c r="F52" s="243">
        <v>2</v>
      </c>
      <c r="G52" s="204"/>
      <c r="H52" s="205"/>
      <c r="I52" s="205"/>
      <c r="J52" s="205"/>
      <c r="K52" s="206"/>
    </row>
    <row r="53" spans="1:11" ht="16" thickBot="1">
      <c r="A53" s="392"/>
      <c r="B53" s="219" t="s">
        <v>136</v>
      </c>
      <c r="C53" s="256"/>
      <c r="D53" s="242"/>
      <c r="E53" s="243">
        <v>0.5</v>
      </c>
      <c r="F53" s="243">
        <v>4</v>
      </c>
      <c r="G53" s="204"/>
      <c r="H53" s="205"/>
      <c r="I53" s="205"/>
      <c r="J53" s="205"/>
      <c r="K53" s="206"/>
    </row>
    <row r="54" spans="1:11" ht="16" thickBot="1">
      <c r="A54" s="392"/>
      <c r="B54" s="219" t="s">
        <v>164</v>
      </c>
      <c r="C54" s="256"/>
      <c r="D54" s="242"/>
      <c r="E54" s="243">
        <v>1</v>
      </c>
      <c r="F54" s="243">
        <v>2</v>
      </c>
      <c r="G54" s="204"/>
      <c r="H54" s="205"/>
      <c r="I54" s="205"/>
      <c r="J54" s="205"/>
      <c r="K54" s="206"/>
    </row>
    <row r="55" spans="1:11" ht="16" thickBot="1">
      <c r="A55" s="392"/>
      <c r="B55" s="225" t="s">
        <v>145</v>
      </c>
      <c r="C55" s="256"/>
      <c r="D55" s="242"/>
      <c r="E55" s="243"/>
      <c r="F55" s="243"/>
      <c r="G55" s="204"/>
      <c r="H55" s="205"/>
      <c r="I55" s="205"/>
      <c r="J55" s="205"/>
      <c r="K55" s="206"/>
    </row>
    <row r="56" spans="1:11" ht="16" thickBot="1">
      <c r="A56" s="392"/>
      <c r="B56" s="219" t="s">
        <v>153</v>
      </c>
      <c r="C56" s="256"/>
      <c r="D56" s="242"/>
      <c r="E56" s="243">
        <v>1</v>
      </c>
      <c r="F56" s="243">
        <v>2</v>
      </c>
      <c r="G56" s="204"/>
      <c r="H56" s="204">
        <v>3</v>
      </c>
      <c r="I56" s="205"/>
      <c r="J56" s="205"/>
      <c r="K56" s="206"/>
    </row>
    <row r="57" spans="1:11" ht="16" thickBot="1">
      <c r="A57" s="392"/>
      <c r="B57" s="282" t="s">
        <v>152</v>
      </c>
      <c r="C57" s="256"/>
      <c r="D57" s="249"/>
      <c r="E57" s="250"/>
      <c r="F57" s="250">
        <v>0.5</v>
      </c>
      <c r="G57" s="229"/>
      <c r="H57" s="230"/>
      <c r="I57" s="230"/>
      <c r="J57" s="230"/>
      <c r="K57" s="231"/>
    </row>
    <row r="58" spans="1:11" ht="16" thickBot="1">
      <c r="A58" s="391" t="s">
        <v>260</v>
      </c>
      <c r="B58" s="349" t="s">
        <v>228</v>
      </c>
      <c r="C58" s="255"/>
      <c r="D58" s="348"/>
      <c r="E58" s="236">
        <v>1</v>
      </c>
      <c r="F58" s="236">
        <v>2</v>
      </c>
      <c r="G58" s="336"/>
      <c r="H58" s="337"/>
      <c r="I58" s="337"/>
      <c r="J58" s="337"/>
      <c r="K58" s="338"/>
    </row>
    <row r="59" spans="1:11" ht="16" thickBot="1">
      <c r="A59" s="392"/>
      <c r="B59" s="293" t="s">
        <v>229</v>
      </c>
      <c r="C59" s="256"/>
      <c r="D59" s="234"/>
      <c r="E59" s="237">
        <v>1</v>
      </c>
      <c r="F59" s="237">
        <v>2</v>
      </c>
      <c r="G59" s="209"/>
      <c r="H59" s="207"/>
      <c r="I59" s="207"/>
      <c r="J59" s="207"/>
      <c r="K59" s="208"/>
    </row>
    <row r="60" spans="1:11" ht="16" thickBot="1">
      <c r="A60" s="392"/>
      <c r="B60" s="293" t="s">
        <v>261</v>
      </c>
      <c r="C60" s="256"/>
      <c r="D60" s="234"/>
      <c r="E60" s="237">
        <v>1</v>
      </c>
      <c r="F60" s="237">
        <v>2</v>
      </c>
      <c r="G60" s="209"/>
      <c r="H60" s="207"/>
      <c r="I60" s="207"/>
      <c r="J60" s="207"/>
      <c r="K60" s="208"/>
    </row>
    <row r="61" spans="1:11" ht="16" thickBot="1">
      <c r="A61" s="392"/>
      <c r="B61" s="293" t="s">
        <v>231</v>
      </c>
      <c r="C61" s="256"/>
      <c r="D61" s="234"/>
      <c r="E61" s="237"/>
      <c r="F61" s="237">
        <v>1</v>
      </c>
      <c r="G61" s="209"/>
      <c r="H61" s="207"/>
      <c r="I61" s="207"/>
      <c r="J61" s="207"/>
      <c r="K61" s="208"/>
    </row>
    <row r="62" spans="1:11" ht="16" thickBot="1">
      <c r="A62" s="391" t="s">
        <v>257</v>
      </c>
      <c r="B62" s="349" t="s">
        <v>181</v>
      </c>
      <c r="C62" s="255"/>
      <c r="D62" s="348"/>
      <c r="E62" s="236">
        <v>1</v>
      </c>
      <c r="F62" s="236"/>
      <c r="G62" s="336"/>
      <c r="H62" s="337"/>
      <c r="I62" s="337"/>
      <c r="J62" s="337"/>
      <c r="K62" s="338"/>
    </row>
    <row r="63" spans="1:11" ht="16" thickBot="1">
      <c r="A63" s="392"/>
      <c r="B63" s="293" t="s">
        <v>182</v>
      </c>
      <c r="C63" s="256"/>
      <c r="D63" s="234"/>
      <c r="E63" s="237"/>
      <c r="F63" s="237"/>
      <c r="G63" s="209"/>
      <c r="H63" s="207"/>
      <c r="I63" s="207"/>
      <c r="J63" s="207"/>
      <c r="K63" s="208"/>
    </row>
    <row r="64" spans="1:11" ht="16" thickBot="1">
      <c r="A64" s="392"/>
      <c r="B64" s="293" t="s">
        <v>253</v>
      </c>
      <c r="C64" s="256" t="s">
        <v>202</v>
      </c>
      <c r="D64" s="234">
        <v>0.5</v>
      </c>
      <c r="E64" s="237"/>
      <c r="F64" s="237"/>
      <c r="G64" s="209"/>
      <c r="H64" s="207"/>
      <c r="I64" s="207"/>
      <c r="J64" s="207"/>
      <c r="K64" s="208"/>
    </row>
    <row r="65" spans="1:14" ht="16" thickBot="1">
      <c r="A65" s="392"/>
      <c r="B65" s="293" t="s">
        <v>183</v>
      </c>
      <c r="C65" s="256"/>
      <c r="D65" s="234"/>
      <c r="E65" s="237">
        <v>1</v>
      </c>
      <c r="F65" s="237">
        <v>3</v>
      </c>
      <c r="G65" s="209"/>
      <c r="H65" s="207"/>
      <c r="I65" s="207"/>
      <c r="J65" s="207"/>
      <c r="K65" s="208"/>
    </row>
    <row r="66" spans="1:14" ht="16" thickBot="1">
      <c r="A66" s="396"/>
      <c r="B66" s="294" t="s">
        <v>184</v>
      </c>
      <c r="C66" s="257"/>
      <c r="D66" s="253"/>
      <c r="E66" s="254">
        <v>2</v>
      </c>
      <c r="F66" s="254">
        <v>2</v>
      </c>
      <c r="G66" s="197"/>
      <c r="H66" s="197"/>
      <c r="I66" s="290"/>
      <c r="J66" s="290"/>
      <c r="K66" s="291"/>
    </row>
    <row r="67" spans="1:14" ht="16" thickBot="1">
      <c r="A67" s="392" t="s">
        <v>255</v>
      </c>
      <c r="B67" s="293" t="s">
        <v>149</v>
      </c>
      <c r="C67" s="393" t="s">
        <v>123</v>
      </c>
      <c r="D67" s="234"/>
      <c r="E67" s="237">
        <v>1</v>
      </c>
      <c r="F67" s="237">
        <v>2</v>
      </c>
      <c r="G67" s="209"/>
      <c r="H67" s="207"/>
      <c r="I67" s="209">
        <v>3</v>
      </c>
      <c r="J67" s="207"/>
      <c r="K67" s="208"/>
    </row>
    <row r="68" spans="1:14" ht="16" thickBot="1">
      <c r="A68" s="392"/>
      <c r="B68" s="293" t="s">
        <v>258</v>
      </c>
      <c r="C68" s="394"/>
      <c r="D68" s="234">
        <v>1</v>
      </c>
      <c r="E68" s="237">
        <v>2</v>
      </c>
      <c r="F68" s="237">
        <v>3</v>
      </c>
      <c r="G68" s="209"/>
      <c r="H68" s="207"/>
      <c r="I68" s="207"/>
      <c r="J68" s="207"/>
      <c r="K68" s="208"/>
    </row>
    <row r="69" spans="1:14" ht="16" thickBot="1">
      <c r="A69" s="392"/>
      <c r="B69" s="293" t="s">
        <v>150</v>
      </c>
      <c r="C69" s="394"/>
      <c r="D69" s="234"/>
      <c r="E69" s="237">
        <v>1</v>
      </c>
      <c r="F69" s="237">
        <v>1</v>
      </c>
      <c r="G69" s="209"/>
      <c r="H69" s="207"/>
      <c r="I69" s="207"/>
      <c r="J69" s="207"/>
      <c r="K69" s="208"/>
    </row>
    <row r="70" spans="1:14" ht="16" thickBot="1">
      <c r="A70" s="396"/>
      <c r="B70" s="294" t="s">
        <v>259</v>
      </c>
      <c r="C70" s="397"/>
      <c r="D70" s="253">
        <v>0.5</v>
      </c>
      <c r="E70" s="254"/>
      <c r="F70" s="254"/>
      <c r="G70" s="197"/>
      <c r="H70" s="197"/>
      <c r="I70" s="290"/>
      <c r="J70" s="290"/>
      <c r="K70" s="291"/>
    </row>
    <row r="71" spans="1:14" ht="37" thickBot="1">
      <c r="A71" s="391" t="s">
        <v>256</v>
      </c>
      <c r="B71" s="96" t="s">
        <v>185</v>
      </c>
      <c r="C71" s="369" t="s">
        <v>187</v>
      </c>
      <c r="D71" s="251"/>
      <c r="E71" s="252">
        <v>1</v>
      </c>
      <c r="F71" s="252">
        <v>3</v>
      </c>
      <c r="G71" s="196"/>
      <c r="H71" s="199"/>
      <c r="I71" s="199"/>
      <c r="J71" s="199"/>
      <c r="K71" s="200"/>
    </row>
    <row r="72" spans="1:14" ht="40" thickBot="1">
      <c r="A72" s="396"/>
      <c r="B72" s="210" t="s">
        <v>186</v>
      </c>
      <c r="C72" s="370" t="s">
        <v>188</v>
      </c>
      <c r="D72" s="253">
        <v>0.5</v>
      </c>
      <c r="E72" s="254">
        <v>2</v>
      </c>
      <c r="F72" s="254">
        <v>1</v>
      </c>
      <c r="G72" s="197"/>
      <c r="H72" s="211"/>
      <c r="I72" s="211"/>
      <c r="J72" s="211"/>
      <c r="K72" s="212"/>
    </row>
    <row r="73" spans="1:14" ht="25" customHeight="1" thickBot="1">
      <c r="A73" s="5" t="s">
        <v>0</v>
      </c>
      <c r="B73" s="2"/>
      <c r="C73" s="1"/>
      <c r="D73" s="1">
        <f t="shared" ref="D73:K73" si="0">SUM(D5:D72)</f>
        <v>32</v>
      </c>
      <c r="E73" s="1">
        <f t="shared" si="0"/>
        <v>46</v>
      </c>
      <c r="F73" s="1">
        <f t="shared" si="0"/>
        <v>61</v>
      </c>
      <c r="G73" s="1">
        <f t="shared" si="0"/>
        <v>25</v>
      </c>
      <c r="H73" s="1">
        <f t="shared" si="0"/>
        <v>15</v>
      </c>
      <c r="I73" s="1">
        <f t="shared" si="0"/>
        <v>3</v>
      </c>
      <c r="J73" s="1">
        <f t="shared" si="0"/>
        <v>0</v>
      </c>
      <c r="K73" s="1">
        <f t="shared" si="0"/>
        <v>0</v>
      </c>
    </row>
    <row r="74" spans="1:14" s="3" customFormat="1" thickBot="1"/>
    <row r="75" spans="1:14" ht="20" thickBot="1">
      <c r="C75" t="s">
        <v>10</v>
      </c>
      <c r="L75" s="20" t="s">
        <v>15</v>
      </c>
    </row>
    <row r="76" spans="1:14" ht="17" customHeight="1">
      <c r="A76" s="102" t="s">
        <v>62</v>
      </c>
      <c r="B76" s="94" t="s">
        <v>12</v>
      </c>
      <c r="C76" s="13" t="s">
        <v>131</v>
      </c>
      <c r="D76" s="14">
        <v>14000</v>
      </c>
      <c r="E76" s="14">
        <v>14000</v>
      </c>
      <c r="F76" s="14">
        <v>8500</v>
      </c>
      <c r="G76" s="14">
        <v>8500</v>
      </c>
      <c r="H76" s="14">
        <v>8500</v>
      </c>
      <c r="I76" s="17">
        <v>8500</v>
      </c>
      <c r="J76" s="14">
        <v>14000</v>
      </c>
      <c r="K76" s="17">
        <v>8500</v>
      </c>
      <c r="L76" s="18"/>
    </row>
    <row r="77" spans="1:14" ht="17" customHeight="1" thickBot="1">
      <c r="B77" s="94" t="s">
        <v>11</v>
      </c>
      <c r="C77" s="15" t="s">
        <v>69</v>
      </c>
      <c r="D77" s="16">
        <f>D73*D76</f>
        <v>448000</v>
      </c>
      <c r="E77" s="16">
        <f>E73*E76</f>
        <v>644000</v>
      </c>
      <c r="F77" s="16">
        <f t="shared" ref="F77:K77" si="1">F73*F76</f>
        <v>518500</v>
      </c>
      <c r="G77" s="16">
        <f t="shared" si="1"/>
        <v>212500</v>
      </c>
      <c r="H77" s="16">
        <f>H73*H76</f>
        <v>127500</v>
      </c>
      <c r="I77" s="16">
        <f t="shared" si="1"/>
        <v>25500</v>
      </c>
      <c r="J77" s="16">
        <f t="shared" si="1"/>
        <v>0</v>
      </c>
      <c r="K77" s="16">
        <f t="shared" si="1"/>
        <v>0</v>
      </c>
      <c r="L77" s="19">
        <f>SUM(D77:K77)</f>
        <v>1976000</v>
      </c>
    </row>
    <row r="78" spans="1:14" ht="20" thickBot="1">
      <c r="L78" s="35">
        <f>SUM(L77:L77)</f>
        <v>1976000</v>
      </c>
      <c r="N78" s="198"/>
    </row>
    <row r="80" spans="1:14">
      <c r="L80" s="201"/>
    </row>
    <row r="81" spans="12:12">
      <c r="L81" s="202"/>
    </row>
    <row r="83" spans="12:12">
      <c r="L83" s="198"/>
    </row>
  </sheetData>
  <autoFilter ref="A4:N73" xr:uid="{F216D21A-EEA0-3542-B029-62D6170D085D}"/>
  <mergeCells count="12">
    <mergeCell ref="A71:A72"/>
    <mergeCell ref="A67:A70"/>
    <mergeCell ref="A62:A66"/>
    <mergeCell ref="A58:A61"/>
    <mergeCell ref="C9:C28"/>
    <mergeCell ref="C67:C70"/>
    <mergeCell ref="A29:A57"/>
    <mergeCell ref="C3:C4"/>
    <mergeCell ref="A5:A7"/>
    <mergeCell ref="C5:C7"/>
    <mergeCell ref="A3:A4"/>
    <mergeCell ref="B3:B4"/>
  </mergeCells>
  <dataValidations count="1">
    <dataValidation type="list" allowBlank="1" showInputMessage="1" showErrorMessage="1" sqref="D2:K2" xr:uid="{3886A487-57E2-894D-8558-018C1109EAA6}">
      <formula1>"Sr1, Sr2, Of1, Of2"</formula1>
    </dataValidation>
  </dataValidations>
  <pageMargins left="0.7" right="0.7" top="0.75" bottom="0.75" header="0.3" footer="0.3"/>
  <pageSetup paperSize="9" scale="5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FB4AC-BB8F-CA42-B508-F409313AAD04}">
  <dimension ref="A1:O148"/>
  <sheetViews>
    <sheetView topLeftCell="C129" zoomScale="130" zoomScaleNormal="130" workbookViewId="0">
      <selection activeCell="B110" sqref="B110:B113"/>
    </sheetView>
  </sheetViews>
  <sheetFormatPr baseColWidth="10" defaultColWidth="8.83203125" defaultRowHeight="15"/>
  <cols>
    <col min="1" max="1" width="23.33203125" customWidth="1"/>
    <col min="2" max="2" width="53.33203125" customWidth="1"/>
    <col min="3" max="3" width="19.5" customWidth="1"/>
    <col min="4" max="8" width="13.6640625" customWidth="1"/>
    <col min="9" max="9" width="14.33203125" customWidth="1"/>
    <col min="10" max="12" width="13.6640625" customWidth="1"/>
    <col min="13" max="13" width="24" customWidth="1"/>
    <col min="15" max="15" width="11.6640625" bestFit="1" customWidth="1"/>
  </cols>
  <sheetData>
    <row r="1" spans="1:12">
      <c r="A1" s="8" t="s">
        <v>175</v>
      </c>
      <c r="B1" s="9"/>
      <c r="C1" s="9"/>
      <c r="D1" s="9"/>
      <c r="E1" s="9"/>
      <c r="F1" s="9"/>
      <c r="G1" s="9"/>
      <c r="H1" s="9"/>
      <c r="I1" s="9"/>
      <c r="K1" s="9"/>
      <c r="L1" s="9"/>
    </row>
    <row r="2" spans="1:12" ht="16" thickBot="1">
      <c r="A2" s="10" t="s">
        <v>218</v>
      </c>
      <c r="B2" s="11"/>
      <c r="C2" s="11"/>
      <c r="D2" s="11" t="s">
        <v>16</v>
      </c>
      <c r="E2" s="11" t="s">
        <v>16</v>
      </c>
      <c r="F2" s="11" t="s">
        <v>16</v>
      </c>
      <c r="G2" s="11" t="s">
        <v>16</v>
      </c>
      <c r="H2" s="11" t="s">
        <v>16</v>
      </c>
      <c r="I2" s="11" t="s">
        <v>16</v>
      </c>
      <c r="J2" s="11" t="s">
        <v>17</v>
      </c>
      <c r="K2" s="11" t="s">
        <v>16</v>
      </c>
      <c r="L2" s="11" t="s">
        <v>17</v>
      </c>
    </row>
    <row r="3" spans="1:12" ht="14.25" customHeight="1">
      <c r="A3" s="389" t="s">
        <v>1</v>
      </c>
      <c r="B3" s="389" t="s">
        <v>3</v>
      </c>
      <c r="C3" s="389" t="s">
        <v>4</v>
      </c>
      <c r="D3" s="12" t="s">
        <v>5</v>
      </c>
      <c r="E3" s="12" t="s">
        <v>6</v>
      </c>
      <c r="F3" s="12" t="s">
        <v>201</v>
      </c>
      <c r="G3" s="12" t="s">
        <v>201</v>
      </c>
      <c r="H3" s="12" t="s">
        <v>120</v>
      </c>
      <c r="I3" s="12" t="s">
        <v>120</v>
      </c>
      <c r="J3" s="12" t="s">
        <v>190</v>
      </c>
      <c r="K3" s="12" t="s">
        <v>7</v>
      </c>
      <c r="L3" s="12" t="s">
        <v>8</v>
      </c>
    </row>
    <row r="4" spans="1:12" ht="20.25" customHeight="1" thickBot="1">
      <c r="A4" s="395"/>
      <c r="B4" s="395"/>
      <c r="C4" s="390"/>
      <c r="D4" s="63" t="s">
        <v>122</v>
      </c>
      <c r="E4" s="63" t="s">
        <v>174</v>
      </c>
      <c r="F4" s="63" t="s">
        <v>194</v>
      </c>
      <c r="G4" s="63" t="s">
        <v>193</v>
      </c>
      <c r="H4" s="63" t="s">
        <v>173</v>
      </c>
      <c r="I4" s="63" t="s">
        <v>192</v>
      </c>
      <c r="J4" s="63" t="s">
        <v>191</v>
      </c>
      <c r="K4" s="63" t="s">
        <v>34</v>
      </c>
      <c r="L4" s="63" t="s">
        <v>34</v>
      </c>
    </row>
    <row r="5" spans="1:12" ht="16" thickBot="1">
      <c r="A5" s="391" t="s">
        <v>2</v>
      </c>
      <c r="B5" s="96" t="s">
        <v>65</v>
      </c>
      <c r="C5" s="393" t="s">
        <v>68</v>
      </c>
      <c r="D5" s="234">
        <v>4</v>
      </c>
      <c r="E5" s="235">
        <v>4</v>
      </c>
      <c r="F5" s="236"/>
      <c r="G5" s="236"/>
      <c r="H5" s="98"/>
      <c r="I5" s="97"/>
      <c r="J5" s="97"/>
      <c r="K5" s="97"/>
      <c r="L5" s="99"/>
    </row>
    <row r="6" spans="1:12" ht="16" thickBot="1">
      <c r="A6" s="392"/>
      <c r="B6" s="101" t="s">
        <v>66</v>
      </c>
      <c r="C6" s="394"/>
      <c r="D6" s="235">
        <v>6</v>
      </c>
      <c r="E6" s="235">
        <v>6</v>
      </c>
      <c r="F6" s="237">
        <v>2</v>
      </c>
      <c r="G6" s="237">
        <v>2</v>
      </c>
      <c r="H6" s="93"/>
      <c r="I6" s="62"/>
      <c r="J6" s="62"/>
      <c r="K6" s="62"/>
      <c r="L6" s="100"/>
    </row>
    <row r="7" spans="1:12" ht="16" thickBot="1">
      <c r="A7" s="392"/>
      <c r="B7" s="101" t="s">
        <v>67</v>
      </c>
      <c r="C7" s="394"/>
      <c r="D7" s="238">
        <v>1</v>
      </c>
      <c r="E7" s="238">
        <v>2</v>
      </c>
      <c r="F7" s="239">
        <v>0.5</v>
      </c>
      <c r="G7" s="239">
        <v>0.5</v>
      </c>
      <c r="H7" s="194"/>
      <c r="I7" s="95"/>
      <c r="J7" s="95"/>
      <c r="K7" s="95"/>
      <c r="L7" s="195"/>
    </row>
    <row r="8" spans="1:12" ht="53" customHeight="1" thickBot="1">
      <c r="A8" s="232" t="s">
        <v>130</v>
      </c>
      <c r="B8" s="221" t="s">
        <v>172</v>
      </c>
      <c r="C8" s="222" t="s">
        <v>134</v>
      </c>
      <c r="D8" s="240">
        <v>20</v>
      </c>
      <c r="E8" s="241">
        <v>4</v>
      </c>
      <c r="F8" s="241"/>
      <c r="G8" s="241"/>
      <c r="H8" s="226"/>
      <c r="I8" s="227"/>
      <c r="J8" s="227"/>
      <c r="K8" s="227"/>
      <c r="L8" s="228"/>
    </row>
    <row r="9" spans="1:12" ht="17" customHeight="1" thickBot="1">
      <c r="A9" s="284"/>
      <c r="B9" s="223" t="s">
        <v>142</v>
      </c>
      <c r="C9" s="307"/>
      <c r="D9" s="242"/>
      <c r="E9" s="243"/>
      <c r="F9" s="243"/>
      <c r="G9" s="243"/>
      <c r="H9" s="204"/>
      <c r="I9" s="205"/>
      <c r="J9" s="205"/>
      <c r="K9" s="205"/>
      <c r="L9" s="206"/>
    </row>
    <row r="10" spans="1:12" ht="16" thickBot="1">
      <c r="A10" s="284"/>
      <c r="B10" s="281" t="s">
        <v>75</v>
      </c>
      <c r="C10" s="193"/>
      <c r="D10" s="242"/>
      <c r="E10" s="243"/>
      <c r="F10" s="243"/>
      <c r="G10" s="243"/>
      <c r="H10" s="204"/>
      <c r="I10" s="205"/>
      <c r="J10" s="205"/>
      <c r="K10" s="205"/>
      <c r="L10" s="206"/>
    </row>
    <row r="11" spans="1:12" ht="16" thickBot="1">
      <c r="A11" s="284"/>
      <c r="B11" s="218" t="s">
        <v>154</v>
      </c>
      <c r="C11" s="193"/>
      <c r="D11" s="242"/>
      <c r="E11" s="243">
        <v>2</v>
      </c>
      <c r="F11" s="243"/>
      <c r="G11" s="243">
        <v>4</v>
      </c>
      <c r="H11" s="204"/>
      <c r="I11" s="205"/>
      <c r="J11" s="205"/>
      <c r="K11" s="205"/>
      <c r="L11" s="206"/>
    </row>
    <row r="12" spans="1:12" ht="16" thickBot="1">
      <c r="A12" s="284"/>
      <c r="B12" s="218" t="s">
        <v>155</v>
      </c>
      <c r="C12" s="193"/>
      <c r="D12" s="242"/>
      <c r="E12" s="243">
        <v>1</v>
      </c>
      <c r="F12" s="243"/>
      <c r="G12" s="243">
        <v>2</v>
      </c>
      <c r="H12" s="204"/>
      <c r="I12" s="205"/>
      <c r="J12" s="205"/>
      <c r="K12" s="205"/>
      <c r="L12" s="206"/>
    </row>
    <row r="13" spans="1:12" ht="16" thickBot="1">
      <c r="A13" s="284"/>
      <c r="B13" s="218" t="s">
        <v>156</v>
      </c>
      <c r="C13" s="193"/>
      <c r="D13" s="242"/>
      <c r="E13" s="243">
        <v>2</v>
      </c>
      <c r="F13" s="243"/>
      <c r="G13" s="243">
        <v>4</v>
      </c>
      <c r="H13" s="204"/>
      <c r="I13" s="205"/>
      <c r="J13" s="205"/>
      <c r="K13" s="205"/>
      <c r="L13" s="206"/>
    </row>
    <row r="14" spans="1:12" ht="16" thickBot="1">
      <c r="A14" s="284"/>
      <c r="B14" s="218" t="s">
        <v>158</v>
      </c>
      <c r="C14" s="193"/>
      <c r="D14" s="242"/>
      <c r="E14" s="243">
        <v>2</v>
      </c>
      <c r="F14" s="243"/>
      <c r="G14" s="243">
        <v>4</v>
      </c>
      <c r="H14" s="204"/>
      <c r="I14" s="205"/>
      <c r="J14" s="205"/>
      <c r="K14" s="205"/>
      <c r="L14" s="206"/>
    </row>
    <row r="15" spans="1:12" ht="16" thickBot="1">
      <c r="A15" s="284"/>
      <c r="B15" s="218" t="s">
        <v>157</v>
      </c>
      <c r="C15" s="193"/>
      <c r="D15" s="242"/>
      <c r="E15" s="243">
        <v>2</v>
      </c>
      <c r="F15" s="243"/>
      <c r="G15" s="243">
        <v>3</v>
      </c>
      <c r="H15" s="204"/>
      <c r="I15" s="205"/>
      <c r="J15" s="205"/>
      <c r="K15" s="205"/>
      <c r="L15" s="206"/>
    </row>
    <row r="16" spans="1:12" ht="16" thickBot="1">
      <c r="A16" s="284"/>
      <c r="B16" s="218" t="s">
        <v>159</v>
      </c>
      <c r="C16" s="193"/>
      <c r="D16" s="242"/>
      <c r="E16" s="243">
        <v>1</v>
      </c>
      <c r="F16" s="243"/>
      <c r="G16" s="243">
        <v>2</v>
      </c>
      <c r="H16" s="204"/>
      <c r="I16" s="205"/>
      <c r="J16" s="205"/>
      <c r="K16" s="205"/>
      <c r="L16" s="206"/>
    </row>
    <row r="17" spans="1:12" ht="16" thickBot="1">
      <c r="A17" s="284"/>
      <c r="B17" s="218" t="s">
        <v>160</v>
      </c>
      <c r="C17" s="193"/>
      <c r="D17" s="242"/>
      <c r="E17" s="243">
        <v>2</v>
      </c>
      <c r="F17" s="243"/>
      <c r="G17" s="243">
        <v>4</v>
      </c>
      <c r="H17" s="204"/>
      <c r="I17" s="205"/>
      <c r="J17" s="205"/>
      <c r="K17" s="205"/>
      <c r="L17" s="206"/>
    </row>
    <row r="18" spans="1:12" ht="16" thickBot="1">
      <c r="A18" s="284"/>
      <c r="B18" s="218" t="s">
        <v>161</v>
      </c>
      <c r="C18" s="193"/>
      <c r="D18" s="242"/>
      <c r="E18" s="243">
        <v>1</v>
      </c>
      <c r="F18" s="243"/>
      <c r="G18" s="243">
        <v>2</v>
      </c>
      <c r="H18" s="204"/>
      <c r="I18" s="205"/>
      <c r="J18" s="205"/>
      <c r="K18" s="205"/>
      <c r="L18" s="206"/>
    </row>
    <row r="19" spans="1:12" ht="16" thickBot="1">
      <c r="A19" s="284"/>
      <c r="B19" s="218" t="s">
        <v>162</v>
      </c>
      <c r="C19" s="193"/>
      <c r="D19" s="242"/>
      <c r="E19" s="243">
        <v>1</v>
      </c>
      <c r="F19" s="243"/>
      <c r="G19" s="243">
        <v>2</v>
      </c>
      <c r="H19" s="204"/>
      <c r="I19" s="205"/>
      <c r="J19" s="205"/>
      <c r="K19" s="205"/>
      <c r="L19" s="206"/>
    </row>
    <row r="20" spans="1:12" ht="16" thickBot="1">
      <c r="A20" s="284"/>
      <c r="B20" s="203" t="s">
        <v>76</v>
      </c>
      <c r="C20" s="193"/>
      <c r="D20" s="242"/>
      <c r="E20" s="243"/>
      <c r="F20" s="243"/>
      <c r="G20" s="243"/>
      <c r="H20" s="204"/>
      <c r="I20" s="205"/>
      <c r="J20" s="205"/>
      <c r="K20" s="205"/>
      <c r="L20" s="206"/>
    </row>
    <row r="21" spans="1:12" ht="16" thickBot="1">
      <c r="A21" s="284"/>
      <c r="B21" s="218" t="s">
        <v>154</v>
      </c>
      <c r="C21" s="193"/>
      <c r="D21" s="242"/>
      <c r="E21" s="243"/>
      <c r="F21" s="243"/>
      <c r="G21" s="243"/>
      <c r="H21" s="204">
        <v>3</v>
      </c>
      <c r="I21" s="205"/>
      <c r="J21" s="205"/>
      <c r="K21" s="205"/>
      <c r="L21" s="206"/>
    </row>
    <row r="22" spans="1:12" ht="16" thickBot="1">
      <c r="A22" s="284"/>
      <c r="B22" s="218" t="s">
        <v>155</v>
      </c>
      <c r="C22" s="193"/>
      <c r="D22" s="242"/>
      <c r="E22" s="243"/>
      <c r="F22" s="243"/>
      <c r="G22" s="243"/>
      <c r="H22" s="204">
        <v>2</v>
      </c>
      <c r="I22" s="205"/>
      <c r="J22" s="205"/>
      <c r="K22" s="205"/>
      <c r="L22" s="206"/>
    </row>
    <row r="23" spans="1:12" ht="16" thickBot="1">
      <c r="A23" s="284"/>
      <c r="B23" s="218" t="s">
        <v>156</v>
      </c>
      <c r="C23" s="193"/>
      <c r="D23" s="242"/>
      <c r="E23" s="243"/>
      <c r="F23" s="243"/>
      <c r="G23" s="243"/>
      <c r="H23" s="204">
        <v>5</v>
      </c>
      <c r="I23" s="205"/>
      <c r="J23" s="205"/>
      <c r="K23" s="205"/>
      <c r="L23" s="206"/>
    </row>
    <row r="24" spans="1:12" ht="16" thickBot="1">
      <c r="A24" s="284"/>
      <c r="B24" s="218" t="s">
        <v>158</v>
      </c>
      <c r="C24" s="193"/>
      <c r="D24" s="242"/>
      <c r="E24" s="243"/>
      <c r="F24" s="243"/>
      <c r="G24" s="243"/>
      <c r="H24" s="204">
        <v>4</v>
      </c>
      <c r="I24" s="205"/>
      <c r="J24" s="205"/>
      <c r="K24" s="205"/>
      <c r="L24" s="206"/>
    </row>
    <row r="25" spans="1:12" ht="16" thickBot="1">
      <c r="A25" s="284"/>
      <c r="B25" s="218" t="s">
        <v>157</v>
      </c>
      <c r="C25" s="193"/>
      <c r="D25" s="242"/>
      <c r="E25" s="243"/>
      <c r="F25" s="243"/>
      <c r="G25" s="243"/>
      <c r="H25" s="204"/>
      <c r="I25" s="204">
        <v>2</v>
      </c>
      <c r="J25" s="205"/>
      <c r="K25" s="205"/>
      <c r="L25" s="206"/>
    </row>
    <row r="26" spans="1:12" ht="16" thickBot="1">
      <c r="A26" s="284"/>
      <c r="B26" s="218" t="s">
        <v>159</v>
      </c>
      <c r="C26" s="193"/>
      <c r="D26" s="242"/>
      <c r="E26" s="243"/>
      <c r="F26" s="243"/>
      <c r="G26" s="243"/>
      <c r="H26" s="204"/>
      <c r="I26" s="204">
        <v>4</v>
      </c>
      <c r="J26" s="205"/>
      <c r="K26" s="205"/>
      <c r="L26" s="206"/>
    </row>
    <row r="27" spans="1:12" ht="16" thickBot="1">
      <c r="A27" s="284"/>
      <c r="B27" s="218" t="s">
        <v>160</v>
      </c>
      <c r="C27" s="193"/>
      <c r="D27" s="242"/>
      <c r="E27" s="243"/>
      <c r="F27" s="243"/>
      <c r="G27" s="243"/>
      <c r="H27" s="204"/>
      <c r="I27" s="204">
        <v>5</v>
      </c>
      <c r="J27" s="205"/>
      <c r="K27" s="205"/>
      <c r="L27" s="206"/>
    </row>
    <row r="28" spans="1:12" ht="16" thickBot="1">
      <c r="A28" s="284"/>
      <c r="B28" s="218" t="s">
        <v>161</v>
      </c>
      <c r="C28" s="193"/>
      <c r="D28" s="242"/>
      <c r="E28" s="243"/>
      <c r="F28" s="243"/>
      <c r="G28" s="243"/>
      <c r="H28" s="204"/>
      <c r="I28" s="204">
        <v>2</v>
      </c>
      <c r="J28" s="205"/>
      <c r="K28" s="205"/>
      <c r="L28" s="206"/>
    </row>
    <row r="29" spans="1:12" ht="16" thickBot="1">
      <c r="A29" s="284"/>
      <c r="B29" s="218" t="s">
        <v>162</v>
      </c>
      <c r="C29" s="193"/>
      <c r="D29" s="242"/>
      <c r="E29" s="243"/>
      <c r="F29" s="243"/>
      <c r="G29" s="243"/>
      <c r="H29" s="204"/>
      <c r="I29" s="204">
        <v>2</v>
      </c>
      <c r="J29" s="205"/>
      <c r="K29" s="205"/>
      <c r="L29" s="206"/>
    </row>
    <row r="30" spans="1:12" ht="16" thickBot="1">
      <c r="A30" s="284"/>
      <c r="B30" s="225" t="s">
        <v>163</v>
      </c>
      <c r="C30" s="193"/>
      <c r="D30" s="245"/>
      <c r="E30" s="237"/>
      <c r="F30" s="239"/>
      <c r="G30" s="239"/>
      <c r="H30" s="224"/>
      <c r="I30" s="216"/>
      <c r="J30" s="216"/>
      <c r="K30" s="216"/>
      <c r="L30" s="217"/>
    </row>
    <row r="31" spans="1:12" ht="16" thickBot="1">
      <c r="A31" s="284"/>
      <c r="B31" s="219" t="s">
        <v>135</v>
      </c>
      <c r="C31" s="193"/>
      <c r="D31" s="245"/>
      <c r="E31" s="237">
        <v>1</v>
      </c>
      <c r="F31" s="239">
        <v>4</v>
      </c>
      <c r="G31" s="239"/>
      <c r="H31" s="224"/>
      <c r="I31" s="216"/>
      <c r="J31" s="216"/>
      <c r="K31" s="216"/>
      <c r="L31" s="217"/>
    </row>
    <row r="32" spans="1:12" ht="16" thickBot="1">
      <c r="A32" s="284"/>
      <c r="B32" s="219" t="s">
        <v>136</v>
      </c>
      <c r="C32" s="193"/>
      <c r="D32" s="246"/>
      <c r="E32" s="237">
        <v>1.5</v>
      </c>
      <c r="F32" s="247">
        <v>5</v>
      </c>
      <c r="G32" s="247"/>
      <c r="H32" s="215"/>
      <c r="I32" s="215"/>
      <c r="J32" s="216"/>
      <c r="K32" s="216"/>
      <c r="L32" s="217"/>
    </row>
    <row r="33" spans="1:12" ht="16" thickBot="1">
      <c r="A33" s="284"/>
      <c r="B33" s="219" t="s">
        <v>164</v>
      </c>
      <c r="C33" s="193"/>
      <c r="D33" s="246"/>
      <c r="E33" s="237">
        <v>1</v>
      </c>
      <c r="F33" s="247">
        <v>3</v>
      </c>
      <c r="G33" s="247"/>
      <c r="H33" s="215"/>
      <c r="I33" s="215"/>
      <c r="J33" s="216"/>
      <c r="K33" s="216"/>
      <c r="L33" s="217"/>
    </row>
    <row r="34" spans="1:12" ht="16" thickBot="1">
      <c r="A34" s="284"/>
      <c r="B34" s="225" t="s">
        <v>145</v>
      </c>
      <c r="C34" s="193"/>
      <c r="D34" s="245"/>
      <c r="E34" s="239"/>
      <c r="F34" s="239"/>
      <c r="G34" s="239"/>
      <c r="H34" s="224"/>
      <c r="I34" s="216"/>
      <c r="J34" s="216"/>
      <c r="K34" s="216"/>
      <c r="L34" s="217"/>
    </row>
    <row r="35" spans="1:12" ht="16" thickBot="1">
      <c r="A35" s="284"/>
      <c r="B35" s="219" t="s">
        <v>153</v>
      </c>
      <c r="C35" s="193"/>
      <c r="D35" s="245"/>
      <c r="E35" s="239">
        <v>2</v>
      </c>
      <c r="F35" s="239">
        <v>2</v>
      </c>
      <c r="G35" s="239">
        <v>2</v>
      </c>
      <c r="H35" s="224">
        <v>1</v>
      </c>
      <c r="I35" s="216">
        <v>1</v>
      </c>
      <c r="J35" s="216"/>
      <c r="K35" s="216"/>
      <c r="L35" s="217"/>
    </row>
    <row r="36" spans="1:12" ht="16" thickBot="1">
      <c r="A36" s="284"/>
      <c r="B36" s="220" t="s">
        <v>152</v>
      </c>
      <c r="C36" s="193"/>
      <c r="D36" s="246"/>
      <c r="E36" s="247"/>
      <c r="F36" s="247">
        <v>0.5</v>
      </c>
      <c r="G36" s="247">
        <v>0.5</v>
      </c>
      <c r="H36" s="215"/>
      <c r="I36" s="215"/>
      <c r="J36" s="216"/>
      <c r="K36" s="216"/>
      <c r="L36" s="217"/>
    </row>
    <row r="37" spans="1:12" ht="17" customHeight="1" thickBot="1">
      <c r="A37" s="284"/>
      <c r="B37" s="223" t="s">
        <v>146</v>
      </c>
      <c r="C37" s="193"/>
      <c r="D37" s="244"/>
      <c r="E37" s="237"/>
      <c r="F37" s="237"/>
      <c r="G37" s="237"/>
      <c r="H37" s="209"/>
      <c r="I37" s="207"/>
      <c r="J37" s="207"/>
      <c r="K37" s="207"/>
      <c r="L37" s="207"/>
    </row>
    <row r="38" spans="1:12" ht="20" customHeight="1" thickBot="1">
      <c r="A38" s="284"/>
      <c r="B38" s="281" t="s">
        <v>75</v>
      </c>
      <c r="C38" s="193"/>
      <c r="D38" s="242"/>
      <c r="E38" s="243"/>
      <c r="F38" s="243"/>
      <c r="G38" s="243"/>
      <c r="H38" s="204"/>
      <c r="I38" s="205"/>
      <c r="J38" s="205"/>
      <c r="K38" s="205"/>
      <c r="L38" s="206"/>
    </row>
    <row r="39" spans="1:12" ht="16" thickBot="1">
      <c r="A39" s="284"/>
      <c r="B39" s="218" t="s">
        <v>154</v>
      </c>
      <c r="C39" s="193"/>
      <c r="D39" s="242"/>
      <c r="E39" s="243">
        <v>1</v>
      </c>
      <c r="F39" s="243">
        <v>3</v>
      </c>
      <c r="G39" s="243"/>
      <c r="H39" s="204"/>
      <c r="I39" s="205"/>
      <c r="J39" s="205"/>
      <c r="K39" s="205"/>
      <c r="L39" s="206"/>
    </row>
    <row r="40" spans="1:12" ht="16" thickBot="1">
      <c r="A40" s="284"/>
      <c r="B40" s="218" t="s">
        <v>155</v>
      </c>
      <c r="C40" s="193"/>
      <c r="D40" s="242"/>
      <c r="E40" s="243">
        <v>1</v>
      </c>
      <c r="F40" s="243">
        <v>2</v>
      </c>
      <c r="G40" s="243"/>
      <c r="H40" s="204"/>
      <c r="I40" s="205"/>
      <c r="J40" s="205"/>
      <c r="K40" s="205"/>
      <c r="L40" s="206"/>
    </row>
    <row r="41" spans="1:12" ht="16" thickBot="1">
      <c r="A41" s="284"/>
      <c r="B41" s="218" t="s">
        <v>156</v>
      </c>
      <c r="C41" s="193"/>
      <c r="D41" s="242"/>
      <c r="E41" s="243">
        <v>1</v>
      </c>
      <c r="F41" s="243">
        <v>3</v>
      </c>
      <c r="G41" s="243"/>
      <c r="H41" s="204"/>
      <c r="I41" s="205"/>
      <c r="J41" s="205"/>
      <c r="K41" s="205"/>
      <c r="L41" s="206"/>
    </row>
    <row r="42" spans="1:12" ht="16" thickBot="1">
      <c r="A42" s="284"/>
      <c r="B42" s="218" t="s">
        <v>158</v>
      </c>
      <c r="C42" s="193"/>
      <c r="D42" s="242"/>
      <c r="E42" s="243">
        <v>1</v>
      </c>
      <c r="F42" s="243">
        <v>2</v>
      </c>
      <c r="G42" s="243"/>
      <c r="H42" s="204"/>
      <c r="I42" s="205"/>
      <c r="J42" s="205"/>
      <c r="K42" s="205"/>
      <c r="L42" s="206"/>
    </row>
    <row r="43" spans="1:12" ht="16" thickBot="1">
      <c r="A43" s="284"/>
      <c r="B43" s="218" t="s">
        <v>157</v>
      </c>
      <c r="C43" s="193"/>
      <c r="D43" s="242"/>
      <c r="E43" s="243">
        <v>1</v>
      </c>
      <c r="F43" s="243">
        <v>3</v>
      </c>
      <c r="G43" s="243"/>
      <c r="H43" s="204"/>
      <c r="I43" s="205"/>
      <c r="J43" s="205"/>
      <c r="K43" s="205"/>
      <c r="L43" s="206"/>
    </row>
    <row r="44" spans="1:12" ht="16" thickBot="1">
      <c r="A44" s="284"/>
      <c r="B44" s="218" t="s">
        <v>159</v>
      </c>
      <c r="C44" s="193"/>
      <c r="D44" s="242"/>
      <c r="E44" s="243">
        <v>1</v>
      </c>
      <c r="F44" s="243">
        <v>3</v>
      </c>
      <c r="G44" s="243"/>
      <c r="H44" s="204"/>
      <c r="I44" s="205"/>
      <c r="J44" s="205"/>
      <c r="K44" s="205"/>
      <c r="L44" s="206"/>
    </row>
    <row r="45" spans="1:12" ht="16" thickBot="1">
      <c r="A45" s="284"/>
      <c r="B45" s="218" t="s">
        <v>160</v>
      </c>
      <c r="C45" s="193"/>
      <c r="D45" s="242"/>
      <c r="E45" s="243">
        <v>1</v>
      </c>
      <c r="F45" s="243">
        <v>3</v>
      </c>
      <c r="G45" s="243"/>
      <c r="H45" s="204"/>
      <c r="I45" s="205"/>
      <c r="J45" s="205"/>
      <c r="K45" s="205"/>
      <c r="L45" s="206"/>
    </row>
    <row r="46" spans="1:12" ht="16" thickBot="1">
      <c r="A46" s="284"/>
      <c r="B46" s="218" t="s">
        <v>161</v>
      </c>
      <c r="C46" s="193"/>
      <c r="D46" s="242"/>
      <c r="E46" s="243">
        <v>1</v>
      </c>
      <c r="F46" s="243">
        <v>2</v>
      </c>
      <c r="G46" s="243"/>
      <c r="H46" s="204"/>
      <c r="I46" s="205"/>
      <c r="J46" s="205"/>
      <c r="K46" s="205"/>
      <c r="L46" s="206"/>
    </row>
    <row r="47" spans="1:12" ht="16" thickBot="1">
      <c r="A47" s="284"/>
      <c r="B47" s="218" t="s">
        <v>162</v>
      </c>
      <c r="C47" s="193"/>
      <c r="D47" s="242"/>
      <c r="E47" s="243">
        <v>1</v>
      </c>
      <c r="F47" s="243">
        <v>2</v>
      </c>
      <c r="G47" s="243"/>
      <c r="H47" s="204"/>
      <c r="I47" s="205"/>
      <c r="J47" s="205"/>
      <c r="K47" s="205"/>
      <c r="L47" s="206"/>
    </row>
    <row r="48" spans="1:12" ht="16" thickBot="1">
      <c r="A48" s="284"/>
      <c r="B48" s="203" t="s">
        <v>76</v>
      </c>
      <c r="C48" s="193"/>
      <c r="D48" s="242"/>
      <c r="E48" s="243"/>
      <c r="F48" s="243"/>
      <c r="G48" s="243"/>
      <c r="H48" s="204"/>
      <c r="I48" s="205"/>
      <c r="J48" s="205"/>
      <c r="K48" s="205"/>
      <c r="L48" s="206"/>
    </row>
    <row r="49" spans="1:12" ht="16" thickBot="1">
      <c r="A49" s="284"/>
      <c r="B49" s="218" t="s">
        <v>154</v>
      </c>
      <c r="C49" s="193"/>
      <c r="D49" s="242"/>
      <c r="E49" s="243"/>
      <c r="F49" s="243"/>
      <c r="G49" s="243"/>
      <c r="H49" s="243">
        <v>3</v>
      </c>
      <c r="I49" s="205"/>
      <c r="J49" s="205"/>
      <c r="K49" s="205"/>
      <c r="L49" s="206"/>
    </row>
    <row r="50" spans="1:12" ht="16" thickBot="1">
      <c r="A50" s="284"/>
      <c r="B50" s="218" t="s">
        <v>155</v>
      </c>
      <c r="C50" s="193"/>
      <c r="D50" s="242"/>
      <c r="E50" s="243"/>
      <c r="F50" s="243"/>
      <c r="G50" s="243"/>
      <c r="H50" s="243">
        <v>2</v>
      </c>
      <c r="I50" s="205"/>
      <c r="J50" s="205"/>
      <c r="K50" s="205"/>
      <c r="L50" s="206"/>
    </row>
    <row r="51" spans="1:12" ht="16" thickBot="1">
      <c r="A51" s="284"/>
      <c r="B51" s="218" t="s">
        <v>156</v>
      </c>
      <c r="C51" s="193"/>
      <c r="D51" s="242"/>
      <c r="E51" s="243"/>
      <c r="F51" s="243"/>
      <c r="G51" s="243"/>
      <c r="H51" s="243">
        <v>3</v>
      </c>
      <c r="I51" s="205"/>
      <c r="J51" s="205"/>
      <c r="K51" s="205"/>
      <c r="L51" s="206"/>
    </row>
    <row r="52" spans="1:12" ht="16" thickBot="1">
      <c r="A52" s="284"/>
      <c r="B52" s="218" t="s">
        <v>158</v>
      </c>
      <c r="C52" s="193"/>
      <c r="D52" s="242"/>
      <c r="E52" s="243"/>
      <c r="F52" s="243"/>
      <c r="G52" s="243"/>
      <c r="H52" s="243">
        <v>3</v>
      </c>
      <c r="I52" s="205"/>
      <c r="J52" s="205"/>
      <c r="K52" s="205"/>
      <c r="L52" s="206"/>
    </row>
    <row r="53" spans="1:12" ht="16" thickBot="1">
      <c r="A53" s="284"/>
      <c r="B53" s="218" t="s">
        <v>157</v>
      </c>
      <c r="C53" s="193"/>
      <c r="D53" s="242"/>
      <c r="E53" s="243"/>
      <c r="F53" s="243"/>
      <c r="G53" s="243"/>
      <c r="H53" s="243"/>
      <c r="I53" s="243">
        <v>2</v>
      </c>
      <c r="J53" s="205"/>
      <c r="K53" s="205"/>
      <c r="L53" s="206"/>
    </row>
    <row r="54" spans="1:12" ht="16" thickBot="1">
      <c r="A54" s="284"/>
      <c r="B54" s="218" t="s">
        <v>159</v>
      </c>
      <c r="C54" s="193"/>
      <c r="D54" s="242"/>
      <c r="E54" s="243"/>
      <c r="F54" s="243"/>
      <c r="G54" s="243"/>
      <c r="H54" s="243"/>
      <c r="I54" s="243">
        <v>4</v>
      </c>
      <c r="J54" s="205"/>
      <c r="K54" s="205"/>
      <c r="L54" s="206"/>
    </row>
    <row r="55" spans="1:12" ht="16" thickBot="1">
      <c r="A55" s="284"/>
      <c r="B55" s="218" t="s">
        <v>160</v>
      </c>
      <c r="C55" s="193"/>
      <c r="D55" s="242"/>
      <c r="E55" s="243"/>
      <c r="F55" s="243"/>
      <c r="G55" s="243"/>
      <c r="H55" s="243"/>
      <c r="I55" s="243">
        <v>5</v>
      </c>
      <c r="J55" s="205"/>
      <c r="K55" s="205"/>
      <c r="L55" s="206"/>
    </row>
    <row r="56" spans="1:12" ht="16" thickBot="1">
      <c r="A56" s="284"/>
      <c r="B56" s="218" t="s">
        <v>161</v>
      </c>
      <c r="C56" s="193"/>
      <c r="D56" s="242"/>
      <c r="E56" s="243"/>
      <c r="F56" s="243"/>
      <c r="G56" s="243"/>
      <c r="H56" s="243"/>
      <c r="I56" s="243">
        <v>2</v>
      </c>
      <c r="J56" s="205"/>
      <c r="K56" s="205"/>
      <c r="L56" s="206"/>
    </row>
    <row r="57" spans="1:12" ht="16" thickBot="1">
      <c r="A57" s="284"/>
      <c r="B57" s="218" t="s">
        <v>162</v>
      </c>
      <c r="C57" s="193"/>
      <c r="D57" s="242"/>
      <c r="E57" s="243"/>
      <c r="F57" s="243"/>
      <c r="G57" s="243"/>
      <c r="H57" s="243"/>
      <c r="I57" s="243">
        <v>2</v>
      </c>
      <c r="J57" s="205"/>
      <c r="K57" s="205"/>
      <c r="L57" s="206"/>
    </row>
    <row r="58" spans="1:12" ht="16" thickBot="1">
      <c r="A58" s="284"/>
      <c r="B58" s="225" t="s">
        <v>163</v>
      </c>
      <c r="C58" s="193"/>
      <c r="D58" s="242"/>
      <c r="E58" s="243"/>
      <c r="F58" s="243"/>
      <c r="G58" s="243"/>
      <c r="H58" s="204"/>
      <c r="I58" s="205"/>
      <c r="J58" s="205"/>
      <c r="K58" s="205"/>
      <c r="L58" s="206"/>
    </row>
    <row r="59" spans="1:12" ht="16" thickBot="1">
      <c r="A59" s="284"/>
      <c r="B59" s="219" t="s">
        <v>135</v>
      </c>
      <c r="C59" s="193"/>
      <c r="D59" s="242"/>
      <c r="E59" s="243">
        <v>1</v>
      </c>
      <c r="F59" s="243"/>
      <c r="G59" s="239">
        <v>3</v>
      </c>
      <c r="H59" s="204"/>
      <c r="I59" s="205"/>
      <c r="J59" s="205"/>
      <c r="K59" s="205"/>
      <c r="L59" s="206"/>
    </row>
    <row r="60" spans="1:12" ht="16" thickBot="1">
      <c r="A60" s="284"/>
      <c r="B60" s="219" t="s">
        <v>136</v>
      </c>
      <c r="C60" s="193"/>
      <c r="D60" s="242"/>
      <c r="E60" s="243">
        <v>1.5</v>
      </c>
      <c r="F60" s="243"/>
      <c r="G60" s="248">
        <v>5</v>
      </c>
      <c r="H60" s="204"/>
      <c r="I60" s="205"/>
      <c r="J60" s="205"/>
      <c r="K60" s="205"/>
      <c r="L60" s="206"/>
    </row>
    <row r="61" spans="1:12" ht="16" thickBot="1">
      <c r="A61" s="284"/>
      <c r="B61" s="219" t="s">
        <v>164</v>
      </c>
      <c r="C61" s="193"/>
      <c r="D61" s="242"/>
      <c r="E61" s="243">
        <v>1</v>
      </c>
      <c r="F61" s="243"/>
      <c r="G61" s="248">
        <v>3</v>
      </c>
      <c r="H61" s="204"/>
      <c r="I61" s="205"/>
      <c r="J61" s="205"/>
      <c r="K61" s="205"/>
      <c r="L61" s="206"/>
    </row>
    <row r="62" spans="1:12" ht="16" thickBot="1">
      <c r="A62" s="284"/>
      <c r="B62" s="225" t="s">
        <v>145</v>
      </c>
      <c r="C62" s="193"/>
      <c r="D62" s="242"/>
      <c r="E62" s="243"/>
      <c r="F62" s="243"/>
      <c r="G62" s="237"/>
      <c r="H62" s="204"/>
      <c r="I62" s="205"/>
      <c r="J62" s="205"/>
      <c r="K62" s="205"/>
      <c r="L62" s="206"/>
    </row>
    <row r="63" spans="1:12" ht="16" thickBot="1">
      <c r="A63" s="284"/>
      <c r="B63" s="219" t="s">
        <v>153</v>
      </c>
      <c r="C63" s="193"/>
      <c r="D63" s="242"/>
      <c r="E63" s="243">
        <v>2</v>
      </c>
      <c r="F63" s="243">
        <v>2</v>
      </c>
      <c r="G63" s="243">
        <v>2</v>
      </c>
      <c r="H63" s="204">
        <v>1</v>
      </c>
      <c r="I63" s="205">
        <v>1</v>
      </c>
      <c r="J63" s="205"/>
      <c r="K63" s="205"/>
      <c r="L63" s="206"/>
    </row>
    <row r="64" spans="1:12" ht="16" thickBot="1">
      <c r="A64" s="284"/>
      <c r="B64" s="282" t="s">
        <v>152</v>
      </c>
      <c r="C64" s="193"/>
      <c r="D64" s="234"/>
      <c r="E64" s="237"/>
      <c r="F64" s="237">
        <v>0.5</v>
      </c>
      <c r="G64" s="237">
        <v>0.5</v>
      </c>
      <c r="H64" s="209"/>
      <c r="I64" s="207"/>
      <c r="J64" s="207"/>
      <c r="K64" s="207"/>
      <c r="L64" s="208"/>
    </row>
    <row r="65" spans="1:12" ht="16" thickBot="1">
      <c r="A65" s="284"/>
      <c r="B65" s="294" t="s">
        <v>203</v>
      </c>
      <c r="C65" s="256" t="s">
        <v>209</v>
      </c>
      <c r="D65" s="302">
        <v>1</v>
      </c>
      <c r="E65" s="303"/>
      <c r="F65" s="303"/>
      <c r="G65" s="303"/>
      <c r="H65" s="304"/>
      <c r="I65" s="305"/>
      <c r="J65" s="305"/>
      <c r="K65" s="305"/>
      <c r="L65" s="306"/>
    </row>
    <row r="66" spans="1:12" ht="17" thickTop="1" thickBot="1">
      <c r="A66" s="398"/>
      <c r="B66" s="292" t="s">
        <v>180</v>
      </c>
      <c r="C66" s="255"/>
      <c r="D66" s="285"/>
      <c r="E66" s="286"/>
      <c r="F66" s="286"/>
      <c r="G66" s="286"/>
      <c r="H66" s="287"/>
      <c r="I66" s="288"/>
      <c r="J66" s="288"/>
      <c r="K66" s="288"/>
      <c r="L66" s="289"/>
    </row>
    <row r="67" spans="1:12" ht="16" thickBot="1">
      <c r="A67" s="399"/>
      <c r="B67" s="293" t="s">
        <v>181</v>
      </c>
      <c r="C67" s="256"/>
      <c r="D67" s="234"/>
      <c r="E67" s="237">
        <v>1</v>
      </c>
      <c r="F67" s="237">
        <v>2</v>
      </c>
      <c r="G67" s="237"/>
      <c r="H67" s="209"/>
      <c r="I67" s="207"/>
      <c r="J67" s="207"/>
      <c r="K67" s="207"/>
      <c r="L67" s="208"/>
    </row>
    <row r="68" spans="1:12" ht="16" thickBot="1">
      <c r="A68" s="399"/>
      <c r="B68" s="293" t="s">
        <v>182</v>
      </c>
      <c r="C68" s="256"/>
      <c r="D68" s="234"/>
      <c r="E68" s="237"/>
      <c r="F68" s="237">
        <v>1</v>
      </c>
      <c r="G68" s="237"/>
      <c r="H68" s="209"/>
      <c r="I68" s="207"/>
      <c r="J68" s="207"/>
      <c r="K68" s="207"/>
      <c r="L68" s="208"/>
    </row>
    <row r="69" spans="1:12" ht="16" thickBot="1">
      <c r="A69" s="399"/>
      <c r="B69" s="293" t="s">
        <v>204</v>
      </c>
      <c r="C69" s="256" t="s">
        <v>202</v>
      </c>
      <c r="D69" s="234">
        <v>1</v>
      </c>
      <c r="E69" s="237"/>
      <c r="F69" s="237"/>
      <c r="G69" s="237"/>
      <c r="H69" s="209"/>
      <c r="I69" s="207"/>
      <c r="J69" s="207"/>
      <c r="K69" s="207"/>
      <c r="L69" s="208"/>
    </row>
    <row r="70" spans="1:12" ht="16" thickBot="1">
      <c r="A70" s="399"/>
      <c r="B70" s="293" t="s">
        <v>183</v>
      </c>
      <c r="C70" s="256"/>
      <c r="D70" s="234"/>
      <c r="E70" s="237"/>
      <c r="F70" s="237">
        <v>2</v>
      </c>
      <c r="G70" s="237"/>
      <c r="H70" s="209"/>
      <c r="I70" s="207"/>
      <c r="J70" s="207"/>
      <c r="K70" s="207"/>
      <c r="L70" s="208"/>
    </row>
    <row r="71" spans="1:12" ht="16" thickBot="1">
      <c r="A71" s="400"/>
      <c r="B71" s="294" t="s">
        <v>184</v>
      </c>
      <c r="C71" s="257"/>
      <c r="D71" s="253"/>
      <c r="E71" s="254">
        <v>1</v>
      </c>
      <c r="F71" s="254">
        <v>1</v>
      </c>
      <c r="G71" s="254"/>
      <c r="H71" s="197"/>
      <c r="I71" s="197"/>
      <c r="J71" s="290"/>
      <c r="K71" s="290"/>
      <c r="L71" s="291"/>
    </row>
    <row r="72" spans="1:12" ht="17" thickTop="1" thickBot="1">
      <c r="A72" s="398"/>
      <c r="B72" s="292" t="s">
        <v>176</v>
      </c>
      <c r="C72" s="255"/>
      <c r="D72" s="285"/>
      <c r="E72" s="286"/>
      <c r="F72" s="286"/>
      <c r="G72" s="286"/>
      <c r="H72" s="287"/>
      <c r="I72" s="288"/>
      <c r="J72" s="288"/>
      <c r="K72" s="288"/>
      <c r="L72" s="289"/>
    </row>
    <row r="73" spans="1:12" ht="16" thickBot="1">
      <c r="A73" s="399"/>
      <c r="B73" s="293" t="s">
        <v>179</v>
      </c>
      <c r="C73" s="256"/>
      <c r="D73" s="234"/>
      <c r="E73" s="237">
        <v>1</v>
      </c>
      <c r="F73" s="237">
        <v>2</v>
      </c>
      <c r="G73" s="237"/>
      <c r="H73" s="209"/>
      <c r="I73" s="207"/>
      <c r="J73" s="209">
        <v>3</v>
      </c>
      <c r="K73" s="207"/>
      <c r="L73" s="208"/>
    </row>
    <row r="74" spans="1:12" ht="16" thickBot="1">
      <c r="A74" s="399"/>
      <c r="B74" s="293" t="s">
        <v>178</v>
      </c>
      <c r="C74" s="256"/>
      <c r="D74" s="234">
        <v>0.5</v>
      </c>
      <c r="E74" s="237">
        <v>1</v>
      </c>
      <c r="F74" s="237">
        <v>1</v>
      </c>
      <c r="G74" s="237">
        <v>1</v>
      </c>
      <c r="H74" s="209"/>
      <c r="I74" s="207"/>
      <c r="J74" s="207"/>
      <c r="K74" s="207"/>
      <c r="L74" s="208"/>
    </row>
    <row r="75" spans="1:12" ht="16" thickBot="1">
      <c r="A75" s="399"/>
      <c r="B75" s="293" t="s">
        <v>177</v>
      </c>
      <c r="C75" s="256"/>
      <c r="D75" s="234"/>
      <c r="E75" s="237">
        <v>0.5</v>
      </c>
      <c r="F75" s="237">
        <v>1</v>
      </c>
      <c r="G75" s="237">
        <v>1</v>
      </c>
      <c r="H75" s="209"/>
      <c r="I75" s="207"/>
      <c r="J75" s="207"/>
      <c r="K75" s="207"/>
      <c r="L75" s="208"/>
    </row>
    <row r="76" spans="1:12" ht="16" thickBot="1">
      <c r="A76" s="400"/>
      <c r="B76" s="294" t="s">
        <v>205</v>
      </c>
      <c r="C76" s="257" t="s">
        <v>123</v>
      </c>
      <c r="D76" s="253">
        <v>1</v>
      </c>
      <c r="E76" s="254"/>
      <c r="F76" s="254"/>
      <c r="G76" s="254"/>
      <c r="H76" s="197"/>
      <c r="I76" s="197"/>
      <c r="J76" s="290"/>
      <c r="K76" s="290"/>
      <c r="L76" s="291"/>
    </row>
    <row r="77" spans="1:12" ht="53" customHeight="1" thickBot="1">
      <c r="A77" s="232"/>
      <c r="B77" s="221" t="s">
        <v>172</v>
      </c>
      <c r="C77" s="222" t="s">
        <v>134</v>
      </c>
      <c r="D77" s="240">
        <v>30</v>
      </c>
      <c r="E77" s="241">
        <v>8</v>
      </c>
      <c r="F77" s="241"/>
      <c r="G77" s="241"/>
      <c r="H77" s="226"/>
      <c r="I77" s="227"/>
      <c r="J77" s="227"/>
      <c r="K77" s="227"/>
      <c r="L77" s="228"/>
    </row>
    <row r="78" spans="1:12" ht="17" customHeight="1" thickBot="1">
      <c r="A78" s="392"/>
      <c r="B78" s="223" t="s">
        <v>165</v>
      </c>
      <c r="C78" s="255"/>
      <c r="D78" s="244"/>
      <c r="E78" s="237"/>
      <c r="F78" s="237"/>
      <c r="G78" s="237"/>
      <c r="H78" s="209"/>
      <c r="I78" s="207"/>
      <c r="J78" s="207"/>
      <c r="K78" s="207"/>
      <c r="L78" s="207"/>
    </row>
    <row r="79" spans="1:12" ht="20" customHeight="1" thickBot="1">
      <c r="A79" s="392"/>
      <c r="B79" s="281" t="s">
        <v>75</v>
      </c>
      <c r="C79" s="256"/>
      <c r="D79" s="242"/>
      <c r="E79" s="243"/>
      <c r="F79" s="243"/>
      <c r="G79" s="243"/>
      <c r="H79" s="204"/>
      <c r="I79" s="205"/>
      <c r="J79" s="205"/>
      <c r="K79" s="205"/>
      <c r="L79" s="206"/>
    </row>
    <row r="80" spans="1:12" ht="20" customHeight="1" thickBot="1">
      <c r="A80" s="392"/>
      <c r="B80" s="218" t="s">
        <v>167</v>
      </c>
      <c r="C80" s="256"/>
      <c r="D80" s="242"/>
      <c r="E80" s="243">
        <v>2</v>
      </c>
      <c r="F80" s="243">
        <v>3</v>
      </c>
      <c r="G80" s="243"/>
      <c r="H80" s="204"/>
      <c r="I80" s="205"/>
      <c r="J80" s="205"/>
      <c r="K80" s="205"/>
      <c r="L80" s="206"/>
    </row>
    <row r="81" spans="1:12" ht="16" thickBot="1">
      <c r="A81" s="392"/>
      <c r="B81" s="218" t="s">
        <v>154</v>
      </c>
      <c r="C81" s="256"/>
      <c r="D81" s="242"/>
      <c r="E81" s="243">
        <v>1</v>
      </c>
      <c r="F81" s="243">
        <v>2.5</v>
      </c>
      <c r="G81" s="243"/>
      <c r="H81" s="204"/>
      <c r="I81" s="205"/>
      <c r="J81" s="205"/>
      <c r="K81" s="205"/>
      <c r="L81" s="206"/>
    </row>
    <row r="82" spans="1:12" ht="16" thickBot="1">
      <c r="A82" s="392"/>
      <c r="B82" s="218" t="s">
        <v>155</v>
      </c>
      <c r="C82" s="256"/>
      <c r="D82" s="242"/>
      <c r="E82" s="243">
        <v>1</v>
      </c>
      <c r="F82" s="243">
        <v>2</v>
      </c>
      <c r="G82" s="243"/>
      <c r="H82" s="204"/>
      <c r="I82" s="205"/>
      <c r="J82" s="205"/>
      <c r="K82" s="205"/>
      <c r="L82" s="206"/>
    </row>
    <row r="83" spans="1:12" ht="16" thickBot="1">
      <c r="A83" s="392"/>
      <c r="B83" s="218" t="s">
        <v>156</v>
      </c>
      <c r="C83" s="256"/>
      <c r="D83" s="242"/>
      <c r="E83" s="243">
        <v>1</v>
      </c>
      <c r="F83" s="243">
        <v>2.5</v>
      </c>
      <c r="G83" s="243"/>
      <c r="H83" s="204"/>
      <c r="I83" s="205"/>
      <c r="J83" s="205"/>
      <c r="K83" s="205"/>
      <c r="L83" s="206"/>
    </row>
    <row r="84" spans="1:12" ht="16" thickBot="1">
      <c r="A84" s="392"/>
      <c r="B84" s="218" t="s">
        <v>158</v>
      </c>
      <c r="C84" s="256"/>
      <c r="D84" s="242"/>
      <c r="E84" s="243">
        <v>1</v>
      </c>
      <c r="F84" s="243">
        <v>2</v>
      </c>
      <c r="G84" s="243"/>
      <c r="H84" s="204"/>
      <c r="I84" s="205"/>
      <c r="J84" s="205"/>
      <c r="K84" s="205"/>
      <c r="L84" s="206"/>
    </row>
    <row r="85" spans="1:12" ht="16" thickBot="1">
      <c r="A85" s="392"/>
      <c r="B85" s="218" t="s">
        <v>157</v>
      </c>
      <c r="C85" s="256"/>
      <c r="D85" s="242"/>
      <c r="E85" s="243">
        <v>1</v>
      </c>
      <c r="F85" s="243">
        <v>2</v>
      </c>
      <c r="G85" s="243"/>
      <c r="H85" s="204"/>
      <c r="I85" s="205"/>
      <c r="J85" s="205"/>
      <c r="K85" s="205"/>
      <c r="L85" s="206"/>
    </row>
    <row r="86" spans="1:12" ht="16" thickBot="1">
      <c r="A86" s="392"/>
      <c r="B86" s="218" t="s">
        <v>159</v>
      </c>
      <c r="C86" s="256"/>
      <c r="D86" s="242"/>
      <c r="E86" s="243">
        <v>1</v>
      </c>
      <c r="F86" s="243">
        <v>3</v>
      </c>
      <c r="G86" s="243"/>
      <c r="H86" s="204"/>
      <c r="I86" s="205"/>
      <c r="J86" s="205"/>
      <c r="K86" s="205"/>
      <c r="L86" s="206"/>
    </row>
    <row r="87" spans="1:12" ht="16" thickBot="1">
      <c r="A87" s="392"/>
      <c r="B87" s="218" t="s">
        <v>160</v>
      </c>
      <c r="C87" s="256"/>
      <c r="D87" s="242"/>
      <c r="E87" s="243">
        <v>1</v>
      </c>
      <c r="F87" s="243">
        <v>2</v>
      </c>
      <c r="G87" s="243"/>
      <c r="H87" s="204"/>
      <c r="I87" s="205"/>
      <c r="J87" s="205"/>
      <c r="K87" s="205"/>
      <c r="L87" s="206"/>
    </row>
    <row r="88" spans="1:12" ht="16" thickBot="1">
      <c r="A88" s="392"/>
      <c r="B88" s="218" t="s">
        <v>161</v>
      </c>
      <c r="C88" s="256"/>
      <c r="D88" s="242"/>
      <c r="E88" s="243">
        <v>1</v>
      </c>
      <c r="F88" s="243">
        <v>3</v>
      </c>
      <c r="G88" s="243"/>
      <c r="H88" s="204"/>
      <c r="I88" s="205"/>
      <c r="J88" s="205"/>
      <c r="K88" s="205"/>
      <c r="L88" s="206"/>
    </row>
    <row r="89" spans="1:12" ht="16" thickBot="1">
      <c r="A89" s="392"/>
      <c r="B89" s="218" t="s">
        <v>162</v>
      </c>
      <c r="C89" s="256"/>
      <c r="D89" s="242"/>
      <c r="E89" s="243">
        <v>1</v>
      </c>
      <c r="F89" s="243">
        <v>2</v>
      </c>
      <c r="G89" s="243"/>
      <c r="H89" s="204"/>
      <c r="I89" s="205"/>
      <c r="J89" s="205"/>
      <c r="K89" s="205"/>
      <c r="L89" s="206"/>
    </row>
    <row r="90" spans="1:12" ht="16" thickBot="1">
      <c r="A90" s="392"/>
      <c r="B90" s="203" t="s">
        <v>76</v>
      </c>
      <c r="C90" s="256"/>
      <c r="D90" s="242"/>
      <c r="E90" s="243"/>
      <c r="F90" s="243"/>
      <c r="G90" s="243"/>
      <c r="H90" s="204"/>
      <c r="I90" s="205"/>
      <c r="J90" s="205"/>
      <c r="K90" s="205"/>
      <c r="L90" s="206"/>
    </row>
    <row r="91" spans="1:12" ht="16" thickBot="1">
      <c r="A91" s="392"/>
      <c r="B91" s="283" t="s">
        <v>167</v>
      </c>
      <c r="C91" s="256"/>
      <c r="D91" s="242"/>
      <c r="E91" s="243"/>
      <c r="F91" s="243"/>
      <c r="G91" s="243"/>
      <c r="H91" s="204">
        <v>6</v>
      </c>
      <c r="I91" s="205"/>
      <c r="J91" s="205"/>
      <c r="K91" s="205"/>
      <c r="L91" s="206"/>
    </row>
    <row r="92" spans="1:12" ht="16" thickBot="1">
      <c r="A92" s="392"/>
      <c r="B92" s="218" t="s">
        <v>154</v>
      </c>
      <c r="C92" s="256"/>
      <c r="D92" s="242"/>
      <c r="E92" s="243"/>
      <c r="F92" s="243"/>
      <c r="G92" s="243"/>
      <c r="H92" s="243">
        <v>4</v>
      </c>
      <c r="I92" s="205"/>
      <c r="J92" s="205"/>
      <c r="K92" s="205"/>
      <c r="L92" s="206"/>
    </row>
    <row r="93" spans="1:12" ht="16" thickBot="1">
      <c r="A93" s="392"/>
      <c r="B93" s="218" t="s">
        <v>155</v>
      </c>
      <c r="C93" s="256"/>
      <c r="D93" s="242"/>
      <c r="E93" s="243"/>
      <c r="F93" s="243"/>
      <c r="G93" s="243"/>
      <c r="H93" s="243">
        <v>2</v>
      </c>
      <c r="I93" s="205"/>
      <c r="J93" s="205"/>
      <c r="K93" s="205"/>
      <c r="L93" s="206"/>
    </row>
    <row r="94" spans="1:12" ht="16" thickBot="1">
      <c r="A94" s="392"/>
      <c r="B94" s="218" t="s">
        <v>156</v>
      </c>
      <c r="C94" s="256"/>
      <c r="D94" s="242"/>
      <c r="E94" s="243"/>
      <c r="F94" s="243"/>
      <c r="G94" s="243"/>
      <c r="H94" s="243">
        <v>7</v>
      </c>
      <c r="I94" s="205"/>
      <c r="J94" s="205"/>
      <c r="K94" s="205"/>
      <c r="L94" s="206"/>
    </row>
    <row r="95" spans="1:12" ht="16" thickBot="1">
      <c r="A95" s="392"/>
      <c r="B95" s="218" t="s">
        <v>158</v>
      </c>
      <c r="C95" s="256"/>
      <c r="D95" s="242"/>
      <c r="E95" s="243"/>
      <c r="F95" s="243"/>
      <c r="G95" s="243"/>
      <c r="H95" s="243">
        <v>4</v>
      </c>
      <c r="I95" s="205"/>
      <c r="J95" s="205"/>
      <c r="K95" s="205"/>
      <c r="L95" s="206"/>
    </row>
    <row r="96" spans="1:12" ht="16" thickBot="1">
      <c r="A96" s="392"/>
      <c r="B96" s="218" t="s">
        <v>157</v>
      </c>
      <c r="C96" s="256"/>
      <c r="D96" s="242"/>
      <c r="E96" s="243"/>
      <c r="F96" s="243"/>
      <c r="G96" s="243"/>
      <c r="H96" s="243"/>
      <c r="I96" s="243">
        <v>2</v>
      </c>
      <c r="J96" s="205"/>
      <c r="K96" s="205"/>
      <c r="L96" s="206"/>
    </row>
    <row r="97" spans="1:12" ht="16" thickBot="1">
      <c r="A97" s="392"/>
      <c r="B97" s="218" t="s">
        <v>159</v>
      </c>
      <c r="C97" s="256"/>
      <c r="D97" s="242"/>
      <c r="E97" s="243"/>
      <c r="F97" s="243"/>
      <c r="G97" s="243"/>
      <c r="H97" s="243"/>
      <c r="I97" s="243">
        <v>5</v>
      </c>
      <c r="J97" s="205"/>
      <c r="K97" s="205"/>
      <c r="L97" s="206"/>
    </row>
    <row r="98" spans="1:12" ht="16" thickBot="1">
      <c r="A98" s="392"/>
      <c r="B98" s="218" t="s">
        <v>160</v>
      </c>
      <c r="C98" s="256"/>
      <c r="D98" s="242"/>
      <c r="E98" s="243"/>
      <c r="F98" s="243"/>
      <c r="G98" s="243"/>
      <c r="H98" s="243"/>
      <c r="I98" s="243">
        <v>4</v>
      </c>
      <c r="J98" s="205"/>
      <c r="K98" s="205"/>
      <c r="L98" s="206"/>
    </row>
    <row r="99" spans="1:12" ht="16" thickBot="1">
      <c r="A99" s="392"/>
      <c r="B99" s="218" t="s">
        <v>161</v>
      </c>
      <c r="C99" s="256"/>
      <c r="D99" s="242"/>
      <c r="E99" s="243"/>
      <c r="F99" s="243"/>
      <c r="G99" s="243"/>
      <c r="H99" s="243"/>
      <c r="I99" s="243">
        <v>3</v>
      </c>
      <c r="J99" s="205"/>
      <c r="K99" s="205"/>
      <c r="L99" s="206"/>
    </row>
    <row r="100" spans="1:12" ht="16" thickBot="1">
      <c r="A100" s="392"/>
      <c r="B100" s="218" t="s">
        <v>162</v>
      </c>
      <c r="C100" s="256"/>
      <c r="D100" s="242"/>
      <c r="E100" s="243"/>
      <c r="F100" s="243"/>
      <c r="G100" s="243"/>
      <c r="H100" s="243"/>
      <c r="I100" s="243">
        <v>2</v>
      </c>
      <c r="J100" s="205"/>
      <c r="K100" s="205"/>
      <c r="L100" s="206"/>
    </row>
    <row r="101" spans="1:12" ht="16" thickBot="1">
      <c r="A101" s="392"/>
      <c r="B101" s="225" t="s">
        <v>163</v>
      </c>
      <c r="C101" s="256"/>
      <c r="D101" s="242"/>
      <c r="E101" s="243"/>
      <c r="F101" s="243"/>
      <c r="G101" s="243"/>
      <c r="H101" s="204"/>
      <c r="I101" s="205"/>
      <c r="J101" s="205"/>
      <c r="K101" s="205"/>
      <c r="L101" s="206"/>
    </row>
    <row r="102" spans="1:12" ht="16" thickBot="1">
      <c r="A102" s="392"/>
      <c r="B102" s="219" t="s">
        <v>135</v>
      </c>
      <c r="C102" s="256"/>
      <c r="D102" s="242"/>
      <c r="E102" s="243">
        <v>2</v>
      </c>
      <c r="F102" s="243"/>
      <c r="G102" s="243">
        <v>4</v>
      </c>
      <c r="H102" s="204"/>
      <c r="I102" s="205"/>
      <c r="J102" s="205"/>
      <c r="K102" s="205"/>
      <c r="L102" s="206"/>
    </row>
    <row r="103" spans="1:12" ht="16" thickBot="1">
      <c r="A103" s="392"/>
      <c r="B103" s="219" t="s">
        <v>136</v>
      </c>
      <c r="C103" s="256"/>
      <c r="D103" s="242"/>
      <c r="E103" s="243">
        <v>2</v>
      </c>
      <c r="F103" s="243"/>
      <c r="G103" s="243">
        <v>5</v>
      </c>
      <c r="H103" s="204"/>
      <c r="I103" s="205"/>
      <c r="J103" s="205"/>
      <c r="K103" s="205"/>
      <c r="L103" s="206"/>
    </row>
    <row r="104" spans="1:12" ht="16" thickBot="1">
      <c r="A104" s="392"/>
      <c r="B104" s="219" t="s">
        <v>164</v>
      </c>
      <c r="C104" s="256"/>
      <c r="D104" s="242"/>
      <c r="E104" s="243">
        <v>2</v>
      </c>
      <c r="F104" s="243"/>
      <c r="G104" s="243">
        <v>6</v>
      </c>
      <c r="H104" s="204"/>
      <c r="I104" s="205"/>
      <c r="J104" s="205"/>
      <c r="K104" s="205"/>
      <c r="L104" s="206"/>
    </row>
    <row r="105" spans="1:12" ht="16" thickBot="1">
      <c r="A105" s="392"/>
      <c r="B105" s="225" t="s">
        <v>145</v>
      </c>
      <c r="C105" s="256"/>
      <c r="D105" s="242"/>
      <c r="E105" s="243"/>
      <c r="F105" s="243"/>
      <c r="G105" s="243"/>
      <c r="H105" s="204"/>
      <c r="I105" s="205"/>
      <c r="J105" s="205"/>
      <c r="K105" s="205"/>
      <c r="L105" s="206"/>
    </row>
    <row r="106" spans="1:12" ht="16" thickBot="1">
      <c r="A106" s="392"/>
      <c r="B106" s="219" t="s">
        <v>153</v>
      </c>
      <c r="C106" s="256"/>
      <c r="D106" s="242"/>
      <c r="E106" s="243">
        <v>3</v>
      </c>
      <c r="F106" s="243">
        <v>2</v>
      </c>
      <c r="G106" s="243">
        <v>3</v>
      </c>
      <c r="H106" s="204">
        <v>2</v>
      </c>
      <c r="I106" s="204">
        <v>2</v>
      </c>
      <c r="J106" s="205"/>
      <c r="K106" s="205"/>
      <c r="L106" s="206"/>
    </row>
    <row r="107" spans="1:12" ht="16" thickBot="1">
      <c r="A107" s="392"/>
      <c r="B107" s="220" t="s">
        <v>152</v>
      </c>
      <c r="C107" s="256"/>
      <c r="D107" s="242"/>
      <c r="E107" s="243"/>
      <c r="F107" s="243">
        <v>1</v>
      </c>
      <c r="G107" s="243">
        <v>1</v>
      </c>
      <c r="H107" s="204"/>
      <c r="I107" s="205"/>
      <c r="J107" s="205"/>
      <c r="K107" s="205"/>
      <c r="L107" s="206"/>
    </row>
    <row r="108" spans="1:12" ht="17" customHeight="1" thickBot="1">
      <c r="A108" s="392"/>
      <c r="B108" s="223" t="s">
        <v>166</v>
      </c>
      <c r="C108" s="256"/>
      <c r="D108" s="244"/>
      <c r="E108" s="237"/>
      <c r="F108" s="237"/>
      <c r="G108" s="237"/>
      <c r="H108" s="209"/>
      <c r="I108" s="207"/>
      <c r="J108" s="207"/>
      <c r="K108" s="207"/>
      <c r="L108" s="207"/>
    </row>
    <row r="109" spans="1:12" ht="20" customHeight="1" thickBot="1">
      <c r="A109" s="392"/>
      <c r="B109" s="281" t="s">
        <v>75</v>
      </c>
      <c r="C109" s="256"/>
      <c r="D109" s="242"/>
      <c r="E109" s="243"/>
      <c r="F109" s="243"/>
      <c r="G109" s="243"/>
      <c r="H109" s="204"/>
      <c r="I109" s="205"/>
      <c r="J109" s="205"/>
      <c r="K109" s="205"/>
      <c r="L109" s="206"/>
    </row>
    <row r="110" spans="1:12" ht="16" thickBot="1">
      <c r="A110" s="392"/>
      <c r="B110" s="218" t="s">
        <v>168</v>
      </c>
      <c r="C110" s="256"/>
      <c r="D110" s="242"/>
      <c r="E110" s="243">
        <v>2</v>
      </c>
      <c r="F110" s="243">
        <v>4</v>
      </c>
      <c r="G110" s="243"/>
      <c r="H110" s="204"/>
      <c r="I110" s="205"/>
      <c r="J110" s="205"/>
      <c r="K110" s="205"/>
      <c r="L110" s="206"/>
    </row>
    <row r="111" spans="1:12" ht="16" thickBot="1">
      <c r="A111" s="392"/>
      <c r="B111" s="218" t="s">
        <v>169</v>
      </c>
      <c r="C111" s="256"/>
      <c r="D111" s="242"/>
      <c r="E111" s="243">
        <v>1.5</v>
      </c>
      <c r="F111" s="243">
        <v>3</v>
      </c>
      <c r="G111" s="243"/>
      <c r="H111" s="204"/>
      <c r="I111" s="205"/>
      <c r="J111" s="205"/>
      <c r="K111" s="205"/>
      <c r="L111" s="206"/>
    </row>
    <row r="112" spans="1:12" ht="16" thickBot="1">
      <c r="A112" s="392"/>
      <c r="B112" s="218" t="s">
        <v>170</v>
      </c>
      <c r="C112" s="256"/>
      <c r="D112" s="242"/>
      <c r="E112" s="243">
        <v>2</v>
      </c>
      <c r="F112" s="243">
        <v>5</v>
      </c>
      <c r="G112" s="243"/>
      <c r="H112" s="204"/>
      <c r="I112" s="205"/>
      <c r="J112" s="205"/>
      <c r="K112" s="205"/>
      <c r="L112" s="206"/>
    </row>
    <row r="113" spans="1:12" ht="16" thickBot="1">
      <c r="A113" s="392"/>
      <c r="B113" s="218" t="s">
        <v>171</v>
      </c>
      <c r="C113" s="256"/>
      <c r="D113" s="242"/>
      <c r="E113" s="243">
        <v>1.5</v>
      </c>
      <c r="F113" s="243">
        <v>4</v>
      </c>
      <c r="G113" s="243"/>
      <c r="H113" s="204"/>
      <c r="I113" s="205"/>
      <c r="J113" s="205"/>
      <c r="K113" s="205"/>
      <c r="L113" s="206"/>
    </row>
    <row r="114" spans="1:12" ht="16" thickBot="1">
      <c r="A114" s="392"/>
      <c r="B114" s="203" t="s">
        <v>76</v>
      </c>
      <c r="C114" s="256"/>
      <c r="D114" s="242"/>
      <c r="E114" s="243"/>
      <c r="F114" s="243"/>
      <c r="G114" s="243"/>
      <c r="H114" s="204"/>
      <c r="I114" s="205"/>
      <c r="J114" s="205"/>
      <c r="K114" s="205"/>
      <c r="L114" s="206"/>
    </row>
    <row r="115" spans="1:12" ht="16" thickBot="1">
      <c r="A115" s="392"/>
      <c r="B115" s="218" t="s">
        <v>169</v>
      </c>
      <c r="C115" s="256"/>
      <c r="D115" s="242"/>
      <c r="E115" s="243"/>
      <c r="F115" s="243"/>
      <c r="G115" s="243"/>
      <c r="H115" s="243">
        <v>4</v>
      </c>
      <c r="I115" s="205"/>
      <c r="J115" s="205"/>
      <c r="K115" s="205"/>
      <c r="L115" s="206"/>
    </row>
    <row r="116" spans="1:12" ht="16" thickBot="1">
      <c r="A116" s="392"/>
      <c r="B116" s="218" t="s">
        <v>171</v>
      </c>
      <c r="C116" s="256"/>
      <c r="D116" s="242"/>
      <c r="E116" s="243"/>
      <c r="F116" s="243"/>
      <c r="G116" s="243"/>
      <c r="H116" s="243">
        <v>8</v>
      </c>
      <c r="I116" s="205"/>
      <c r="J116" s="205"/>
      <c r="K116" s="205"/>
      <c r="L116" s="206"/>
    </row>
    <row r="117" spans="1:12" ht="16" thickBot="1">
      <c r="A117" s="392"/>
      <c r="B117" s="225" t="s">
        <v>163</v>
      </c>
      <c r="C117" s="256"/>
      <c r="D117" s="242"/>
      <c r="E117" s="243"/>
      <c r="F117" s="243"/>
      <c r="G117" s="243"/>
      <c r="H117" s="204"/>
      <c r="I117" s="205"/>
      <c r="J117" s="205"/>
      <c r="K117" s="205"/>
      <c r="L117" s="206"/>
    </row>
    <row r="118" spans="1:12" ht="16" thickBot="1">
      <c r="A118" s="392"/>
      <c r="B118" s="219" t="s">
        <v>135</v>
      </c>
      <c r="C118" s="256"/>
      <c r="D118" s="242"/>
      <c r="E118" s="243">
        <v>0.5</v>
      </c>
      <c r="F118" s="243"/>
      <c r="G118" s="243">
        <v>3</v>
      </c>
      <c r="H118" s="204"/>
      <c r="I118" s="205"/>
      <c r="J118" s="205"/>
      <c r="K118" s="205"/>
      <c r="L118" s="206"/>
    </row>
    <row r="119" spans="1:12" ht="16" thickBot="1">
      <c r="A119" s="392"/>
      <c r="B119" s="219" t="s">
        <v>136</v>
      </c>
      <c r="C119" s="256"/>
      <c r="D119" s="242"/>
      <c r="E119" s="243">
        <v>0.5</v>
      </c>
      <c r="F119" s="243"/>
      <c r="G119" s="243">
        <v>5</v>
      </c>
      <c r="H119" s="204"/>
      <c r="I119" s="205"/>
      <c r="J119" s="205"/>
      <c r="K119" s="205"/>
      <c r="L119" s="206"/>
    </row>
    <row r="120" spans="1:12" ht="16" thickBot="1">
      <c r="A120" s="392"/>
      <c r="B120" s="219" t="s">
        <v>164</v>
      </c>
      <c r="C120" s="256"/>
      <c r="D120" s="242"/>
      <c r="E120" s="243">
        <v>1</v>
      </c>
      <c r="F120" s="243"/>
      <c r="G120" s="243">
        <v>3</v>
      </c>
      <c r="H120" s="204"/>
      <c r="I120" s="205"/>
      <c r="J120" s="205"/>
      <c r="K120" s="205"/>
      <c r="L120" s="206"/>
    </row>
    <row r="121" spans="1:12" ht="16" thickBot="1">
      <c r="A121" s="392"/>
      <c r="B121" s="225" t="s">
        <v>145</v>
      </c>
      <c r="C121" s="256"/>
      <c r="D121" s="242"/>
      <c r="E121" s="243"/>
      <c r="F121" s="243"/>
      <c r="G121" s="243"/>
      <c r="H121" s="204"/>
      <c r="I121" s="205"/>
      <c r="J121" s="205"/>
      <c r="K121" s="205"/>
      <c r="L121" s="206"/>
    </row>
    <row r="122" spans="1:12" ht="16" thickBot="1">
      <c r="A122" s="392"/>
      <c r="B122" s="219" t="s">
        <v>153</v>
      </c>
      <c r="C122" s="256"/>
      <c r="D122" s="242"/>
      <c r="E122" s="243">
        <v>3</v>
      </c>
      <c r="F122" s="243"/>
      <c r="G122" s="243">
        <v>3</v>
      </c>
      <c r="H122" s="204">
        <v>1</v>
      </c>
      <c r="I122" s="204">
        <v>1</v>
      </c>
      <c r="J122" s="205"/>
      <c r="K122" s="205"/>
      <c r="L122" s="206"/>
    </row>
    <row r="123" spans="1:12" ht="16" thickBot="1">
      <c r="A123" s="392"/>
      <c r="B123" s="220" t="s">
        <v>152</v>
      </c>
      <c r="C123" s="256"/>
      <c r="D123" s="242"/>
      <c r="E123" s="243"/>
      <c r="F123" s="243">
        <v>0.5</v>
      </c>
      <c r="G123" s="243">
        <v>0.5</v>
      </c>
      <c r="H123" s="204"/>
      <c r="I123" s="205"/>
      <c r="J123" s="205"/>
      <c r="K123" s="205"/>
      <c r="L123" s="206"/>
    </row>
    <row r="124" spans="1:12" ht="16" thickBot="1">
      <c r="A124" s="392"/>
      <c r="B124" s="294" t="s">
        <v>207</v>
      </c>
      <c r="C124" s="257" t="s">
        <v>209</v>
      </c>
      <c r="D124" s="249">
        <v>1</v>
      </c>
      <c r="E124" s="250"/>
      <c r="F124" s="250"/>
      <c r="G124" s="250"/>
      <c r="H124" s="229"/>
      <c r="I124" s="230"/>
      <c r="J124" s="230"/>
      <c r="K124" s="230"/>
      <c r="L124" s="231"/>
    </row>
    <row r="125" spans="1:12" ht="17" thickTop="1" thickBot="1">
      <c r="A125" s="392"/>
      <c r="B125" s="292" t="s">
        <v>180</v>
      </c>
      <c r="C125" s="255"/>
      <c r="D125" s="285"/>
      <c r="E125" s="286"/>
      <c r="F125" s="286"/>
      <c r="G125" s="286"/>
      <c r="H125" s="287"/>
      <c r="I125" s="288"/>
      <c r="J125" s="288"/>
      <c r="K125" s="288"/>
      <c r="L125" s="289"/>
    </row>
    <row r="126" spans="1:12" ht="16" thickBot="1">
      <c r="A126" s="392"/>
      <c r="B126" s="293" t="s">
        <v>181</v>
      </c>
      <c r="C126" s="256"/>
      <c r="D126" s="234"/>
      <c r="E126" s="237">
        <v>1</v>
      </c>
      <c r="F126" s="237">
        <v>2</v>
      </c>
      <c r="G126" s="237"/>
      <c r="H126" s="209"/>
      <c r="I126" s="207"/>
      <c r="J126" s="207"/>
      <c r="K126" s="207"/>
      <c r="L126" s="208"/>
    </row>
    <row r="127" spans="1:12" ht="16" thickBot="1">
      <c r="A127" s="392"/>
      <c r="B127" s="293" t="s">
        <v>182</v>
      </c>
      <c r="C127" s="256"/>
      <c r="D127" s="234"/>
      <c r="E127" s="237"/>
      <c r="F127" s="237">
        <v>1</v>
      </c>
      <c r="G127" s="237"/>
      <c r="H127" s="209"/>
      <c r="I127" s="207"/>
      <c r="J127" s="207"/>
      <c r="K127" s="207"/>
      <c r="L127" s="208"/>
    </row>
    <row r="128" spans="1:12" ht="16" thickBot="1">
      <c r="A128" s="392"/>
      <c r="B128" s="293" t="s">
        <v>208</v>
      </c>
      <c r="C128" s="256" t="s">
        <v>202</v>
      </c>
      <c r="D128" s="234">
        <v>1</v>
      </c>
      <c r="E128" s="237"/>
      <c r="F128" s="237"/>
      <c r="G128" s="237"/>
      <c r="H128" s="209"/>
      <c r="I128" s="207"/>
      <c r="J128" s="207"/>
      <c r="K128" s="207"/>
      <c r="L128" s="208"/>
    </row>
    <row r="129" spans="1:15" ht="16" thickBot="1">
      <c r="A129" s="392"/>
      <c r="B129" s="293" t="s">
        <v>183</v>
      </c>
      <c r="C129" s="256"/>
      <c r="D129" s="234"/>
      <c r="E129" s="237"/>
      <c r="F129" s="237">
        <v>2</v>
      </c>
      <c r="G129" s="237"/>
      <c r="H129" s="209"/>
      <c r="I129" s="207"/>
      <c r="J129" s="207"/>
      <c r="K129" s="207"/>
      <c r="L129" s="208"/>
    </row>
    <row r="130" spans="1:15" ht="16" thickBot="1">
      <c r="A130" s="392"/>
      <c r="B130" s="294" t="s">
        <v>184</v>
      </c>
      <c r="C130" s="257"/>
      <c r="D130" s="253"/>
      <c r="E130" s="254">
        <v>1</v>
      </c>
      <c r="F130" s="254">
        <v>1</v>
      </c>
      <c r="G130" s="254"/>
      <c r="H130" s="197"/>
      <c r="I130" s="197"/>
      <c r="J130" s="290"/>
      <c r="K130" s="290"/>
      <c r="L130" s="291"/>
    </row>
    <row r="131" spans="1:15" ht="17" thickTop="1" thickBot="1">
      <c r="A131" s="392"/>
      <c r="B131" s="292" t="s">
        <v>137</v>
      </c>
      <c r="C131" s="255"/>
      <c r="D131" s="285"/>
      <c r="E131" s="286"/>
      <c r="F131" s="286"/>
      <c r="G131" s="286"/>
      <c r="H131" s="287"/>
      <c r="I131" s="288"/>
      <c r="J131" s="288"/>
      <c r="K131" s="288"/>
      <c r="L131" s="289"/>
    </row>
    <row r="132" spans="1:15" ht="16" thickBot="1">
      <c r="A132" s="392"/>
      <c r="B132" s="293" t="s">
        <v>179</v>
      </c>
      <c r="C132" s="256"/>
      <c r="D132" s="234"/>
      <c r="E132" s="237">
        <v>1</v>
      </c>
      <c r="F132" s="237">
        <v>2</v>
      </c>
      <c r="G132" s="237"/>
      <c r="H132" s="209"/>
      <c r="I132" s="207"/>
      <c r="J132" s="209">
        <v>3</v>
      </c>
      <c r="K132" s="207"/>
      <c r="L132" s="208"/>
    </row>
    <row r="133" spans="1:15" ht="16" thickBot="1">
      <c r="A133" s="392"/>
      <c r="B133" s="293" t="s">
        <v>178</v>
      </c>
      <c r="C133" s="256"/>
      <c r="D133" s="234">
        <v>0.5</v>
      </c>
      <c r="E133" s="237">
        <v>1</v>
      </c>
      <c r="F133" s="237">
        <v>1</v>
      </c>
      <c r="G133" s="237">
        <v>1</v>
      </c>
      <c r="H133" s="209"/>
      <c r="I133" s="207"/>
      <c r="J133" s="207"/>
      <c r="K133" s="207"/>
      <c r="L133" s="208"/>
    </row>
    <row r="134" spans="1:15" ht="16" thickBot="1">
      <c r="A134" s="392"/>
      <c r="B134" s="293" t="s">
        <v>177</v>
      </c>
      <c r="C134" s="256"/>
      <c r="D134" s="234"/>
      <c r="E134" s="237">
        <v>0.5</v>
      </c>
      <c r="F134" s="237">
        <v>1</v>
      </c>
      <c r="G134" s="237">
        <v>1</v>
      </c>
      <c r="H134" s="209"/>
      <c r="I134" s="207"/>
      <c r="J134" s="207"/>
      <c r="K134" s="207"/>
      <c r="L134" s="208"/>
    </row>
    <row r="135" spans="1:15" ht="16" thickBot="1">
      <c r="A135" s="392"/>
      <c r="B135" s="294" t="s">
        <v>206</v>
      </c>
      <c r="C135" s="257" t="s">
        <v>123</v>
      </c>
      <c r="D135" s="253">
        <v>1</v>
      </c>
      <c r="E135" s="254"/>
      <c r="F135" s="254"/>
      <c r="G135" s="254"/>
      <c r="H135" s="197"/>
      <c r="I135" s="197"/>
      <c r="J135" s="290"/>
      <c r="K135" s="290"/>
      <c r="L135" s="291"/>
    </row>
    <row r="136" spans="1:15" ht="37" thickBot="1">
      <c r="A136" s="232" t="s">
        <v>124</v>
      </c>
      <c r="B136" s="96" t="s">
        <v>185</v>
      </c>
      <c r="C136" s="295" t="s">
        <v>187</v>
      </c>
      <c r="D136" s="251"/>
      <c r="E136" s="252">
        <v>3</v>
      </c>
      <c r="F136" s="252">
        <v>5</v>
      </c>
      <c r="G136" s="252">
        <v>5</v>
      </c>
      <c r="H136" s="196"/>
      <c r="I136" s="199"/>
      <c r="J136" s="199"/>
      <c r="K136" s="199"/>
      <c r="L136" s="200"/>
    </row>
    <row r="137" spans="1:15" ht="40" thickBot="1">
      <c r="A137" s="233"/>
      <c r="B137" s="210" t="s">
        <v>186</v>
      </c>
      <c r="C137" s="296" t="s">
        <v>188</v>
      </c>
      <c r="D137" s="253">
        <v>1</v>
      </c>
      <c r="E137" s="254">
        <v>3</v>
      </c>
      <c r="F137" s="254"/>
      <c r="G137" s="254"/>
      <c r="H137" s="197"/>
      <c r="I137" s="211"/>
      <c r="J137" s="211"/>
      <c r="K137" s="211"/>
      <c r="L137" s="212"/>
    </row>
    <row r="138" spans="1:15" ht="25" customHeight="1" thickBot="1">
      <c r="A138" s="5" t="s">
        <v>0</v>
      </c>
      <c r="B138" s="2"/>
      <c r="C138" s="1"/>
      <c r="D138" s="1">
        <f t="shared" ref="D138:L138" si="0">SUM(D5:D137)</f>
        <v>69</v>
      </c>
      <c r="E138" s="1">
        <f t="shared" si="0"/>
        <v>105</v>
      </c>
      <c r="F138" s="1">
        <f t="shared" si="0"/>
        <v>111</v>
      </c>
      <c r="G138" s="1">
        <f t="shared" si="0"/>
        <v>88</v>
      </c>
      <c r="H138" s="1">
        <f t="shared" si="0"/>
        <v>65</v>
      </c>
      <c r="I138" s="1">
        <f t="shared" si="0"/>
        <v>51</v>
      </c>
      <c r="J138" s="1">
        <f t="shared" si="0"/>
        <v>6</v>
      </c>
      <c r="K138" s="1">
        <f t="shared" si="0"/>
        <v>0</v>
      </c>
      <c r="L138" s="1">
        <f t="shared" si="0"/>
        <v>0</v>
      </c>
    </row>
    <row r="139" spans="1:15" s="3" customFormat="1" thickBot="1"/>
    <row r="140" spans="1:15" ht="20" thickBot="1">
      <c r="C140" t="s">
        <v>10</v>
      </c>
      <c r="M140" s="20" t="s">
        <v>15</v>
      </c>
    </row>
    <row r="141" spans="1:15" ht="17" customHeight="1">
      <c r="A141" s="102" t="s">
        <v>62</v>
      </c>
      <c r="B141" s="94" t="s">
        <v>12</v>
      </c>
      <c r="C141" s="13" t="s">
        <v>131</v>
      </c>
      <c r="D141" s="14">
        <v>14000</v>
      </c>
      <c r="E141" s="14">
        <v>14000</v>
      </c>
      <c r="F141" s="14">
        <v>8500</v>
      </c>
      <c r="G141" s="14">
        <v>8500</v>
      </c>
      <c r="H141" s="14">
        <v>8500</v>
      </c>
      <c r="I141" s="14">
        <v>8500</v>
      </c>
      <c r="J141" s="17">
        <v>8500</v>
      </c>
      <c r="K141" s="14">
        <v>14000</v>
      </c>
      <c r="L141" s="17">
        <v>8500</v>
      </c>
      <c r="M141" s="18"/>
    </row>
    <row r="142" spans="1:15" ht="17" customHeight="1" thickBot="1">
      <c r="B142" s="94" t="s">
        <v>11</v>
      </c>
      <c r="C142" s="15" t="s">
        <v>69</v>
      </c>
      <c r="D142" s="16">
        <f>D138*D141</f>
        <v>966000</v>
      </c>
      <c r="E142" s="16">
        <f>E138*E141</f>
        <v>1470000</v>
      </c>
      <c r="F142" s="16">
        <f t="shared" ref="F142:L142" si="1">F138*F141</f>
        <v>943500</v>
      </c>
      <c r="G142" s="16">
        <f t="shared" si="1"/>
        <v>748000</v>
      </c>
      <c r="H142" s="16">
        <f t="shared" si="1"/>
        <v>552500</v>
      </c>
      <c r="I142" s="16">
        <f>I138*I141</f>
        <v>433500</v>
      </c>
      <c r="J142" s="16">
        <f t="shared" si="1"/>
        <v>51000</v>
      </c>
      <c r="K142" s="16">
        <f t="shared" si="1"/>
        <v>0</v>
      </c>
      <c r="L142" s="16">
        <f t="shared" si="1"/>
        <v>0</v>
      </c>
      <c r="M142" s="19">
        <f>SUM(D142:L142)</f>
        <v>5164500</v>
      </c>
    </row>
    <row r="143" spans="1:15" ht="20" thickBot="1">
      <c r="M143" s="35">
        <f>SUM(M142:M142)</f>
        <v>5164500</v>
      </c>
      <c r="O143" s="198"/>
    </row>
    <row r="145" spans="13:13">
      <c r="M145" s="201"/>
    </row>
    <row r="146" spans="13:13">
      <c r="M146" s="202"/>
    </row>
    <row r="148" spans="13:13">
      <c r="M148" s="198"/>
    </row>
  </sheetData>
  <mergeCells count="8">
    <mergeCell ref="A72:A76"/>
    <mergeCell ref="A78:A135"/>
    <mergeCell ref="A3:A4"/>
    <mergeCell ref="B3:B4"/>
    <mergeCell ref="C3:C4"/>
    <mergeCell ref="A5:A7"/>
    <mergeCell ref="C5:C7"/>
    <mergeCell ref="A66:A71"/>
  </mergeCells>
  <dataValidations count="1">
    <dataValidation type="list" allowBlank="1" showInputMessage="1" showErrorMessage="1" sqref="D2:L2" xr:uid="{A777F70A-5D1E-EC45-83C4-89A017FEA513}">
      <formula1>"Sr1, Sr2, Of1, Of2"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4B36-2F1D-44A6-A9CD-200722107F44}">
  <sheetPr>
    <tabColor theme="1" tint="0.499984740745262"/>
    <pageSetUpPr fitToPage="1"/>
  </sheetPr>
  <dimension ref="C2:G25"/>
  <sheetViews>
    <sheetView topLeftCell="B1" zoomScaleNormal="100" workbookViewId="0">
      <selection activeCell="C3" sqref="C3:E3"/>
    </sheetView>
  </sheetViews>
  <sheetFormatPr baseColWidth="10" defaultColWidth="9" defaultRowHeight="14"/>
  <cols>
    <col min="1" max="2" width="3.83203125" style="11" customWidth="1"/>
    <col min="3" max="3" width="5.33203125" style="11" bestFit="1" customWidth="1"/>
    <col min="4" max="4" width="64.5" style="11" bestFit="1" customWidth="1"/>
    <col min="5" max="5" width="22" style="11" customWidth="1"/>
    <col min="6" max="6" width="9" style="11"/>
    <col min="7" max="7" width="22" style="11" customWidth="1"/>
    <col min="8" max="16384" width="9" style="11"/>
  </cols>
  <sheetData>
    <row r="2" spans="3:7">
      <c r="C2" s="401" t="s">
        <v>267</v>
      </c>
      <c r="D2" s="401"/>
      <c r="E2" s="401"/>
    </row>
    <row r="3" spans="3:7">
      <c r="C3" s="401" t="s">
        <v>219</v>
      </c>
      <c r="D3" s="401"/>
      <c r="E3" s="401"/>
    </row>
    <row r="4" spans="3:7" ht="15" thickBot="1">
      <c r="C4" s="64"/>
      <c r="D4" s="65"/>
      <c r="E4" s="65"/>
    </row>
    <row r="5" spans="3:7" ht="21.75" customHeight="1" thickBot="1">
      <c r="C5" s="66" t="s">
        <v>54</v>
      </c>
      <c r="D5" s="67" t="s">
        <v>55</v>
      </c>
      <c r="E5" s="68" t="s">
        <v>56</v>
      </c>
    </row>
    <row r="6" spans="3:7">
      <c r="C6" s="69">
        <v>1</v>
      </c>
      <c r="D6" s="70" t="s">
        <v>63</v>
      </c>
      <c r="E6" s="300" t="s">
        <v>48</v>
      </c>
      <c r="G6" s="71"/>
    </row>
    <row r="7" spans="3:7">
      <c r="C7" s="72"/>
      <c r="D7" s="73"/>
      <c r="E7" s="74"/>
      <c r="G7" s="71"/>
    </row>
    <row r="8" spans="3:7">
      <c r="C8" s="72"/>
      <c r="D8" s="73"/>
      <c r="E8" s="74"/>
    </row>
    <row r="9" spans="3:7" ht="15" thickBot="1">
      <c r="C9" s="75"/>
      <c r="D9" s="76"/>
      <c r="E9" s="77"/>
    </row>
    <row r="10" spans="3:7">
      <c r="C10" s="78"/>
      <c r="D10" s="79" t="s">
        <v>0</v>
      </c>
      <c r="E10" s="80">
        <f>SUM(E6:E9)</f>
        <v>0</v>
      </c>
    </row>
    <row r="11" spans="3:7">
      <c r="C11" s="81"/>
      <c r="D11" s="82" t="s">
        <v>57</v>
      </c>
      <c r="E11" s="83"/>
    </row>
    <row r="12" spans="3:7" ht="20" thickBot="1">
      <c r="C12" s="84"/>
      <c r="D12" s="85" t="s">
        <v>58</v>
      </c>
      <c r="E12" s="86">
        <f>E10-E11</f>
        <v>0</v>
      </c>
    </row>
    <row r="13" spans="3:7">
      <c r="C13" s="65"/>
      <c r="D13" s="103"/>
      <c r="E13" s="87"/>
    </row>
    <row r="14" spans="3:7">
      <c r="D14" s="103" t="s">
        <v>64</v>
      </c>
    </row>
    <row r="15" spans="3:7">
      <c r="C15" s="65"/>
      <c r="D15" s="65"/>
      <c r="E15" s="65"/>
    </row>
    <row r="16" spans="3:7">
      <c r="D16" s="88"/>
    </row>
    <row r="17" spans="4:7">
      <c r="D17" s="71"/>
    </row>
    <row r="20" spans="4:7">
      <c r="E20" s="71"/>
    </row>
    <row r="23" spans="4:7">
      <c r="E23" s="88"/>
    </row>
    <row r="24" spans="4:7">
      <c r="E24" s="89"/>
    </row>
    <row r="25" spans="4:7">
      <c r="G25" s="88"/>
    </row>
  </sheetData>
  <mergeCells count="2">
    <mergeCell ref="C2:E2"/>
    <mergeCell ref="C3:E3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87376-5D70-BB44-A30B-72CCBE04BC67}">
  <dimension ref="A1:BK44"/>
  <sheetViews>
    <sheetView tabSelected="1" zoomScale="80" zoomScaleNormal="80" workbookViewId="0">
      <pane xSplit="2" ySplit="3" topLeftCell="Y4" activePane="bottomRight" state="frozen"/>
      <selection pane="topRight" activeCell="C1" sqref="C1"/>
      <selection pane="bottomLeft" activeCell="A4" sqref="A4"/>
      <selection pane="bottomRight" activeCell="AA3" sqref="AA3:AY3"/>
    </sheetView>
  </sheetViews>
  <sheetFormatPr baseColWidth="10" defaultRowHeight="15"/>
  <cols>
    <col min="1" max="1" width="5.83203125" customWidth="1"/>
    <col min="2" max="2" width="45.1640625" customWidth="1"/>
    <col min="3" max="24" width="3.6640625" hidden="1" customWidth="1"/>
    <col min="25" max="54" width="3.6640625" customWidth="1"/>
    <col min="55" max="63" width="3.6640625" hidden="1" customWidth="1"/>
  </cols>
  <sheetData>
    <row r="1" spans="1:63" ht="16" thickBot="1">
      <c r="C1" s="372">
        <v>2025</v>
      </c>
      <c r="D1" s="373"/>
      <c r="E1" s="373"/>
      <c r="F1" s="373"/>
      <c r="G1" s="373"/>
      <c r="H1" s="373"/>
      <c r="I1" s="373"/>
      <c r="J1" s="373"/>
      <c r="K1" s="373"/>
      <c r="L1" s="374">
        <v>2026</v>
      </c>
      <c r="M1" s="374"/>
      <c r="N1" s="374"/>
      <c r="O1" s="374"/>
      <c r="P1" s="374"/>
      <c r="Q1" s="374"/>
      <c r="R1" s="374"/>
      <c r="S1" s="374"/>
      <c r="T1" s="374"/>
      <c r="U1" s="374"/>
      <c r="V1" s="374"/>
      <c r="W1" s="374"/>
      <c r="X1" s="374"/>
      <c r="Y1" s="374"/>
      <c r="Z1" s="374"/>
      <c r="AA1" s="374"/>
      <c r="AB1" s="374"/>
      <c r="AC1" s="374"/>
      <c r="AD1" s="374"/>
      <c r="AE1" s="374"/>
      <c r="AF1" s="374"/>
      <c r="AG1" s="374"/>
      <c r="AH1" s="374"/>
      <c r="AI1" s="374"/>
      <c r="AJ1" s="374"/>
      <c r="AK1" s="374"/>
      <c r="AL1" s="374"/>
      <c r="AM1" s="374"/>
      <c r="AN1" s="374"/>
      <c r="AO1" s="374"/>
      <c r="AP1" s="374"/>
      <c r="AQ1" s="374"/>
      <c r="AR1" s="374"/>
      <c r="AS1" s="374"/>
      <c r="AT1" s="374"/>
      <c r="AU1" s="374"/>
      <c r="AV1" s="374"/>
      <c r="AW1" s="374"/>
      <c r="AX1" s="374"/>
      <c r="AY1" s="374"/>
      <c r="AZ1" s="374"/>
      <c r="BA1" s="374"/>
      <c r="BB1" s="374"/>
      <c r="BC1" s="374"/>
      <c r="BD1" s="374"/>
      <c r="BE1" s="374"/>
      <c r="BF1" s="374"/>
      <c r="BG1" s="374"/>
      <c r="BH1" s="374"/>
      <c r="BI1" s="374"/>
      <c r="BJ1" s="374"/>
      <c r="BK1" s="374"/>
    </row>
    <row r="2" spans="1:63" ht="16" thickBot="1">
      <c r="A2" s="375" t="s">
        <v>269</v>
      </c>
      <c r="B2" s="375"/>
      <c r="C2" s="377" t="s">
        <v>138</v>
      </c>
      <c r="D2" s="377"/>
      <c r="E2" s="377"/>
      <c r="F2" s="377"/>
      <c r="G2" s="378" t="s">
        <v>139</v>
      </c>
      <c r="H2" s="378"/>
      <c r="I2" s="378"/>
      <c r="J2" s="378"/>
      <c r="K2" s="378"/>
      <c r="L2" s="371" t="s">
        <v>210</v>
      </c>
      <c r="M2" s="371"/>
      <c r="N2" s="371"/>
      <c r="O2" s="371"/>
      <c r="P2" s="371" t="s">
        <v>211</v>
      </c>
      <c r="Q2" s="371"/>
      <c r="R2" s="371"/>
      <c r="S2" s="371"/>
      <c r="T2" s="371" t="s">
        <v>212</v>
      </c>
      <c r="U2" s="371"/>
      <c r="V2" s="371"/>
      <c r="W2" s="371"/>
      <c r="X2" s="371"/>
      <c r="Y2" s="371" t="s">
        <v>210</v>
      </c>
      <c r="Z2" s="371"/>
      <c r="AA2" s="371"/>
      <c r="AB2" s="371"/>
      <c r="AC2" s="371" t="s">
        <v>211</v>
      </c>
      <c r="AD2" s="371"/>
      <c r="AE2" s="371"/>
      <c r="AF2" s="371"/>
      <c r="AG2" s="371" t="s">
        <v>212</v>
      </c>
      <c r="AH2" s="371"/>
      <c r="AI2" s="371"/>
      <c r="AJ2" s="371"/>
      <c r="AK2" s="371" t="s">
        <v>213</v>
      </c>
      <c r="AL2" s="371"/>
      <c r="AM2" s="371"/>
      <c r="AN2" s="371"/>
      <c r="AO2" s="371"/>
      <c r="AP2" s="371" t="s">
        <v>214</v>
      </c>
      <c r="AQ2" s="371"/>
      <c r="AR2" s="371"/>
      <c r="AS2" s="371"/>
      <c r="AT2" s="371" t="s">
        <v>215</v>
      </c>
      <c r="AU2" s="371"/>
      <c r="AV2" s="371"/>
      <c r="AW2" s="371"/>
      <c r="AX2" s="371"/>
      <c r="AY2" s="371" t="s">
        <v>268</v>
      </c>
      <c r="AZ2" s="371"/>
      <c r="BA2" s="371"/>
      <c r="BB2" s="371"/>
      <c r="BC2" s="371" t="s">
        <v>216</v>
      </c>
      <c r="BD2" s="371"/>
      <c r="BE2" s="371"/>
      <c r="BF2" s="371"/>
      <c r="BG2" s="371" t="s">
        <v>217</v>
      </c>
      <c r="BH2" s="371"/>
      <c r="BI2" s="371"/>
      <c r="BJ2" s="371"/>
      <c r="BK2" s="371"/>
    </row>
    <row r="3" spans="1:63" ht="16" customHeight="1" thickBot="1">
      <c r="A3" s="376"/>
      <c r="B3" s="376"/>
      <c r="C3" s="258" t="s">
        <v>125</v>
      </c>
      <c r="D3" s="259" t="s">
        <v>126</v>
      </c>
      <c r="E3" s="259" t="s">
        <v>127</v>
      </c>
      <c r="F3" s="259" t="s">
        <v>128</v>
      </c>
      <c r="G3" s="260" t="s">
        <v>125</v>
      </c>
      <c r="H3" s="260" t="s">
        <v>126</v>
      </c>
      <c r="I3" s="260" t="s">
        <v>127</v>
      </c>
      <c r="J3" s="260" t="s">
        <v>128</v>
      </c>
      <c r="K3" s="260" t="s">
        <v>129</v>
      </c>
      <c r="L3" s="261" t="s">
        <v>125</v>
      </c>
      <c r="M3" s="261" t="s">
        <v>126</v>
      </c>
      <c r="N3" s="261" t="s">
        <v>127</v>
      </c>
      <c r="O3" s="261" t="s">
        <v>128</v>
      </c>
      <c r="P3" s="261" t="s">
        <v>125</v>
      </c>
      <c r="Q3" s="261" t="s">
        <v>126</v>
      </c>
      <c r="R3" s="261" t="s">
        <v>127</v>
      </c>
      <c r="S3" s="261" t="s">
        <v>128</v>
      </c>
      <c r="T3" s="261" t="s">
        <v>125</v>
      </c>
      <c r="U3" s="261" t="s">
        <v>126</v>
      </c>
      <c r="V3" s="261" t="s">
        <v>127</v>
      </c>
      <c r="W3" s="261" t="s">
        <v>128</v>
      </c>
      <c r="X3" s="261" t="s">
        <v>129</v>
      </c>
      <c r="Y3" s="261" t="s">
        <v>125</v>
      </c>
      <c r="Z3" s="261" t="s">
        <v>126</v>
      </c>
      <c r="AA3" s="261" t="s">
        <v>127</v>
      </c>
      <c r="AB3" s="261" t="s">
        <v>128</v>
      </c>
      <c r="AC3" s="261" t="s">
        <v>125</v>
      </c>
      <c r="AD3" s="261" t="s">
        <v>126</v>
      </c>
      <c r="AE3" s="261" t="s">
        <v>127</v>
      </c>
      <c r="AF3" s="261" t="s">
        <v>128</v>
      </c>
      <c r="AG3" s="261" t="s">
        <v>125</v>
      </c>
      <c r="AH3" s="261" t="s">
        <v>126</v>
      </c>
      <c r="AI3" s="261" t="s">
        <v>127</v>
      </c>
      <c r="AJ3" s="261" t="s">
        <v>128</v>
      </c>
      <c r="AK3" s="261" t="s">
        <v>125</v>
      </c>
      <c r="AL3" s="261" t="s">
        <v>126</v>
      </c>
      <c r="AM3" s="261" t="s">
        <v>127</v>
      </c>
      <c r="AN3" s="261" t="s">
        <v>128</v>
      </c>
      <c r="AO3" s="261" t="s">
        <v>129</v>
      </c>
      <c r="AP3" s="261" t="s">
        <v>125</v>
      </c>
      <c r="AQ3" s="261" t="s">
        <v>126</v>
      </c>
      <c r="AR3" s="261" t="s">
        <v>127</v>
      </c>
      <c r="AS3" s="261" t="s">
        <v>128</v>
      </c>
      <c r="AT3" s="261" t="s">
        <v>125</v>
      </c>
      <c r="AU3" s="261" t="s">
        <v>126</v>
      </c>
      <c r="AV3" s="261" t="s">
        <v>127</v>
      </c>
      <c r="AW3" s="261" t="s">
        <v>128</v>
      </c>
      <c r="AX3" s="261" t="s">
        <v>129</v>
      </c>
      <c r="AY3" s="261" t="s">
        <v>125</v>
      </c>
      <c r="AZ3" s="261" t="s">
        <v>126</v>
      </c>
      <c r="BA3" s="261" t="s">
        <v>127</v>
      </c>
      <c r="BB3" s="261" t="s">
        <v>128</v>
      </c>
      <c r="BC3" s="261" t="s">
        <v>125</v>
      </c>
      <c r="BD3" s="261" t="s">
        <v>126</v>
      </c>
      <c r="BE3" s="261" t="s">
        <v>127</v>
      </c>
      <c r="BF3" s="261" t="s">
        <v>128</v>
      </c>
      <c r="BG3" s="261" t="s">
        <v>125</v>
      </c>
      <c r="BH3" s="261" t="s">
        <v>126</v>
      </c>
      <c r="BI3" s="261" t="s">
        <v>127</v>
      </c>
      <c r="BJ3" s="261" t="s">
        <v>128</v>
      </c>
      <c r="BK3" s="261" t="s">
        <v>129</v>
      </c>
    </row>
    <row r="4" spans="1:63">
      <c r="A4" s="262" t="s">
        <v>225</v>
      </c>
      <c r="B4" s="262"/>
      <c r="C4" s="263"/>
      <c r="D4" s="263"/>
      <c r="E4" s="263"/>
      <c r="F4" s="263"/>
      <c r="G4" s="263"/>
      <c r="H4" s="263"/>
      <c r="I4" s="263"/>
      <c r="J4" s="263"/>
      <c r="K4" s="270"/>
      <c r="L4" s="266"/>
      <c r="M4" s="266"/>
      <c r="N4" s="266"/>
      <c r="O4" s="266"/>
      <c r="P4" s="266"/>
      <c r="Q4" s="266"/>
      <c r="R4" s="266"/>
      <c r="S4" s="266"/>
      <c r="T4" s="266"/>
      <c r="U4" s="266"/>
      <c r="V4" s="266"/>
      <c r="W4" s="266"/>
      <c r="X4" s="266"/>
      <c r="Y4" s="266"/>
      <c r="Z4" s="266"/>
      <c r="AA4" s="264"/>
      <c r="AB4" s="264"/>
      <c r="AC4" s="270"/>
      <c r="AD4" s="270"/>
      <c r="AE4" s="270"/>
      <c r="AF4" s="266"/>
      <c r="AG4" s="266"/>
      <c r="AH4" s="267"/>
      <c r="AI4" s="267"/>
      <c r="AJ4" s="267"/>
      <c r="AK4" s="267"/>
      <c r="AL4" s="267"/>
      <c r="AM4" s="267"/>
      <c r="AN4" s="267"/>
      <c r="AO4" s="267"/>
      <c r="AP4" s="267"/>
      <c r="AQ4" s="267"/>
      <c r="AR4" s="267"/>
      <c r="AS4" s="267"/>
      <c r="AT4" s="267"/>
      <c r="AU4" s="267"/>
      <c r="AV4" s="267"/>
      <c r="AW4" s="267"/>
      <c r="AX4" s="267"/>
      <c r="AY4" s="267"/>
      <c r="AZ4" s="267"/>
      <c r="BA4" s="267"/>
      <c r="BB4" s="267"/>
      <c r="BC4" s="267"/>
      <c r="BD4" s="267"/>
      <c r="BE4" s="267"/>
      <c r="BF4" s="267"/>
      <c r="BG4" s="267"/>
      <c r="BH4" s="267"/>
      <c r="BI4" s="267"/>
      <c r="BJ4" s="267"/>
      <c r="BK4" s="267"/>
    </row>
    <row r="5" spans="1:63">
      <c r="A5" s="268">
        <v>1.1000000000000001</v>
      </c>
      <c r="B5" s="269" t="s">
        <v>140</v>
      </c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0"/>
      <c r="Y5" s="270"/>
      <c r="Z5" s="270"/>
      <c r="AA5" s="271">
        <v>3</v>
      </c>
      <c r="AB5" s="271">
        <v>3</v>
      </c>
      <c r="AC5" s="270"/>
      <c r="AD5" s="270"/>
      <c r="AE5" s="270"/>
      <c r="AF5" s="270"/>
      <c r="AG5" s="270"/>
      <c r="AH5" s="270"/>
      <c r="AI5" s="270"/>
      <c r="AJ5" s="270"/>
      <c r="AK5" s="270"/>
      <c r="AL5" s="270"/>
      <c r="AM5" s="270"/>
      <c r="AN5" s="270"/>
      <c r="AO5" s="270"/>
      <c r="AP5" s="270"/>
      <c r="AQ5" s="270"/>
      <c r="AR5" s="270"/>
      <c r="AS5" s="270"/>
      <c r="AT5" s="270"/>
      <c r="AU5" s="270"/>
      <c r="AV5" s="270"/>
      <c r="AW5" s="270"/>
      <c r="AX5" s="270"/>
      <c r="AY5" s="270"/>
      <c r="AZ5" s="270"/>
      <c r="BA5" s="270"/>
      <c r="BB5" s="270"/>
      <c r="BC5" s="270"/>
      <c r="BD5" s="270"/>
      <c r="BE5" s="270"/>
      <c r="BF5" s="270"/>
      <c r="BG5" s="270"/>
      <c r="BH5" s="270"/>
      <c r="BI5" s="270"/>
      <c r="BJ5" s="270"/>
      <c r="BK5" s="270"/>
    </row>
    <row r="6" spans="1:63">
      <c r="A6" s="268">
        <v>1.2</v>
      </c>
      <c r="B6" s="269" t="s">
        <v>141</v>
      </c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0"/>
      <c r="O6" s="270"/>
      <c r="P6" s="270"/>
      <c r="Q6" s="270"/>
      <c r="R6" s="270"/>
      <c r="S6" s="270"/>
      <c r="T6" s="270"/>
      <c r="U6" s="270"/>
      <c r="V6" s="270"/>
      <c r="W6" s="270"/>
      <c r="X6" s="270"/>
      <c r="Y6" s="270"/>
      <c r="Z6" s="270"/>
      <c r="AA6" s="271">
        <v>3</v>
      </c>
      <c r="AB6" s="270"/>
      <c r="AC6" s="270"/>
      <c r="AD6" s="270"/>
      <c r="AE6" s="270"/>
      <c r="AF6" s="270"/>
      <c r="AG6" s="270"/>
      <c r="AH6" s="270"/>
      <c r="AI6" s="270"/>
      <c r="AJ6" s="270"/>
      <c r="AK6" s="270"/>
      <c r="AL6" s="270"/>
      <c r="AM6" s="270"/>
      <c r="AN6" s="270"/>
      <c r="AO6" s="270"/>
      <c r="AP6" s="270"/>
      <c r="AQ6" s="270"/>
      <c r="AR6" s="270"/>
      <c r="AS6" s="270"/>
      <c r="AT6" s="270"/>
      <c r="AU6" s="270"/>
      <c r="AV6" s="270"/>
      <c r="AW6" s="270"/>
      <c r="AX6" s="270"/>
      <c r="AY6" s="270"/>
      <c r="AZ6" s="270"/>
      <c r="BA6" s="270"/>
      <c r="BB6" s="270"/>
      <c r="BC6" s="270"/>
      <c r="BD6" s="270"/>
      <c r="BE6" s="270"/>
      <c r="BF6" s="270"/>
      <c r="BG6" s="270"/>
      <c r="BH6" s="270"/>
      <c r="BI6" s="270"/>
      <c r="BJ6" s="270"/>
      <c r="BK6" s="270"/>
    </row>
    <row r="7" spans="1:63">
      <c r="A7" s="268">
        <v>1.3</v>
      </c>
      <c r="B7" s="269" t="s">
        <v>67</v>
      </c>
      <c r="C7" s="270"/>
      <c r="D7" s="270"/>
      <c r="E7" s="270"/>
      <c r="F7" s="270"/>
      <c r="G7" s="270"/>
      <c r="H7" s="270"/>
      <c r="I7" s="270"/>
      <c r="J7" s="270"/>
      <c r="K7" s="270"/>
      <c r="L7" s="272"/>
      <c r="M7" s="272"/>
      <c r="N7" s="272"/>
      <c r="O7" s="270"/>
      <c r="P7" s="270"/>
      <c r="Q7" s="270"/>
      <c r="R7" s="270"/>
      <c r="S7" s="270"/>
      <c r="T7" s="270"/>
      <c r="U7" s="270"/>
      <c r="V7" s="270"/>
      <c r="W7" s="270"/>
      <c r="X7" s="270"/>
      <c r="Y7" s="270"/>
      <c r="Z7" s="270"/>
      <c r="AA7" s="270"/>
      <c r="AB7" s="270"/>
      <c r="AC7" s="271">
        <v>3</v>
      </c>
      <c r="AD7" s="270"/>
      <c r="AE7" s="270"/>
      <c r="AF7" s="270"/>
      <c r="AG7" s="270"/>
      <c r="AH7" s="270"/>
      <c r="AI7" s="270"/>
      <c r="AJ7" s="270"/>
      <c r="AK7" s="270"/>
      <c r="AL7" s="270"/>
      <c r="AM7" s="270"/>
      <c r="AN7" s="270"/>
      <c r="AO7" s="270"/>
      <c r="AP7" s="270"/>
      <c r="AQ7" s="270"/>
      <c r="AR7" s="270"/>
      <c r="AS7" s="270"/>
      <c r="AT7" s="270"/>
      <c r="AU7" s="270"/>
      <c r="AV7" s="270"/>
      <c r="AW7" s="270"/>
      <c r="AX7" s="270"/>
      <c r="AY7" s="270"/>
      <c r="AZ7" s="270"/>
      <c r="BA7" s="270"/>
      <c r="BB7" s="270"/>
      <c r="BC7" s="270"/>
      <c r="BD7" s="270"/>
      <c r="BE7" s="270"/>
      <c r="BF7" s="270"/>
      <c r="BG7" s="270"/>
      <c r="BH7" s="270"/>
      <c r="BI7" s="270"/>
      <c r="BJ7" s="270"/>
      <c r="BK7" s="270"/>
    </row>
    <row r="8" spans="1:63">
      <c r="A8" s="268">
        <v>1.4</v>
      </c>
      <c r="B8" s="273" t="s">
        <v>226</v>
      </c>
      <c r="C8" s="270"/>
      <c r="D8" s="270"/>
      <c r="E8" s="270"/>
      <c r="F8" s="270"/>
      <c r="G8" s="270"/>
      <c r="H8" s="270"/>
      <c r="I8" s="270"/>
      <c r="J8" s="270"/>
      <c r="K8" s="270"/>
      <c r="L8" s="272"/>
      <c r="M8" s="272"/>
      <c r="N8" s="272"/>
      <c r="O8" s="270"/>
      <c r="P8" s="270"/>
      <c r="Q8" s="270"/>
      <c r="R8" s="270"/>
      <c r="S8" s="270"/>
      <c r="T8" s="270"/>
      <c r="U8" s="270"/>
      <c r="V8" s="270"/>
      <c r="W8" s="270"/>
      <c r="X8" s="270"/>
      <c r="Y8" s="270"/>
      <c r="Z8" s="270"/>
      <c r="AA8" s="270"/>
      <c r="AB8" s="270"/>
      <c r="AC8" s="271">
        <v>3</v>
      </c>
      <c r="AD8" s="270"/>
      <c r="AE8" s="270"/>
      <c r="AF8" s="270"/>
      <c r="AG8" s="270"/>
      <c r="AH8" s="270"/>
      <c r="AI8" s="270"/>
      <c r="AJ8" s="270"/>
      <c r="AK8" s="270"/>
      <c r="AL8" s="270"/>
      <c r="AM8" s="270"/>
      <c r="AN8" s="270"/>
      <c r="AO8" s="270"/>
      <c r="AP8" s="270"/>
      <c r="AQ8" s="270"/>
      <c r="AR8" s="270"/>
      <c r="AS8" s="270"/>
      <c r="AT8" s="270"/>
      <c r="AU8" s="270"/>
      <c r="AV8" s="270"/>
      <c r="AW8" s="270"/>
      <c r="AX8" s="270"/>
      <c r="AY8" s="270"/>
      <c r="AZ8" s="270"/>
      <c r="BA8" s="270"/>
      <c r="BB8" s="270"/>
      <c r="BC8" s="270"/>
      <c r="BD8" s="270"/>
      <c r="BE8" s="270"/>
      <c r="BF8" s="270"/>
      <c r="BG8" s="270"/>
      <c r="BH8" s="270"/>
      <c r="BI8" s="270"/>
      <c r="BJ8" s="270"/>
      <c r="BK8" s="270"/>
    </row>
    <row r="9" spans="1:63">
      <c r="A9" s="317">
        <v>1.5</v>
      </c>
      <c r="B9" s="332" t="s">
        <v>245</v>
      </c>
      <c r="C9" s="270"/>
      <c r="D9" s="270"/>
      <c r="E9" s="270"/>
      <c r="F9" s="270"/>
      <c r="G9" s="270"/>
      <c r="H9" s="270"/>
      <c r="I9" s="270"/>
      <c r="J9" s="270"/>
      <c r="K9" s="270"/>
      <c r="L9" s="272"/>
      <c r="M9" s="272"/>
      <c r="N9" s="272"/>
      <c r="O9" s="270"/>
      <c r="P9" s="270"/>
      <c r="Q9" s="270"/>
      <c r="R9" s="270"/>
      <c r="S9" s="270"/>
      <c r="T9" s="270"/>
      <c r="U9" s="270"/>
      <c r="V9" s="270"/>
      <c r="W9" s="270"/>
      <c r="X9" s="270"/>
      <c r="Y9" s="270"/>
      <c r="Z9" s="270"/>
      <c r="AA9" s="270"/>
      <c r="AB9" s="270"/>
      <c r="AC9" s="333"/>
      <c r="AD9" s="270"/>
      <c r="AE9" s="270"/>
      <c r="AF9" s="270"/>
      <c r="AG9" s="270"/>
      <c r="AH9" s="270"/>
      <c r="AI9" s="270"/>
      <c r="AJ9" s="270"/>
      <c r="AK9" s="270"/>
      <c r="AL9" s="270"/>
      <c r="AM9" s="270"/>
      <c r="AN9" s="270"/>
      <c r="AO9" s="270"/>
      <c r="AP9" s="270"/>
      <c r="AQ9" s="270"/>
      <c r="AR9" s="270"/>
      <c r="AS9" s="270"/>
      <c r="AT9" s="270"/>
      <c r="AU9" s="270"/>
      <c r="AV9" s="270"/>
      <c r="AW9" s="270"/>
      <c r="AX9" s="270"/>
      <c r="AY9" s="270"/>
      <c r="AZ9" s="270"/>
      <c r="BA9" s="270"/>
      <c r="BB9" s="270"/>
      <c r="BC9" s="270"/>
      <c r="BD9" s="270"/>
      <c r="BE9" s="270"/>
      <c r="BF9" s="270"/>
      <c r="BG9" s="270"/>
      <c r="BH9" s="270"/>
      <c r="BI9" s="270"/>
      <c r="BJ9" s="270"/>
      <c r="BK9" s="270"/>
    </row>
    <row r="10" spans="1:63">
      <c r="A10" s="309" t="s">
        <v>247</v>
      </c>
      <c r="B10" s="309"/>
      <c r="C10" s="270"/>
      <c r="D10" s="270"/>
      <c r="E10" s="270"/>
      <c r="F10" s="270"/>
      <c r="G10" s="270"/>
      <c r="H10" s="270"/>
      <c r="I10" s="270"/>
      <c r="J10" s="270"/>
      <c r="K10" s="270"/>
      <c r="L10" s="270"/>
      <c r="M10" s="270"/>
      <c r="N10" s="270"/>
      <c r="O10" s="270"/>
      <c r="P10" s="270"/>
      <c r="Q10" s="270"/>
      <c r="R10" s="270"/>
      <c r="S10" s="270"/>
      <c r="T10" s="270"/>
      <c r="U10" s="270"/>
      <c r="V10" s="270"/>
      <c r="W10" s="270"/>
      <c r="X10" s="270"/>
      <c r="Y10" s="270"/>
      <c r="Z10" s="270"/>
      <c r="AA10" s="270"/>
      <c r="AB10" s="270"/>
      <c r="AC10" s="265"/>
      <c r="AD10" s="265"/>
      <c r="AE10" s="270"/>
      <c r="AF10" s="270"/>
      <c r="AG10" s="270"/>
      <c r="AH10" s="270"/>
      <c r="AI10" s="270"/>
      <c r="AJ10" s="270"/>
      <c r="AK10" s="270"/>
      <c r="AL10" s="270"/>
      <c r="AM10" s="270"/>
      <c r="AN10" s="270"/>
      <c r="AO10" s="270"/>
      <c r="AP10" s="270"/>
      <c r="AQ10" s="270"/>
      <c r="AR10" s="270"/>
      <c r="AS10" s="270"/>
      <c r="AT10" s="270"/>
      <c r="AU10" s="270"/>
      <c r="AV10" s="270"/>
      <c r="AW10" s="270"/>
      <c r="AX10" s="270"/>
      <c r="AY10" s="270"/>
      <c r="AZ10" s="270"/>
      <c r="BA10" s="270"/>
      <c r="BB10" s="270"/>
      <c r="BC10" s="270"/>
      <c r="BD10" s="270"/>
      <c r="BE10" s="270"/>
      <c r="BF10" s="270"/>
      <c r="BG10" s="270"/>
      <c r="BH10" s="270"/>
      <c r="BI10" s="270"/>
      <c r="BJ10" s="270"/>
      <c r="BK10" s="270"/>
    </row>
    <row r="11" spans="1:63">
      <c r="A11" s="310">
        <v>2.1</v>
      </c>
      <c r="B11" s="311" t="s">
        <v>189</v>
      </c>
      <c r="C11" s="279"/>
      <c r="D11" s="270"/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  <c r="AA11" s="270"/>
      <c r="AB11" s="270"/>
      <c r="AC11" s="271">
        <v>3</v>
      </c>
      <c r="AD11" s="271">
        <v>3</v>
      </c>
      <c r="AE11" s="270"/>
      <c r="AF11" s="270"/>
      <c r="AG11" s="270"/>
      <c r="AH11" s="270"/>
      <c r="AI11" s="270"/>
      <c r="AJ11" s="270"/>
      <c r="AK11" s="270"/>
      <c r="AL11" s="270"/>
      <c r="AM11" s="270"/>
      <c r="AN11" s="270"/>
      <c r="AO11" s="270"/>
      <c r="AP11" s="270"/>
      <c r="AQ11" s="270"/>
      <c r="AR11" s="270"/>
      <c r="AS11" s="270"/>
      <c r="AT11" s="270"/>
      <c r="AU11" s="270"/>
      <c r="AV11" s="270"/>
      <c r="AW11" s="270"/>
      <c r="AX11" s="270"/>
      <c r="AY11" s="270"/>
      <c r="AZ11" s="270"/>
      <c r="BA11" s="270"/>
      <c r="BB11" s="270"/>
      <c r="BC11" s="270"/>
      <c r="BD11" s="270"/>
      <c r="BE11" s="270"/>
      <c r="BF11" s="270"/>
      <c r="BG11" s="270"/>
      <c r="BH11" s="270"/>
      <c r="BI11" s="270"/>
      <c r="BJ11" s="270"/>
      <c r="BK11" s="270"/>
    </row>
    <row r="12" spans="1:63">
      <c r="A12" s="310">
        <v>2.2000000000000002</v>
      </c>
      <c r="B12" s="311" t="s">
        <v>220</v>
      </c>
      <c r="C12" s="279"/>
      <c r="D12" s="270"/>
      <c r="E12" s="270"/>
      <c r="F12" s="270"/>
      <c r="G12" s="270"/>
      <c r="H12" s="270"/>
      <c r="I12" s="270"/>
      <c r="J12" s="270"/>
      <c r="K12" s="270"/>
      <c r="L12" s="270"/>
      <c r="M12" s="270"/>
      <c r="N12" s="270"/>
      <c r="O12" s="270"/>
      <c r="P12" s="270"/>
      <c r="Q12" s="270"/>
      <c r="R12" s="270"/>
      <c r="S12" s="270"/>
      <c r="T12" s="270"/>
      <c r="U12" s="270"/>
      <c r="V12" s="270"/>
      <c r="W12" s="270"/>
      <c r="Y12" s="270"/>
      <c r="Z12" s="270"/>
      <c r="AA12" s="270"/>
      <c r="AB12" s="270"/>
      <c r="AC12" s="270"/>
      <c r="AD12" s="271">
        <v>3</v>
      </c>
      <c r="AE12" s="270"/>
      <c r="AF12" s="270"/>
      <c r="AG12" s="270"/>
      <c r="AH12" s="270"/>
      <c r="AI12" s="270"/>
      <c r="AJ12" s="270"/>
      <c r="AK12" s="270"/>
      <c r="AL12" s="270"/>
      <c r="AM12" s="270"/>
      <c r="AN12" s="270"/>
      <c r="AO12" s="270"/>
      <c r="AP12" s="270"/>
      <c r="AQ12" s="270"/>
      <c r="AR12" s="270"/>
      <c r="AS12" s="270"/>
      <c r="AT12" s="270"/>
      <c r="AU12" s="270"/>
      <c r="AV12" s="270"/>
      <c r="AW12" s="270"/>
      <c r="AX12" s="270"/>
      <c r="AY12" s="270"/>
      <c r="AZ12" s="270"/>
      <c r="BA12" s="270"/>
      <c r="BB12" s="270"/>
      <c r="BC12" s="270"/>
      <c r="BD12" s="270"/>
      <c r="BE12" s="270"/>
      <c r="BF12" s="270"/>
      <c r="BG12" s="270"/>
      <c r="BH12" s="270"/>
      <c r="BI12" s="270"/>
      <c r="BJ12" s="270"/>
      <c r="BK12" s="270"/>
    </row>
    <row r="13" spans="1:63">
      <c r="A13" s="310">
        <v>2.2999999999999998</v>
      </c>
      <c r="B13" s="312" t="s">
        <v>221</v>
      </c>
      <c r="C13" s="279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70"/>
      <c r="Q13" s="270"/>
      <c r="R13" s="270"/>
      <c r="S13" s="270"/>
      <c r="T13" s="270"/>
      <c r="U13" s="270"/>
      <c r="V13" s="270"/>
      <c r="W13" s="270"/>
      <c r="Y13" s="270"/>
      <c r="Z13" s="270"/>
      <c r="AA13" s="270"/>
      <c r="AB13" s="270"/>
      <c r="AC13" s="270"/>
      <c r="AD13" s="271"/>
      <c r="AE13" s="270"/>
      <c r="AF13" s="270"/>
      <c r="AG13" s="270"/>
      <c r="AH13" s="270"/>
      <c r="AI13" s="270"/>
      <c r="AJ13" s="270"/>
      <c r="AK13" s="270"/>
      <c r="AL13" s="270"/>
      <c r="AM13" s="270"/>
      <c r="AN13" s="270"/>
      <c r="AO13" s="270"/>
      <c r="AP13" s="270"/>
      <c r="AQ13" s="270"/>
      <c r="AR13" s="270"/>
      <c r="AS13" s="270"/>
      <c r="AT13" s="270"/>
      <c r="AU13" s="270"/>
      <c r="AV13" s="270"/>
      <c r="AW13" s="270"/>
      <c r="AX13" s="270"/>
      <c r="AY13" s="270"/>
      <c r="AZ13" s="270"/>
      <c r="BA13" s="270"/>
      <c r="BB13" s="270"/>
      <c r="BC13" s="270"/>
      <c r="BD13" s="270"/>
      <c r="BE13" s="270"/>
      <c r="BF13" s="270"/>
      <c r="BG13" s="270"/>
      <c r="BH13" s="270"/>
      <c r="BI13" s="270"/>
      <c r="BJ13" s="270"/>
      <c r="BK13" s="270"/>
    </row>
    <row r="14" spans="1:63">
      <c r="A14" s="310">
        <v>2.4</v>
      </c>
      <c r="B14" s="312" t="s">
        <v>222</v>
      </c>
      <c r="C14" s="279"/>
      <c r="D14" s="270"/>
      <c r="E14" s="270"/>
      <c r="F14" s="270"/>
      <c r="G14" s="270"/>
      <c r="H14" s="270"/>
      <c r="I14" s="270"/>
      <c r="J14" s="270"/>
      <c r="K14" s="270"/>
      <c r="L14" s="270"/>
      <c r="M14" s="270"/>
      <c r="N14" s="270"/>
      <c r="O14" s="270"/>
      <c r="P14" s="270"/>
      <c r="Q14" s="270"/>
      <c r="R14" s="270"/>
      <c r="S14" s="270"/>
      <c r="T14" s="270"/>
      <c r="U14" s="270"/>
      <c r="V14" s="270"/>
      <c r="W14" s="270"/>
      <c r="Y14" s="270"/>
      <c r="Z14" s="270"/>
      <c r="AA14" s="270"/>
      <c r="AB14" s="270"/>
      <c r="AC14" s="270"/>
      <c r="AD14" s="271"/>
      <c r="AE14" s="271"/>
      <c r="AF14" s="270"/>
      <c r="AG14" s="270"/>
      <c r="AH14" s="270"/>
      <c r="AI14" s="270"/>
      <c r="AJ14" s="270"/>
      <c r="AK14" s="270"/>
      <c r="AL14" s="270"/>
      <c r="AM14" s="270"/>
      <c r="AN14" s="270"/>
      <c r="AO14" s="270"/>
      <c r="AP14" s="270"/>
      <c r="AQ14" s="270"/>
      <c r="AR14" s="270"/>
      <c r="AS14" s="270"/>
      <c r="AT14" s="270"/>
      <c r="AU14" s="270"/>
      <c r="AV14" s="270"/>
      <c r="AW14" s="270"/>
      <c r="AX14" s="270"/>
      <c r="AY14" s="270"/>
      <c r="AZ14" s="270"/>
      <c r="BA14" s="270"/>
      <c r="BB14" s="270"/>
      <c r="BC14" s="270"/>
      <c r="BD14" s="270"/>
      <c r="BE14" s="270"/>
      <c r="BF14" s="270"/>
      <c r="BG14" s="270"/>
      <c r="BH14" s="270"/>
      <c r="BI14" s="270"/>
      <c r="BJ14" s="270"/>
      <c r="BK14" s="270"/>
    </row>
    <row r="15" spans="1:63">
      <c r="A15" s="310">
        <v>2.5</v>
      </c>
      <c r="B15" s="312" t="s">
        <v>223</v>
      </c>
      <c r="C15" s="279"/>
      <c r="D15" s="270"/>
      <c r="E15" s="270"/>
      <c r="F15" s="270"/>
      <c r="G15" s="270"/>
      <c r="H15" s="270"/>
      <c r="I15" s="270"/>
      <c r="J15" s="270"/>
      <c r="K15" s="270"/>
      <c r="L15" s="270"/>
      <c r="M15" s="270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Y15" s="270"/>
      <c r="Z15" s="270"/>
      <c r="AA15" s="270"/>
      <c r="AB15" s="270"/>
      <c r="AC15" s="270"/>
      <c r="AD15" s="270"/>
      <c r="AE15" s="271"/>
      <c r="AF15" s="270"/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  <c r="AQ15" s="270"/>
      <c r="AR15" s="270"/>
      <c r="AS15" s="270"/>
      <c r="AT15" s="270"/>
      <c r="AU15" s="270"/>
      <c r="AV15" s="270"/>
      <c r="AW15" s="270"/>
      <c r="AX15" s="270"/>
      <c r="AY15" s="270"/>
      <c r="AZ15" s="270"/>
      <c r="BA15" s="270"/>
      <c r="BB15" s="270"/>
      <c r="BC15" s="270"/>
      <c r="BD15" s="270"/>
      <c r="BE15" s="270"/>
      <c r="BF15" s="270"/>
      <c r="BG15" s="270"/>
      <c r="BH15" s="270"/>
      <c r="BI15" s="270"/>
      <c r="BJ15" s="270"/>
      <c r="BK15" s="270"/>
    </row>
    <row r="16" spans="1:63">
      <c r="A16" s="310">
        <v>2.6</v>
      </c>
      <c r="B16" s="312" t="s">
        <v>224</v>
      </c>
      <c r="C16" s="279"/>
      <c r="D16" s="270"/>
      <c r="E16" s="270"/>
      <c r="F16" s="270"/>
      <c r="G16" s="270"/>
      <c r="H16" s="270"/>
      <c r="I16" s="270"/>
      <c r="J16" s="270"/>
      <c r="K16" s="270"/>
      <c r="L16" s="270"/>
      <c r="M16" s="270"/>
      <c r="N16" s="270"/>
      <c r="O16" s="270"/>
      <c r="P16" s="270"/>
      <c r="Q16" s="270"/>
      <c r="R16" s="270"/>
      <c r="S16" s="270"/>
      <c r="T16" s="270"/>
      <c r="U16" s="270"/>
      <c r="V16" s="270"/>
      <c r="W16" s="270"/>
      <c r="Y16" s="270"/>
      <c r="Z16" s="270"/>
      <c r="AA16" s="270"/>
      <c r="AB16" s="270"/>
      <c r="AC16" s="270"/>
      <c r="AD16" s="270"/>
      <c r="AE16" s="271"/>
      <c r="AF16" s="270"/>
      <c r="AG16" s="270"/>
      <c r="AH16" s="270"/>
      <c r="AI16" s="270"/>
      <c r="AJ16" s="270"/>
      <c r="AK16" s="270"/>
      <c r="AL16" s="270"/>
      <c r="AM16" s="270"/>
      <c r="AN16" s="270"/>
      <c r="AO16" s="270"/>
      <c r="AP16" s="270"/>
      <c r="AQ16" s="270"/>
      <c r="AR16" s="270"/>
      <c r="AS16" s="270"/>
      <c r="AT16" s="270"/>
      <c r="AU16" s="270"/>
      <c r="AV16" s="270"/>
      <c r="AW16" s="270"/>
      <c r="AX16" s="270"/>
      <c r="AY16" s="270"/>
      <c r="AZ16" s="270"/>
      <c r="BA16" s="270"/>
      <c r="BB16" s="270"/>
      <c r="BC16" s="270"/>
      <c r="BD16" s="270"/>
      <c r="BE16" s="270"/>
      <c r="BF16" s="270"/>
      <c r="BG16" s="270"/>
      <c r="BH16" s="270"/>
      <c r="BI16" s="270"/>
      <c r="BJ16" s="270"/>
      <c r="BK16" s="270"/>
    </row>
    <row r="17" spans="1:63">
      <c r="A17" s="326" t="s">
        <v>233</v>
      </c>
      <c r="B17" s="326"/>
      <c r="C17" s="270"/>
      <c r="D17" s="270"/>
      <c r="E17" s="270"/>
      <c r="F17" s="270"/>
      <c r="G17" s="270"/>
      <c r="H17" s="270"/>
      <c r="I17" s="270"/>
      <c r="J17" s="270"/>
      <c r="K17" s="270"/>
      <c r="L17" s="270"/>
      <c r="M17" s="270"/>
      <c r="N17" s="270"/>
      <c r="O17" s="270"/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  <c r="AA17" s="270"/>
      <c r="AB17" s="270"/>
      <c r="AC17" s="270"/>
      <c r="AD17" s="270"/>
      <c r="AE17" s="270"/>
      <c r="AF17" s="270"/>
      <c r="AG17" s="270"/>
      <c r="AH17" s="270"/>
      <c r="AI17" s="270"/>
      <c r="AJ17" s="270"/>
      <c r="AK17" s="270"/>
      <c r="AL17" s="270"/>
      <c r="AM17" s="270"/>
      <c r="AN17" s="270"/>
      <c r="AO17" s="270"/>
      <c r="AP17" s="270"/>
      <c r="AQ17" s="270"/>
      <c r="AR17" s="270"/>
      <c r="AS17" s="270"/>
      <c r="AT17" s="270"/>
      <c r="AU17" s="270"/>
      <c r="AV17" s="270"/>
      <c r="AW17" s="270"/>
      <c r="AX17" s="270"/>
      <c r="AY17" s="270"/>
      <c r="AZ17" s="270"/>
      <c r="BA17" s="270"/>
      <c r="BB17" s="270"/>
      <c r="BC17" s="270"/>
      <c r="BD17" s="270"/>
      <c r="BE17" s="270"/>
      <c r="BF17" s="270"/>
      <c r="BG17" s="270"/>
      <c r="BH17" s="270"/>
      <c r="BI17" s="270"/>
      <c r="BJ17" s="270"/>
      <c r="BK17" s="270"/>
    </row>
    <row r="18" spans="1:63">
      <c r="A18" s="327">
        <v>3.1</v>
      </c>
      <c r="B18" s="328" t="s">
        <v>142</v>
      </c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70"/>
      <c r="N18" s="270"/>
      <c r="O18" s="270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  <c r="AA18" s="270"/>
      <c r="AB18" s="270"/>
      <c r="AC18" s="270"/>
      <c r="AD18" s="314"/>
      <c r="AE18" s="314"/>
      <c r="AF18" s="314"/>
      <c r="AG18" s="314"/>
      <c r="AH18" s="314"/>
      <c r="AI18" s="314"/>
      <c r="AJ18" s="270"/>
      <c r="AK18" s="270"/>
      <c r="AL18" s="270"/>
      <c r="AM18" s="270"/>
      <c r="AN18" s="270"/>
      <c r="AO18" s="270"/>
      <c r="AP18" s="270"/>
      <c r="AQ18" s="270"/>
      <c r="AR18" s="270"/>
      <c r="AS18" s="270"/>
      <c r="AT18" s="270"/>
      <c r="AU18" s="270"/>
      <c r="AV18" s="270"/>
      <c r="AW18" s="270"/>
      <c r="AX18" s="270"/>
      <c r="AY18" s="270"/>
      <c r="AZ18" s="270"/>
      <c r="BA18" s="270"/>
      <c r="BB18" s="270"/>
      <c r="BC18" s="270"/>
      <c r="BD18" s="270"/>
      <c r="BE18" s="270"/>
      <c r="BF18" s="270"/>
      <c r="BG18" s="270"/>
      <c r="BH18" s="270"/>
      <c r="BI18" s="270"/>
      <c r="BJ18" s="270"/>
      <c r="BK18" s="270"/>
    </row>
    <row r="19" spans="1:63">
      <c r="A19" s="268" t="s">
        <v>238</v>
      </c>
      <c r="B19" s="274" t="s">
        <v>143</v>
      </c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70"/>
      <c r="R19" s="270"/>
      <c r="S19" s="313"/>
      <c r="T19" s="270"/>
      <c r="U19" s="270"/>
      <c r="V19" s="270"/>
      <c r="W19" s="270"/>
      <c r="X19" s="270"/>
      <c r="Y19" s="270"/>
      <c r="Z19" s="270"/>
      <c r="AA19" s="270"/>
      <c r="AB19" s="270"/>
      <c r="AC19" s="270"/>
      <c r="AD19" s="315"/>
      <c r="AE19" s="315"/>
      <c r="AF19" s="315"/>
      <c r="AG19" s="316"/>
      <c r="AH19" s="316"/>
      <c r="AI19" s="316"/>
      <c r="AJ19" s="279"/>
      <c r="AK19" s="270"/>
      <c r="AL19" s="270"/>
      <c r="AM19" s="270"/>
      <c r="AN19" s="270"/>
      <c r="AO19" s="270"/>
      <c r="AP19" s="270"/>
      <c r="AQ19" s="270"/>
      <c r="AR19" s="270"/>
      <c r="AS19" s="270"/>
      <c r="AT19" s="270"/>
      <c r="AU19" s="270"/>
      <c r="AV19" s="270"/>
      <c r="AW19" s="270"/>
      <c r="AX19" s="270"/>
      <c r="AY19" s="270"/>
      <c r="AZ19" s="270"/>
      <c r="BA19" s="270"/>
      <c r="BB19" s="270"/>
      <c r="BC19" s="270"/>
      <c r="BD19" s="270"/>
      <c r="BE19" s="270"/>
      <c r="BF19" s="270"/>
      <c r="BG19" s="270"/>
      <c r="BH19" s="270"/>
      <c r="BI19" s="270"/>
      <c r="BJ19" s="270"/>
      <c r="BK19" s="270"/>
    </row>
    <row r="20" spans="1:63">
      <c r="A20" s="268" t="s">
        <v>239</v>
      </c>
      <c r="B20" s="274" t="s">
        <v>144</v>
      </c>
      <c r="C20" s="270"/>
      <c r="D20" s="270"/>
      <c r="E20" s="270"/>
      <c r="F20" s="270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0"/>
      <c r="S20" s="313"/>
      <c r="T20" s="270"/>
      <c r="U20" s="270"/>
      <c r="V20" s="270"/>
      <c r="W20" s="270"/>
      <c r="X20" s="270"/>
      <c r="Y20" s="270"/>
      <c r="Z20" s="270"/>
      <c r="AA20" s="270"/>
      <c r="AB20" s="270"/>
      <c r="AC20" s="270"/>
      <c r="AD20" s="316"/>
      <c r="AE20" s="316"/>
      <c r="AF20" s="315"/>
      <c r="AG20" s="315"/>
      <c r="AH20" s="316"/>
      <c r="AI20" s="316"/>
      <c r="AJ20" s="279"/>
      <c r="AK20" s="270"/>
      <c r="AL20" s="270"/>
      <c r="AM20" s="270"/>
      <c r="AN20" s="270"/>
      <c r="AO20" s="270"/>
      <c r="AP20" s="270"/>
      <c r="AQ20" s="270"/>
      <c r="AR20" s="270"/>
      <c r="AS20" s="270"/>
      <c r="AT20" s="270"/>
      <c r="AU20" s="270"/>
      <c r="AV20" s="270"/>
      <c r="AW20" s="270"/>
      <c r="AX20" s="270"/>
      <c r="AY20" s="270"/>
      <c r="AZ20" s="270"/>
      <c r="BA20" s="270"/>
      <c r="BB20" s="270"/>
      <c r="BC20" s="270"/>
      <c r="BD20" s="270"/>
      <c r="BE20" s="270"/>
      <c r="BF20" s="270"/>
      <c r="BG20" s="270"/>
      <c r="BH20" s="270"/>
      <c r="BI20" s="270"/>
      <c r="BJ20" s="270"/>
      <c r="BK20" s="270"/>
    </row>
    <row r="21" spans="1:63">
      <c r="A21" s="268" t="s">
        <v>240</v>
      </c>
      <c r="B21" s="274" t="s">
        <v>145</v>
      </c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  <c r="N21" s="270"/>
      <c r="O21" s="270"/>
      <c r="P21" s="270"/>
      <c r="Q21" s="270"/>
      <c r="R21" s="270"/>
      <c r="S21" s="313"/>
      <c r="T21" s="270"/>
      <c r="U21" s="270"/>
      <c r="V21" s="270"/>
      <c r="W21" s="270"/>
      <c r="X21" s="270"/>
      <c r="Y21" s="270"/>
      <c r="Z21" s="270"/>
      <c r="AA21" s="270"/>
      <c r="AB21" s="270"/>
      <c r="AC21" s="270"/>
      <c r="AD21" s="316"/>
      <c r="AE21" s="316"/>
      <c r="AF21" s="316"/>
      <c r="AG21" s="316"/>
      <c r="AH21" s="315"/>
      <c r="AI21" s="315"/>
      <c r="AJ21" s="279"/>
      <c r="AK21" s="270"/>
      <c r="AL21" s="270"/>
      <c r="AM21" s="270"/>
      <c r="AN21" s="270"/>
      <c r="AO21" s="270"/>
      <c r="AP21" s="270"/>
      <c r="AQ21" s="270"/>
      <c r="AR21" s="270"/>
      <c r="AS21" s="270"/>
      <c r="AT21" s="270"/>
      <c r="AU21" s="270"/>
      <c r="AV21" s="270"/>
      <c r="AW21" s="270"/>
      <c r="AX21" s="270"/>
      <c r="AY21" s="270"/>
      <c r="AZ21" s="270"/>
      <c r="BA21" s="270"/>
      <c r="BB21" s="270"/>
      <c r="BC21" s="270"/>
      <c r="BD21" s="270"/>
      <c r="BE21" s="270"/>
      <c r="BF21" s="270"/>
      <c r="BG21" s="270"/>
      <c r="BH21" s="270"/>
      <c r="BI21" s="270"/>
      <c r="BJ21" s="270"/>
      <c r="BK21" s="270"/>
    </row>
    <row r="22" spans="1:63">
      <c r="A22" s="327">
        <v>3.2</v>
      </c>
      <c r="B22" s="329" t="s">
        <v>227</v>
      </c>
      <c r="C22" s="270"/>
      <c r="D22" s="270"/>
      <c r="E22" s="270"/>
      <c r="F22" s="270"/>
      <c r="G22" s="270"/>
      <c r="H22" s="270"/>
      <c r="I22" s="270"/>
      <c r="J22" s="270"/>
      <c r="K22" s="270"/>
      <c r="L22" s="270"/>
      <c r="M22" s="270"/>
      <c r="N22" s="270"/>
      <c r="O22" s="270"/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  <c r="AA22" s="270"/>
      <c r="AB22" s="270"/>
      <c r="AC22" s="270"/>
      <c r="AD22" s="316"/>
      <c r="AE22" s="316"/>
      <c r="AF22" s="316"/>
      <c r="AG22" s="316"/>
      <c r="AH22" s="314"/>
      <c r="AI22" s="314"/>
      <c r="AJ22" s="314"/>
      <c r="AK22" s="314"/>
      <c r="AL22" s="314"/>
      <c r="AM22" s="314"/>
      <c r="AN22" s="314"/>
      <c r="AO22" s="270"/>
      <c r="AP22" s="270"/>
      <c r="AQ22" s="270"/>
      <c r="AR22" s="270"/>
      <c r="AS22" s="270"/>
      <c r="AT22" s="270"/>
      <c r="AU22" s="270"/>
      <c r="AV22" s="270"/>
      <c r="AW22" s="270"/>
      <c r="AX22" s="270"/>
      <c r="AY22" s="270"/>
      <c r="AZ22" s="270"/>
      <c r="BA22" s="270"/>
      <c r="BB22" s="270"/>
      <c r="BC22" s="270"/>
      <c r="BD22" s="270"/>
      <c r="BE22" s="270"/>
      <c r="BF22" s="270"/>
      <c r="BG22" s="270"/>
      <c r="BH22" s="270"/>
      <c r="BI22" s="270"/>
      <c r="BJ22" s="270"/>
      <c r="BK22" s="270"/>
    </row>
    <row r="23" spans="1:63">
      <c r="A23" s="268" t="s">
        <v>241</v>
      </c>
      <c r="B23" s="274" t="s">
        <v>143</v>
      </c>
      <c r="C23" s="270"/>
      <c r="D23" s="270"/>
      <c r="E23" s="270"/>
      <c r="F23" s="270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  <c r="AA23" s="270"/>
      <c r="AB23" s="270"/>
      <c r="AC23" s="270"/>
      <c r="AD23" s="316"/>
      <c r="AE23" s="316"/>
      <c r="AF23" s="316"/>
      <c r="AG23" s="316"/>
      <c r="AH23" s="315">
        <v>3</v>
      </c>
      <c r="AI23" s="315">
        <v>3</v>
      </c>
      <c r="AJ23" s="315">
        <v>3</v>
      </c>
      <c r="AK23" s="316"/>
      <c r="AL23" s="404"/>
      <c r="AM23" s="404"/>
      <c r="AN23" s="404"/>
      <c r="AO23" s="270"/>
      <c r="AP23" s="270"/>
      <c r="AQ23" s="270"/>
      <c r="AR23" s="270"/>
      <c r="AS23" s="270"/>
      <c r="AT23" s="270"/>
      <c r="AU23" s="270"/>
      <c r="AV23" s="270"/>
      <c r="AW23" s="270"/>
      <c r="AX23" s="270"/>
      <c r="AY23" s="270"/>
      <c r="AZ23" s="270"/>
      <c r="BA23" s="270"/>
      <c r="BB23" s="270"/>
      <c r="BC23" s="270"/>
      <c r="BD23" s="270"/>
      <c r="BE23" s="270"/>
      <c r="BF23" s="270"/>
      <c r="BG23" s="270"/>
      <c r="BH23" s="270"/>
      <c r="BI23" s="270"/>
      <c r="BJ23" s="270"/>
      <c r="BK23" s="270"/>
    </row>
    <row r="24" spans="1:63">
      <c r="A24" s="268" t="s">
        <v>242</v>
      </c>
      <c r="B24" s="274" t="s">
        <v>144</v>
      </c>
      <c r="C24" s="270"/>
      <c r="D24" s="270"/>
      <c r="E24" s="270"/>
      <c r="F24" s="270"/>
      <c r="G24" s="270"/>
      <c r="H24" s="270"/>
      <c r="I24" s="270"/>
      <c r="J24" s="270"/>
      <c r="K24" s="270"/>
      <c r="L24" s="270"/>
      <c r="M24" s="270"/>
      <c r="N24" s="270"/>
      <c r="O24" s="270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  <c r="AA24" s="270"/>
      <c r="AB24" s="270"/>
      <c r="AC24" s="270"/>
      <c r="AD24" s="316"/>
      <c r="AE24" s="316"/>
      <c r="AF24" s="316"/>
      <c r="AG24" s="316"/>
      <c r="AH24" s="316"/>
      <c r="AI24" s="316"/>
      <c r="AJ24" s="315">
        <v>3</v>
      </c>
      <c r="AK24" s="315">
        <v>3</v>
      </c>
      <c r="AL24" s="315">
        <v>3</v>
      </c>
      <c r="AM24" s="404"/>
      <c r="AN24" s="404"/>
      <c r="AO24" s="270"/>
      <c r="AP24" s="270"/>
      <c r="AQ24" s="270"/>
      <c r="AR24" s="270"/>
      <c r="AS24" s="270"/>
      <c r="AT24" s="270"/>
      <c r="AU24" s="270"/>
      <c r="AV24" s="270"/>
      <c r="AW24" s="270"/>
      <c r="AX24" s="270"/>
      <c r="AY24" s="270"/>
      <c r="AZ24" s="270"/>
      <c r="BA24" s="270"/>
      <c r="BB24" s="270"/>
      <c r="BC24" s="270"/>
      <c r="BD24" s="270"/>
      <c r="BE24" s="270"/>
      <c r="BF24" s="270"/>
      <c r="BG24" s="270"/>
      <c r="BH24" s="270"/>
      <c r="BI24" s="270"/>
      <c r="BJ24" s="270"/>
      <c r="BK24" s="270"/>
    </row>
    <row r="25" spans="1:63">
      <c r="A25" s="317" t="s">
        <v>243</v>
      </c>
      <c r="B25" s="318" t="s">
        <v>145</v>
      </c>
      <c r="C25" s="270"/>
      <c r="D25" s="270"/>
      <c r="E25" s="270"/>
      <c r="F25" s="270"/>
      <c r="G25" s="270"/>
      <c r="H25" s="270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  <c r="AA25" s="270"/>
      <c r="AB25" s="270"/>
      <c r="AC25" s="270"/>
      <c r="AD25" s="316"/>
      <c r="AE25" s="316"/>
      <c r="AF25" s="316"/>
      <c r="AG25" s="316"/>
      <c r="AH25" s="316"/>
      <c r="AI25" s="316"/>
      <c r="AJ25" s="316"/>
      <c r="AK25" s="316"/>
      <c r="AL25" s="316"/>
      <c r="AM25" s="315">
        <v>3</v>
      </c>
      <c r="AN25" s="315">
        <v>3</v>
      </c>
      <c r="AO25" s="270"/>
      <c r="AP25" s="270"/>
      <c r="AQ25" s="270"/>
      <c r="AR25" s="270"/>
      <c r="AS25" s="270"/>
      <c r="AT25" s="270"/>
      <c r="AU25" s="270"/>
      <c r="AV25" s="270"/>
      <c r="AW25" s="270"/>
      <c r="AX25" s="270"/>
      <c r="AY25" s="270"/>
      <c r="AZ25" s="270"/>
      <c r="BA25" s="270"/>
      <c r="BB25" s="270"/>
      <c r="BC25" s="270"/>
      <c r="BD25" s="270"/>
      <c r="BE25" s="270"/>
      <c r="BF25" s="270"/>
      <c r="BG25" s="270"/>
      <c r="BH25" s="270"/>
      <c r="BI25" s="270"/>
      <c r="BJ25" s="270"/>
      <c r="BK25" s="270"/>
    </row>
    <row r="26" spans="1:63">
      <c r="A26" s="330" t="s">
        <v>234</v>
      </c>
      <c r="B26" s="331"/>
      <c r="C26" s="279"/>
      <c r="D26" s="270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  <c r="S26" s="270"/>
      <c r="T26" s="270"/>
      <c r="U26" s="313"/>
      <c r="V26" s="316"/>
      <c r="W26" s="316"/>
      <c r="X26" s="316"/>
      <c r="Y26" s="316"/>
      <c r="Z26" s="316"/>
      <c r="AA26" s="316"/>
      <c r="AB26" s="316"/>
      <c r="AC26" s="270"/>
      <c r="AD26" s="314"/>
      <c r="AE26" s="314"/>
      <c r="AF26" s="314"/>
      <c r="AG26" s="314"/>
      <c r="AH26" s="314"/>
      <c r="AI26" s="314"/>
      <c r="AJ26" s="314"/>
      <c r="AK26" s="314"/>
      <c r="AL26" s="314"/>
      <c r="AM26" s="314"/>
      <c r="AN26" s="314"/>
      <c r="AO26" s="278"/>
      <c r="AP26" s="278"/>
      <c r="AQ26" s="278"/>
      <c r="AR26" s="278"/>
      <c r="AS26" s="278"/>
      <c r="AT26" s="278"/>
      <c r="AU26" s="278"/>
      <c r="AV26" s="278"/>
      <c r="AW26" s="278"/>
      <c r="AX26" s="278"/>
      <c r="AY26" s="278"/>
      <c r="AZ26" s="278"/>
      <c r="BA26" s="278"/>
      <c r="BB26" s="270"/>
      <c r="BC26" s="270"/>
      <c r="BD26" s="270"/>
      <c r="BE26" s="270"/>
      <c r="BF26" s="270"/>
      <c r="BG26" s="270"/>
      <c r="BH26" s="270"/>
      <c r="BI26" s="270"/>
      <c r="BJ26" s="270"/>
      <c r="BK26" s="270"/>
    </row>
    <row r="27" spans="1:63">
      <c r="A27" s="310">
        <v>4.0999999999999996</v>
      </c>
      <c r="B27" s="312" t="s">
        <v>228</v>
      </c>
      <c r="C27" s="279"/>
      <c r="D27" s="27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  <c r="R27" s="270"/>
      <c r="S27" s="270"/>
      <c r="T27" s="270"/>
      <c r="U27" s="313"/>
      <c r="V27" s="316"/>
      <c r="W27" s="316"/>
      <c r="X27" s="316"/>
      <c r="Y27" s="316"/>
      <c r="Z27" s="316"/>
      <c r="AA27" s="316"/>
      <c r="AB27" s="316"/>
      <c r="AC27" s="270"/>
      <c r="AD27" s="315">
        <v>3</v>
      </c>
      <c r="AE27" s="315">
        <v>3</v>
      </c>
      <c r="AF27" s="315">
        <v>3</v>
      </c>
      <c r="AG27" s="316"/>
      <c r="AH27" s="316"/>
      <c r="AI27" s="316"/>
      <c r="AJ27" s="316"/>
      <c r="AK27" s="316"/>
      <c r="AL27" s="316"/>
      <c r="AM27" s="316"/>
      <c r="AN27" s="316"/>
      <c r="AO27" s="404"/>
      <c r="AP27" s="404"/>
      <c r="AQ27" s="404"/>
      <c r="AR27" s="404"/>
      <c r="AS27" s="404"/>
      <c r="AT27" s="404"/>
      <c r="AU27" s="404"/>
      <c r="AV27" s="404"/>
      <c r="AW27" s="404"/>
      <c r="AX27" s="404"/>
      <c r="AY27" s="404"/>
      <c r="AZ27" s="404"/>
      <c r="BA27" s="404"/>
      <c r="BB27" s="279"/>
      <c r="BC27" s="270"/>
      <c r="BD27" s="270"/>
      <c r="BE27" s="270"/>
      <c r="BF27" s="270"/>
      <c r="BG27" s="270"/>
      <c r="BH27" s="270"/>
      <c r="BI27" s="270"/>
      <c r="BJ27" s="270"/>
      <c r="BK27" s="270"/>
    </row>
    <row r="28" spans="1:63">
      <c r="A28" s="310">
        <v>4.2</v>
      </c>
      <c r="B28" s="312" t="s">
        <v>229</v>
      </c>
      <c r="C28" s="279"/>
      <c r="D28" s="270"/>
      <c r="E28" s="270"/>
      <c r="F28" s="270"/>
      <c r="G28" s="270"/>
      <c r="H28" s="270"/>
      <c r="I28" s="270"/>
      <c r="J28" s="270"/>
      <c r="K28" s="270"/>
      <c r="L28" s="270"/>
      <c r="M28" s="270"/>
      <c r="N28" s="270"/>
      <c r="O28" s="270"/>
      <c r="P28" s="270"/>
      <c r="Q28" s="270"/>
      <c r="R28" s="270"/>
      <c r="S28" s="270"/>
      <c r="T28" s="270"/>
      <c r="U28" s="313"/>
      <c r="V28" s="316"/>
      <c r="W28" s="316"/>
      <c r="X28" s="316"/>
      <c r="Y28" s="316"/>
      <c r="Z28" s="316"/>
      <c r="AA28" s="316"/>
      <c r="AB28" s="316"/>
      <c r="AC28" s="316"/>
      <c r="AD28" s="316"/>
      <c r="AE28" s="316"/>
      <c r="AF28" s="316"/>
      <c r="AG28" s="315">
        <v>3</v>
      </c>
      <c r="AH28" s="315">
        <v>3</v>
      </c>
      <c r="AI28" s="315">
        <v>3</v>
      </c>
      <c r="AJ28" s="315">
        <v>3</v>
      </c>
      <c r="AK28" s="315">
        <v>3</v>
      </c>
      <c r="AL28" s="316"/>
      <c r="AM28" s="316"/>
      <c r="AN28" s="316"/>
      <c r="AO28" s="404"/>
      <c r="AP28" s="404"/>
      <c r="AQ28" s="404"/>
      <c r="AR28" s="404"/>
      <c r="AS28" s="404"/>
      <c r="AT28" s="404"/>
      <c r="AU28" s="404"/>
      <c r="AV28" s="404"/>
      <c r="AW28" s="404"/>
      <c r="AX28" s="404"/>
      <c r="AY28" s="404"/>
      <c r="AZ28" s="404"/>
      <c r="BA28" s="404"/>
      <c r="BB28" s="279"/>
      <c r="BC28" s="270"/>
      <c r="BD28" s="270"/>
      <c r="BE28" s="270"/>
      <c r="BF28" s="270"/>
      <c r="BG28" s="270"/>
      <c r="BH28" s="270"/>
      <c r="BI28" s="270"/>
      <c r="BJ28" s="270"/>
      <c r="BK28" s="270"/>
    </row>
    <row r="29" spans="1:63">
      <c r="A29" s="310">
        <v>4.3</v>
      </c>
      <c r="B29" s="312" t="s">
        <v>230</v>
      </c>
      <c r="C29" s="279"/>
      <c r="D29" s="270"/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270"/>
      <c r="R29" s="270"/>
      <c r="S29" s="270"/>
      <c r="T29" s="270"/>
      <c r="U29" s="313"/>
      <c r="V29" s="316"/>
      <c r="W29" s="316"/>
      <c r="X29" s="316"/>
      <c r="Y29" s="316"/>
      <c r="Z29" s="316"/>
      <c r="AA29" s="316"/>
      <c r="AB29" s="316"/>
      <c r="AC29" s="316"/>
      <c r="AD29" s="316"/>
      <c r="AE29" s="316"/>
      <c r="AF29" s="316"/>
      <c r="AG29" s="316"/>
      <c r="AH29" s="316"/>
      <c r="AI29" s="316"/>
      <c r="AJ29" s="316"/>
      <c r="AK29" s="316"/>
      <c r="AL29" s="315">
        <v>3</v>
      </c>
      <c r="AM29" s="315">
        <v>3</v>
      </c>
      <c r="AN29" s="315">
        <v>3</v>
      </c>
      <c r="AO29" s="404"/>
      <c r="AP29" s="404"/>
      <c r="AQ29" s="404"/>
      <c r="AR29" s="404"/>
      <c r="AS29" s="404"/>
      <c r="AT29" s="404"/>
      <c r="AU29" s="404"/>
      <c r="AV29" s="404"/>
      <c r="AW29" s="404"/>
      <c r="AX29" s="404"/>
      <c r="AY29" s="404"/>
      <c r="AZ29" s="404"/>
      <c r="BA29" s="404"/>
      <c r="BB29" s="279"/>
      <c r="BC29" s="270"/>
      <c r="BD29" s="270"/>
      <c r="BE29" s="270"/>
      <c r="BF29" s="270"/>
      <c r="BG29" s="270"/>
      <c r="BH29" s="270"/>
      <c r="BI29" s="270"/>
      <c r="BJ29" s="270"/>
      <c r="BK29" s="270"/>
    </row>
    <row r="30" spans="1:63">
      <c r="A30" s="310">
        <v>4.4000000000000004</v>
      </c>
      <c r="B30" s="312" t="s">
        <v>231</v>
      </c>
      <c r="C30" s="279"/>
      <c r="D30" s="270"/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270"/>
      <c r="R30" s="270"/>
      <c r="S30" s="270"/>
      <c r="T30" s="270"/>
      <c r="U30" s="313"/>
      <c r="V30" s="316"/>
      <c r="W30" s="316"/>
      <c r="X30" s="316"/>
      <c r="Y30" s="316"/>
      <c r="Z30" s="316"/>
      <c r="AA30" s="316"/>
      <c r="AB30" s="316"/>
      <c r="AC30" s="316"/>
      <c r="AD30" s="316"/>
      <c r="AE30" s="316"/>
      <c r="AF30" s="316"/>
      <c r="AG30" s="316"/>
      <c r="AH30" s="325"/>
      <c r="AI30" s="316"/>
      <c r="AJ30" s="316"/>
      <c r="AK30" s="316"/>
      <c r="AL30" s="315">
        <v>3</v>
      </c>
      <c r="AM30" s="315">
        <v>3</v>
      </c>
      <c r="AN30" s="315">
        <v>3</v>
      </c>
      <c r="AO30" s="404"/>
      <c r="AP30" s="404"/>
      <c r="AQ30" s="404"/>
      <c r="AR30" s="404"/>
      <c r="AS30" s="404"/>
      <c r="AT30" s="404"/>
      <c r="AU30" s="404"/>
      <c r="AV30" s="404"/>
      <c r="AW30" s="404"/>
      <c r="AX30" s="404"/>
      <c r="AY30" s="404"/>
      <c r="AZ30" s="404"/>
      <c r="BA30" s="404"/>
      <c r="BB30" s="279"/>
      <c r="BC30" s="270"/>
      <c r="BD30" s="270"/>
      <c r="BE30" s="270"/>
      <c r="BF30" s="270"/>
      <c r="BG30" s="270"/>
      <c r="BH30" s="270"/>
      <c r="BI30" s="270"/>
      <c r="BJ30" s="270"/>
      <c r="BK30" s="270"/>
    </row>
    <row r="31" spans="1:63" ht="16">
      <c r="A31" s="319" t="s">
        <v>235</v>
      </c>
      <c r="B31" s="321"/>
      <c r="C31" s="270"/>
      <c r="D31" s="270"/>
      <c r="E31" s="270"/>
      <c r="F31" s="270"/>
      <c r="G31" s="270"/>
      <c r="H31" s="270"/>
      <c r="I31" s="270"/>
      <c r="J31" s="270"/>
      <c r="K31" s="270"/>
      <c r="L31" s="270"/>
      <c r="M31" s="270"/>
      <c r="N31" s="270"/>
      <c r="O31" s="270"/>
      <c r="P31" s="270"/>
      <c r="Q31" s="270"/>
      <c r="R31" s="270"/>
      <c r="S31" s="270"/>
      <c r="T31" s="270"/>
      <c r="U31" s="270"/>
      <c r="V31" s="263"/>
      <c r="W31" s="263"/>
      <c r="X31" s="263"/>
      <c r="Y31" s="263"/>
      <c r="Z31" s="263"/>
      <c r="AA31" s="263"/>
      <c r="AB31" s="263"/>
      <c r="AC31" s="263"/>
      <c r="AD31" s="263"/>
      <c r="AE31" s="263"/>
      <c r="AF31" s="263"/>
      <c r="AG31" s="263"/>
      <c r="AH31" s="263"/>
      <c r="AI31" s="263"/>
      <c r="AJ31" s="263"/>
      <c r="AK31" s="324"/>
      <c r="AL31" s="407"/>
      <c r="AM31" s="407"/>
      <c r="AN31" s="407"/>
      <c r="AO31" s="405"/>
      <c r="AP31" s="405"/>
      <c r="AQ31" s="405"/>
      <c r="AR31" s="405"/>
      <c r="AS31" s="405"/>
      <c r="AT31" s="405"/>
      <c r="AU31" s="406"/>
      <c r="AV31" s="406"/>
      <c r="AW31" s="406"/>
      <c r="AX31" s="406"/>
      <c r="AY31" s="406"/>
      <c r="AZ31" s="404"/>
      <c r="BA31" s="404"/>
      <c r="BB31" s="279"/>
      <c r="BC31" s="270"/>
      <c r="BD31" s="270"/>
      <c r="BE31" s="270"/>
      <c r="BF31" s="270"/>
      <c r="BG31" s="270"/>
      <c r="BH31" s="270"/>
      <c r="BI31" s="270"/>
      <c r="BJ31" s="270"/>
      <c r="BK31" s="270"/>
    </row>
    <row r="32" spans="1:63" ht="16">
      <c r="A32" s="320">
        <v>5.0999999999999996</v>
      </c>
      <c r="B32" s="312" t="s">
        <v>147</v>
      </c>
      <c r="C32" s="279"/>
      <c r="D32" s="270"/>
      <c r="E32" s="270"/>
      <c r="F32" s="270"/>
      <c r="G32" s="270"/>
      <c r="H32" s="270"/>
      <c r="I32" s="270"/>
      <c r="J32" s="270"/>
      <c r="K32" s="270"/>
      <c r="L32" s="270"/>
      <c r="M32" s="270"/>
      <c r="N32" s="270"/>
      <c r="O32" s="270"/>
      <c r="P32" s="270"/>
      <c r="Q32" s="270"/>
      <c r="R32" s="270"/>
      <c r="S32" s="270"/>
      <c r="T32" s="270"/>
      <c r="U32" s="270"/>
      <c r="V32" s="270"/>
      <c r="W32" s="270"/>
      <c r="X32" s="270"/>
      <c r="Y32" s="270"/>
      <c r="Z32" s="270"/>
      <c r="AA32" s="270"/>
      <c r="AB32" s="270"/>
      <c r="AC32" s="270"/>
      <c r="AD32" s="270"/>
      <c r="AE32" s="270"/>
      <c r="AF32" s="270"/>
      <c r="AG32" s="270"/>
      <c r="AH32" s="270"/>
      <c r="AI32" s="270"/>
      <c r="AJ32" s="270"/>
      <c r="AK32" s="313"/>
      <c r="AL32" s="407"/>
      <c r="AM32" s="407"/>
      <c r="AN32" s="407"/>
      <c r="AO32" s="408">
        <v>3</v>
      </c>
      <c r="AP32" s="408">
        <v>3</v>
      </c>
      <c r="AQ32" s="406"/>
      <c r="AR32" s="406"/>
      <c r="AS32" s="406"/>
      <c r="AT32" s="406"/>
      <c r="AU32" s="406"/>
      <c r="AV32" s="406"/>
      <c r="AW32" s="406"/>
      <c r="AX32" s="406"/>
      <c r="AY32" s="406"/>
      <c r="AZ32" s="404"/>
      <c r="BA32" s="404"/>
      <c r="BB32" s="279"/>
      <c r="BC32" s="270"/>
      <c r="BD32" s="270"/>
      <c r="BE32" s="270"/>
      <c r="BF32" s="270"/>
      <c r="BG32" s="270"/>
      <c r="BH32" s="270"/>
      <c r="BI32" s="270"/>
      <c r="BJ32" s="270"/>
      <c r="BK32" s="270"/>
    </row>
    <row r="33" spans="1:63" ht="16">
      <c r="A33" s="320">
        <v>5.2</v>
      </c>
      <c r="B33" s="312" t="s">
        <v>82</v>
      </c>
      <c r="C33" s="279"/>
      <c r="D33" s="270"/>
      <c r="E33" s="270"/>
      <c r="F33" s="270"/>
      <c r="G33" s="270"/>
      <c r="H33" s="270"/>
      <c r="I33" s="270"/>
      <c r="J33" s="270"/>
      <c r="K33" s="270"/>
      <c r="L33" s="270"/>
      <c r="M33" s="270"/>
      <c r="N33" s="270"/>
      <c r="O33" s="270"/>
      <c r="P33" s="270"/>
      <c r="Q33" s="270"/>
      <c r="R33" s="270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270"/>
      <c r="AD33" s="270"/>
      <c r="AE33" s="270"/>
      <c r="AF33" s="270"/>
      <c r="AG33" s="270"/>
      <c r="AH33" s="270"/>
      <c r="AI33" s="270"/>
      <c r="AJ33" s="270"/>
      <c r="AK33" s="313"/>
      <c r="AL33" s="407"/>
      <c r="AM33" s="407"/>
      <c r="AN33" s="407"/>
      <c r="AO33" s="406"/>
      <c r="AP33" s="408">
        <v>3</v>
      </c>
      <c r="AQ33" s="408">
        <v>3</v>
      </c>
      <c r="AR33" s="406"/>
      <c r="AS33" s="406"/>
      <c r="AT33" s="406"/>
      <c r="AU33" s="406"/>
      <c r="AV33" s="406"/>
      <c r="AW33" s="406"/>
      <c r="AX33" s="406"/>
      <c r="AY33" s="406"/>
      <c r="AZ33" s="404"/>
      <c r="BA33" s="404"/>
      <c r="BB33" s="279"/>
      <c r="BC33" s="270"/>
      <c r="BD33" s="270"/>
      <c r="BE33" s="270"/>
      <c r="BF33" s="270"/>
      <c r="BG33" s="270"/>
      <c r="BH33" s="270"/>
      <c r="BI33" s="270"/>
      <c r="BJ33" s="270"/>
      <c r="BK33" s="270"/>
    </row>
    <row r="34" spans="1:63" ht="16">
      <c r="A34" s="320">
        <v>5.3</v>
      </c>
      <c r="B34" s="323" t="s">
        <v>232</v>
      </c>
      <c r="C34" s="279"/>
      <c r="D34" s="270"/>
      <c r="E34" s="270"/>
      <c r="F34" s="270"/>
      <c r="G34" s="270"/>
      <c r="H34" s="270"/>
      <c r="I34" s="270"/>
      <c r="J34" s="270"/>
      <c r="K34" s="270"/>
      <c r="L34" s="270"/>
      <c r="M34" s="270"/>
      <c r="N34" s="270"/>
      <c r="O34" s="270"/>
      <c r="P34" s="270"/>
      <c r="Q34" s="270"/>
      <c r="R34" s="270"/>
      <c r="S34" s="270"/>
      <c r="T34" s="270"/>
      <c r="U34" s="270"/>
      <c r="V34" s="270"/>
      <c r="W34" s="270"/>
      <c r="X34" s="270"/>
      <c r="Y34" s="270"/>
      <c r="Z34" s="270"/>
      <c r="AA34" s="270"/>
      <c r="AB34" s="270"/>
      <c r="AC34" s="270"/>
      <c r="AD34" s="270"/>
      <c r="AE34" s="270"/>
      <c r="AF34" s="270"/>
      <c r="AG34" s="270"/>
      <c r="AH34" s="270"/>
      <c r="AI34" s="270"/>
      <c r="AJ34" s="270"/>
      <c r="AK34" s="313"/>
      <c r="AL34" s="407"/>
      <c r="AM34" s="407"/>
      <c r="AN34" s="407"/>
      <c r="AO34" s="406"/>
      <c r="AP34" s="406"/>
      <c r="AQ34" s="408">
        <v>3</v>
      </c>
      <c r="AR34" s="406"/>
      <c r="AS34" s="406"/>
      <c r="AT34" s="406"/>
      <c r="AU34" s="406"/>
      <c r="AV34" s="406"/>
      <c r="AW34" s="406"/>
      <c r="AX34" s="406"/>
      <c r="AY34" s="406"/>
      <c r="AZ34" s="404"/>
      <c r="BA34" s="404"/>
      <c r="BB34" s="279"/>
      <c r="BC34" s="270"/>
      <c r="BD34" s="270"/>
      <c r="BE34" s="270"/>
      <c r="BF34" s="270"/>
      <c r="BG34" s="270"/>
      <c r="BH34" s="270"/>
      <c r="BI34" s="270"/>
      <c r="BJ34" s="270"/>
      <c r="BK34" s="270"/>
    </row>
    <row r="35" spans="1:63" ht="16">
      <c r="A35" s="320">
        <v>5.4</v>
      </c>
      <c r="B35" s="323" t="s">
        <v>83</v>
      </c>
      <c r="C35" s="279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0"/>
      <c r="S35" s="270"/>
      <c r="T35" s="270"/>
      <c r="U35" s="270"/>
      <c r="V35" s="270"/>
      <c r="W35" s="270"/>
      <c r="X35" s="270"/>
      <c r="Y35" s="270"/>
      <c r="Z35" s="270"/>
      <c r="AA35" s="270"/>
      <c r="AB35" s="270"/>
      <c r="AC35" s="270"/>
      <c r="AD35" s="270"/>
      <c r="AE35" s="270"/>
      <c r="AF35" s="270"/>
      <c r="AG35" s="270"/>
      <c r="AH35" s="270"/>
      <c r="AI35" s="270"/>
      <c r="AJ35" s="270"/>
      <c r="AK35" s="313"/>
      <c r="AL35" s="407"/>
      <c r="AM35" s="407"/>
      <c r="AN35" s="407"/>
      <c r="AO35" s="406"/>
      <c r="AP35" s="406"/>
      <c r="AQ35" s="408">
        <v>3</v>
      </c>
      <c r="AR35" s="408">
        <v>3</v>
      </c>
      <c r="AS35" s="406"/>
      <c r="AT35" s="406"/>
      <c r="AU35" s="406"/>
      <c r="AV35" s="406"/>
      <c r="AW35" s="406"/>
      <c r="AX35" s="406"/>
      <c r="AY35" s="406"/>
      <c r="AZ35" s="404"/>
      <c r="BA35" s="404"/>
      <c r="BB35" s="279"/>
      <c r="BC35" s="270"/>
      <c r="BD35" s="270"/>
      <c r="BE35" s="270"/>
      <c r="BF35" s="270"/>
      <c r="BG35" s="270"/>
      <c r="BH35" s="270"/>
      <c r="BI35" s="270"/>
      <c r="BJ35" s="270"/>
      <c r="BK35" s="270"/>
    </row>
    <row r="36" spans="1:63" ht="16">
      <c r="A36" s="320">
        <v>5.5</v>
      </c>
      <c r="B36" s="323" t="s">
        <v>148</v>
      </c>
      <c r="C36" s="279"/>
      <c r="D36" s="270"/>
      <c r="E36" s="270"/>
      <c r="F36" s="270"/>
      <c r="G36" s="270"/>
      <c r="H36" s="270"/>
      <c r="I36" s="270"/>
      <c r="J36" s="270"/>
      <c r="K36" s="270"/>
      <c r="L36" s="270"/>
      <c r="M36" s="270"/>
      <c r="N36" s="270"/>
      <c r="O36" s="270"/>
      <c r="P36" s="270"/>
      <c r="Q36" s="270"/>
      <c r="R36" s="270"/>
      <c r="S36" s="270"/>
      <c r="T36" s="270"/>
      <c r="U36" s="270"/>
      <c r="V36" s="270"/>
      <c r="W36" s="270"/>
      <c r="X36" s="270"/>
      <c r="Y36" s="270"/>
      <c r="Z36" s="270"/>
      <c r="AA36" s="270"/>
      <c r="AB36" s="270"/>
      <c r="AC36" s="270"/>
      <c r="AD36" s="270"/>
      <c r="AE36" s="270"/>
      <c r="AF36" s="270"/>
      <c r="AG36" s="270"/>
      <c r="AH36" s="270"/>
      <c r="AI36" s="270"/>
      <c r="AJ36" s="270"/>
      <c r="AK36" s="313"/>
      <c r="AL36" s="407"/>
      <c r="AM36" s="407"/>
      <c r="AN36" s="407"/>
      <c r="AO36" s="406"/>
      <c r="AP36" s="406"/>
      <c r="AQ36" s="406"/>
      <c r="AR36" s="408">
        <v>3</v>
      </c>
      <c r="AS36" s="408">
        <v>3</v>
      </c>
      <c r="AT36" s="408">
        <v>3</v>
      </c>
      <c r="AU36" s="406"/>
      <c r="AV36" s="406"/>
      <c r="AW36" s="406"/>
      <c r="AX36" s="406"/>
      <c r="AY36" s="406"/>
      <c r="AZ36" s="404"/>
      <c r="BA36" s="404"/>
      <c r="BB36" s="279"/>
      <c r="BC36" s="270"/>
      <c r="BD36" s="270"/>
      <c r="BE36" s="270"/>
      <c r="BF36" s="270"/>
      <c r="BG36" s="270"/>
      <c r="BH36" s="270"/>
      <c r="BI36" s="270"/>
      <c r="BJ36" s="270"/>
      <c r="BK36" s="270"/>
    </row>
    <row r="37" spans="1:63" ht="16">
      <c r="A37" s="277" t="s">
        <v>237</v>
      </c>
      <c r="B37" s="322"/>
      <c r="C37" s="270"/>
      <c r="D37" s="270"/>
      <c r="E37" s="270"/>
      <c r="F37" s="270"/>
      <c r="G37" s="270"/>
      <c r="H37" s="270"/>
      <c r="I37" s="270"/>
      <c r="J37" s="270"/>
      <c r="K37" s="270"/>
      <c r="L37" s="270"/>
      <c r="M37" s="270"/>
      <c r="N37" s="270"/>
      <c r="O37" s="270"/>
      <c r="P37" s="270"/>
      <c r="Q37" s="270"/>
      <c r="R37" s="270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270"/>
      <c r="AD37" s="270"/>
      <c r="AE37" s="270"/>
      <c r="AF37" s="270"/>
      <c r="AG37" s="270"/>
      <c r="AH37" s="270"/>
      <c r="AI37" s="270"/>
      <c r="AJ37" s="270"/>
      <c r="AK37" s="313"/>
      <c r="AL37" s="404"/>
      <c r="AM37" s="404"/>
      <c r="AN37" s="404"/>
      <c r="AO37" s="406"/>
      <c r="AP37" s="406"/>
      <c r="AQ37" s="406"/>
      <c r="AR37" s="406"/>
      <c r="AS37" s="405"/>
      <c r="AT37" s="405"/>
      <c r="AU37" s="405"/>
      <c r="AV37" s="405"/>
      <c r="AW37" s="406"/>
      <c r="AX37" s="406"/>
      <c r="AY37" s="406"/>
      <c r="AZ37" s="404"/>
      <c r="BA37" s="404"/>
      <c r="BB37" s="279"/>
      <c r="BC37" s="270"/>
      <c r="BD37" s="270"/>
      <c r="BE37" s="270"/>
      <c r="BF37" s="270"/>
      <c r="BG37" s="270"/>
      <c r="BH37" s="270"/>
      <c r="BI37" s="270"/>
      <c r="BJ37" s="270"/>
      <c r="BK37" s="270"/>
    </row>
    <row r="38" spans="1:63" ht="16">
      <c r="A38" s="268">
        <v>6.1</v>
      </c>
      <c r="B38" s="273" t="s">
        <v>149</v>
      </c>
      <c r="C38" s="270"/>
      <c r="D38" s="270"/>
      <c r="E38" s="270"/>
      <c r="F38" s="270"/>
      <c r="G38" s="270"/>
      <c r="H38" s="270"/>
      <c r="I38" s="270"/>
      <c r="J38" s="270"/>
      <c r="K38" s="270"/>
      <c r="L38" s="270"/>
      <c r="M38" s="270"/>
      <c r="N38" s="270"/>
      <c r="O38" s="270"/>
      <c r="P38" s="270"/>
      <c r="Q38" s="270"/>
      <c r="R38" s="270"/>
      <c r="S38" s="270"/>
      <c r="T38" s="270"/>
      <c r="U38" s="270"/>
      <c r="V38" s="270"/>
      <c r="W38" s="270"/>
      <c r="X38" s="270"/>
      <c r="Y38" s="270"/>
      <c r="Z38" s="270"/>
      <c r="AA38" s="270"/>
      <c r="AB38" s="270"/>
      <c r="AC38" s="270"/>
      <c r="AD38" s="270"/>
      <c r="AE38" s="270"/>
      <c r="AF38" s="270"/>
      <c r="AG38" s="270"/>
      <c r="AH38" s="270"/>
      <c r="AI38" s="270"/>
      <c r="AJ38" s="270"/>
      <c r="AK38" s="313"/>
      <c r="AL38" s="404"/>
      <c r="AM38" s="404"/>
      <c r="AN38" s="404"/>
      <c r="AO38" s="406"/>
      <c r="AP38" s="406"/>
      <c r="AQ38" s="406"/>
      <c r="AR38" s="406"/>
      <c r="AS38" s="408">
        <v>3</v>
      </c>
      <c r="AT38" s="408">
        <v>3</v>
      </c>
      <c r="AU38" s="406"/>
      <c r="AV38" s="406"/>
      <c r="AW38" s="406"/>
      <c r="AX38" s="406"/>
      <c r="AY38" s="406"/>
      <c r="AZ38" s="404"/>
      <c r="BA38" s="404"/>
      <c r="BB38" s="279"/>
      <c r="BC38" s="270"/>
      <c r="BD38" s="270"/>
      <c r="BE38" s="270"/>
      <c r="BF38" s="270"/>
      <c r="BG38" s="270"/>
      <c r="BH38" s="270"/>
      <c r="BI38" s="270"/>
      <c r="BJ38" s="270"/>
      <c r="BK38" s="270"/>
    </row>
    <row r="39" spans="1:63" ht="16">
      <c r="A39" s="268">
        <v>5.2</v>
      </c>
      <c r="B39" s="273" t="s">
        <v>60</v>
      </c>
      <c r="C39" s="270"/>
      <c r="D39" s="270"/>
      <c r="E39" s="270"/>
      <c r="F39" s="270"/>
      <c r="G39" s="270"/>
      <c r="H39" s="270"/>
      <c r="I39" s="270"/>
      <c r="J39" s="270"/>
      <c r="K39" s="270"/>
      <c r="L39" s="270"/>
      <c r="M39" s="270"/>
      <c r="N39" s="270"/>
      <c r="O39" s="270"/>
      <c r="P39" s="270"/>
      <c r="Q39" s="270"/>
      <c r="R39" s="270"/>
      <c r="S39" s="270"/>
      <c r="T39" s="270"/>
      <c r="U39" s="270"/>
      <c r="V39" s="270"/>
      <c r="W39" s="270"/>
      <c r="X39" s="270"/>
      <c r="Y39" s="270"/>
      <c r="Z39" s="270"/>
      <c r="AA39" s="270"/>
      <c r="AB39" s="270"/>
      <c r="AC39" s="270"/>
      <c r="AD39" s="270"/>
      <c r="AE39" s="270"/>
      <c r="AF39" s="270"/>
      <c r="AG39" s="270"/>
      <c r="AH39" s="270"/>
      <c r="AI39" s="270"/>
      <c r="AJ39" s="270"/>
      <c r="AK39" s="313"/>
      <c r="AL39" s="404"/>
      <c r="AM39" s="404"/>
      <c r="AN39" s="404"/>
      <c r="AO39" s="406"/>
      <c r="AP39" s="406"/>
      <c r="AQ39" s="406"/>
      <c r="AR39" s="406"/>
      <c r="AS39" s="406"/>
      <c r="AT39" s="408">
        <v>3</v>
      </c>
      <c r="AU39" s="408">
        <v>3</v>
      </c>
      <c r="AV39" s="408">
        <v>3</v>
      </c>
      <c r="AW39" s="406"/>
      <c r="AX39" s="406"/>
      <c r="AY39" s="406"/>
      <c r="AZ39" s="404"/>
      <c r="BA39" s="404"/>
      <c r="BB39" s="279"/>
      <c r="BC39" s="270"/>
      <c r="BD39" s="270"/>
      <c r="BE39" s="270"/>
      <c r="BF39" s="270"/>
      <c r="BG39" s="270"/>
      <c r="BH39" s="270"/>
      <c r="BI39" s="270"/>
      <c r="BJ39" s="270"/>
      <c r="BK39" s="270"/>
    </row>
    <row r="40" spans="1:63" ht="16">
      <c r="A40" s="268">
        <v>6.3</v>
      </c>
      <c r="B40" s="269" t="s">
        <v>150</v>
      </c>
      <c r="C40" s="270"/>
      <c r="D40" s="270"/>
      <c r="E40" s="270"/>
      <c r="F40" s="270"/>
      <c r="G40" s="270"/>
      <c r="H40" s="270"/>
      <c r="I40" s="270"/>
      <c r="J40" s="270"/>
      <c r="K40" s="270"/>
      <c r="L40" s="270"/>
      <c r="M40" s="270"/>
      <c r="N40" s="270"/>
      <c r="O40" s="270"/>
      <c r="P40" s="270"/>
      <c r="Q40" s="270"/>
      <c r="R40" s="270"/>
      <c r="S40" s="270"/>
      <c r="T40" s="270"/>
      <c r="U40" s="270"/>
      <c r="V40" s="270"/>
      <c r="W40" s="270"/>
      <c r="X40" s="270"/>
      <c r="Y40" s="270"/>
      <c r="Z40" s="270"/>
      <c r="AA40" s="270"/>
      <c r="AB40" s="270"/>
      <c r="AC40" s="270"/>
      <c r="AD40" s="270"/>
      <c r="AE40" s="270"/>
      <c r="AF40" s="270"/>
      <c r="AG40" s="270"/>
      <c r="AH40" s="270"/>
      <c r="AI40" s="270"/>
      <c r="AJ40" s="270"/>
      <c r="AK40" s="313"/>
      <c r="AL40" s="404"/>
      <c r="AM40" s="404"/>
      <c r="AN40" s="404"/>
      <c r="AO40" s="406"/>
      <c r="AP40" s="406"/>
      <c r="AQ40" s="406"/>
      <c r="AR40" s="406"/>
      <c r="AS40" s="406"/>
      <c r="AT40" s="406"/>
      <c r="AU40" s="406"/>
      <c r="AV40" s="408">
        <v>3</v>
      </c>
      <c r="AW40" s="406"/>
      <c r="AX40" s="406"/>
      <c r="AY40" s="406"/>
      <c r="AZ40" s="404"/>
      <c r="BA40" s="404"/>
      <c r="BB40" s="279"/>
      <c r="BC40" s="270"/>
      <c r="BD40" s="270"/>
      <c r="BE40" s="270"/>
      <c r="BF40" s="270"/>
      <c r="BG40" s="270"/>
      <c r="BH40" s="270"/>
      <c r="BI40" s="270"/>
      <c r="BJ40" s="270"/>
      <c r="BK40" s="270"/>
    </row>
    <row r="41" spans="1:63" ht="16">
      <c r="A41" s="268">
        <v>6.4</v>
      </c>
      <c r="B41" s="269" t="s">
        <v>254</v>
      </c>
      <c r="C41" s="270"/>
      <c r="D41" s="270"/>
      <c r="E41" s="270"/>
      <c r="F41" s="270"/>
      <c r="G41" s="270"/>
      <c r="H41" s="270"/>
      <c r="I41" s="270"/>
      <c r="J41" s="270"/>
      <c r="K41" s="270"/>
      <c r="L41" s="270"/>
      <c r="M41" s="270"/>
      <c r="N41" s="270"/>
      <c r="O41" s="270"/>
      <c r="P41" s="270"/>
      <c r="Q41" s="270"/>
      <c r="R41" s="270"/>
      <c r="S41" s="270"/>
      <c r="T41" s="270"/>
      <c r="U41" s="270"/>
      <c r="V41" s="270"/>
      <c r="W41" s="270"/>
      <c r="X41" s="270"/>
      <c r="Y41" s="278"/>
      <c r="Z41" s="278"/>
      <c r="AA41" s="278"/>
      <c r="AB41" s="270"/>
      <c r="AC41" s="270"/>
      <c r="AD41" s="270"/>
      <c r="AE41" s="270"/>
      <c r="AF41" s="270"/>
      <c r="AG41" s="270"/>
      <c r="AH41" s="270"/>
      <c r="AI41" s="270"/>
      <c r="AJ41" s="270"/>
      <c r="AK41" s="313"/>
      <c r="AL41" s="404"/>
      <c r="AM41" s="404"/>
      <c r="AN41" s="404"/>
      <c r="AO41" s="406"/>
      <c r="AP41" s="406"/>
      <c r="AQ41" s="406"/>
      <c r="AR41" s="406"/>
      <c r="AS41" s="406"/>
      <c r="AT41" s="406"/>
      <c r="AU41" s="406"/>
      <c r="AV41" s="408">
        <v>3</v>
      </c>
      <c r="AW41" s="406"/>
      <c r="AX41" s="406"/>
      <c r="AY41" s="406"/>
      <c r="AZ41" s="404"/>
      <c r="BA41" s="404"/>
      <c r="BB41" s="279"/>
      <c r="BC41" s="270"/>
      <c r="BD41" s="270"/>
      <c r="BE41" s="270"/>
      <c r="BF41" s="270"/>
      <c r="BG41" s="270"/>
      <c r="BH41" s="270"/>
      <c r="BI41" s="270"/>
      <c r="BJ41" s="270"/>
      <c r="BK41" s="270"/>
    </row>
    <row r="42" spans="1:63" ht="16">
      <c r="A42" s="280" t="s">
        <v>236</v>
      </c>
      <c r="B42" s="280"/>
      <c r="C42" s="270"/>
      <c r="D42" s="270"/>
      <c r="E42" s="270"/>
      <c r="F42" s="270"/>
      <c r="G42" s="270"/>
      <c r="H42" s="270"/>
      <c r="I42" s="270"/>
      <c r="J42" s="270"/>
      <c r="K42" s="270"/>
      <c r="L42" s="270"/>
      <c r="M42" s="270"/>
      <c r="N42" s="270"/>
      <c r="O42" s="270"/>
      <c r="P42" s="270"/>
      <c r="Q42" s="270"/>
      <c r="R42" s="270"/>
      <c r="S42" s="270"/>
      <c r="T42" s="270"/>
      <c r="U42" s="270"/>
      <c r="V42" s="270"/>
      <c r="W42" s="270"/>
      <c r="X42" s="270"/>
      <c r="Y42" s="270"/>
      <c r="Z42" s="270"/>
      <c r="AA42" s="270"/>
      <c r="AB42" s="270"/>
      <c r="AC42" s="270"/>
      <c r="AD42" s="270"/>
      <c r="AE42" s="270"/>
      <c r="AF42" s="270"/>
      <c r="AG42" s="270"/>
      <c r="AH42" s="270"/>
      <c r="AI42" s="276"/>
      <c r="AJ42" s="276"/>
      <c r="AK42" s="313"/>
      <c r="AL42" s="404"/>
      <c r="AM42" s="404"/>
      <c r="AN42" s="404"/>
      <c r="AO42" s="406"/>
      <c r="AP42" s="406"/>
      <c r="AQ42" s="406"/>
      <c r="AR42" s="406"/>
      <c r="AS42" s="406"/>
      <c r="AT42" s="406"/>
      <c r="AU42" s="406"/>
      <c r="AV42" s="405"/>
      <c r="AW42" s="405"/>
      <c r="AX42" s="405"/>
      <c r="AY42" s="405"/>
      <c r="AZ42" s="404"/>
      <c r="BA42" s="404"/>
      <c r="BB42" s="279"/>
      <c r="BC42" s="270"/>
      <c r="BD42" s="270"/>
      <c r="BE42" s="270"/>
      <c r="BF42" s="270"/>
      <c r="BG42" s="270"/>
      <c r="BH42" s="270"/>
      <c r="BI42" s="270"/>
      <c r="BJ42" s="270"/>
      <c r="BK42" s="270"/>
    </row>
    <row r="43" spans="1:63" ht="16">
      <c r="A43" s="268">
        <v>7.1</v>
      </c>
      <c r="B43" s="273" t="s">
        <v>151</v>
      </c>
      <c r="C43" s="270"/>
      <c r="D43" s="270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  <c r="S43" s="270"/>
      <c r="T43" s="270"/>
      <c r="U43" s="270"/>
      <c r="V43" s="270"/>
      <c r="W43" s="270"/>
      <c r="X43" s="270"/>
      <c r="Y43" s="270"/>
      <c r="Z43" s="270"/>
      <c r="AA43" s="270"/>
      <c r="AB43" s="270"/>
      <c r="AC43" s="270"/>
      <c r="AD43" s="270"/>
      <c r="AE43" s="270"/>
      <c r="AF43" s="270"/>
      <c r="AG43" s="270"/>
      <c r="AH43" s="270"/>
      <c r="AI43" s="275"/>
      <c r="AJ43" s="275"/>
      <c r="AK43" s="402"/>
      <c r="AL43" s="409"/>
      <c r="AM43" s="404"/>
      <c r="AN43" s="404"/>
      <c r="AO43" s="406"/>
      <c r="AP43" s="406"/>
      <c r="AQ43" s="406"/>
      <c r="AR43" s="406"/>
      <c r="AS43" s="406"/>
      <c r="AT43" s="406"/>
      <c r="AU43" s="406"/>
      <c r="AV43" s="408">
        <v>3</v>
      </c>
      <c r="AW43" s="408">
        <v>3</v>
      </c>
      <c r="AX43" s="408">
        <v>3</v>
      </c>
      <c r="AY43" s="408">
        <v>3</v>
      </c>
      <c r="AZ43" s="404"/>
      <c r="BA43" s="404"/>
      <c r="BB43" s="279"/>
      <c r="BC43" s="270"/>
      <c r="BD43" s="270"/>
      <c r="BE43" s="270"/>
      <c r="BF43" s="270"/>
      <c r="BG43" s="270"/>
      <c r="BH43" s="270"/>
      <c r="BI43" s="270"/>
      <c r="BJ43" s="270"/>
      <c r="BK43" s="270"/>
    </row>
    <row r="44" spans="1:63" ht="16">
      <c r="A44" s="268">
        <v>7.2</v>
      </c>
      <c r="B44" s="269" t="s">
        <v>61</v>
      </c>
      <c r="C44" s="270"/>
      <c r="D44" s="270"/>
      <c r="E44" s="270"/>
      <c r="F44" s="270"/>
      <c r="G44" s="270"/>
      <c r="H44" s="270"/>
      <c r="I44" s="270"/>
      <c r="J44" s="270"/>
      <c r="K44" s="270"/>
      <c r="L44" s="270"/>
      <c r="M44" s="270"/>
      <c r="N44" s="270"/>
      <c r="O44" s="270"/>
      <c r="P44" s="270"/>
      <c r="Q44" s="270"/>
      <c r="R44" s="270"/>
      <c r="S44" s="270"/>
      <c r="T44" s="270"/>
      <c r="U44" s="270"/>
      <c r="V44" s="270"/>
      <c r="W44" s="270"/>
      <c r="X44" s="270"/>
      <c r="Y44" s="270"/>
      <c r="Z44" s="270"/>
      <c r="AA44" s="270"/>
      <c r="AB44" s="270"/>
      <c r="AC44" s="270"/>
      <c r="AD44" s="270"/>
      <c r="AE44" s="270"/>
      <c r="AF44" s="270"/>
      <c r="AG44" s="270"/>
      <c r="AH44" s="270"/>
      <c r="AI44" s="270"/>
      <c r="AJ44" s="270"/>
      <c r="AK44" s="403"/>
      <c r="AL44" s="410"/>
      <c r="AM44" s="404"/>
      <c r="AN44" s="404"/>
      <c r="AO44" s="406"/>
      <c r="AP44" s="406"/>
      <c r="AQ44" s="406"/>
      <c r="AR44" s="406"/>
      <c r="AS44" s="406"/>
      <c r="AT44" s="406"/>
      <c r="AU44" s="406"/>
      <c r="AV44" s="406"/>
      <c r="AW44" s="406"/>
      <c r="AX44" s="406"/>
      <c r="AY44" s="408">
        <v>3</v>
      </c>
      <c r="AZ44" s="404"/>
      <c r="BA44" s="404"/>
      <c r="BB44" s="279"/>
      <c r="BC44" s="270"/>
      <c r="BD44" s="270"/>
      <c r="BE44" s="270"/>
      <c r="BF44" s="270"/>
      <c r="BG44" s="270"/>
      <c r="BH44" s="270"/>
      <c r="BI44" s="270"/>
      <c r="BJ44" s="270"/>
      <c r="BK44" s="270"/>
    </row>
  </sheetData>
  <mergeCells count="17">
    <mergeCell ref="P2:S2"/>
    <mergeCell ref="L2:O2"/>
    <mergeCell ref="BG2:BK2"/>
    <mergeCell ref="C1:K1"/>
    <mergeCell ref="L1:BK1"/>
    <mergeCell ref="A2:B3"/>
    <mergeCell ref="C2:F2"/>
    <mergeCell ref="G2:K2"/>
    <mergeCell ref="T2:X2"/>
    <mergeCell ref="Y2:AB2"/>
    <mergeCell ref="AC2:AF2"/>
    <mergeCell ref="AG2:AJ2"/>
    <mergeCell ref="AK2:AO2"/>
    <mergeCell ref="AP2:AS2"/>
    <mergeCell ref="AT2:AX2"/>
    <mergeCell ref="AY2:BB2"/>
    <mergeCell ref="BC2:BF2"/>
  </mergeCells>
  <phoneticPr fontId="54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B3C7-7D16-8444-A249-7DCC40A3DCBD}">
  <sheetPr>
    <tabColor theme="1" tint="0.499984740745262"/>
  </sheetPr>
  <dimension ref="A1:I1034"/>
  <sheetViews>
    <sheetView workbookViewId="0">
      <selection activeCell="E66" sqref="E66:G69"/>
    </sheetView>
  </sheetViews>
  <sheetFormatPr baseColWidth="10" defaultColWidth="14.33203125" defaultRowHeight="15"/>
  <cols>
    <col min="1" max="1" width="8.6640625" customWidth="1"/>
    <col min="2" max="2" width="58.6640625" customWidth="1"/>
    <col min="3" max="3" width="8.6640625" customWidth="1"/>
    <col min="4" max="4" width="25.6640625" style="192" customWidth="1"/>
    <col min="5" max="5" width="15.6640625" customWidth="1"/>
    <col min="6" max="6" width="17.33203125" customWidth="1"/>
    <col min="7" max="7" width="18.33203125" customWidth="1"/>
    <col min="8" max="8" width="19.33203125" style="191" customWidth="1"/>
  </cols>
  <sheetData>
    <row r="1" spans="2:8" ht="113.25" customHeight="1">
      <c r="B1" s="105" t="s">
        <v>97</v>
      </c>
      <c r="C1" s="106" t="s">
        <v>98</v>
      </c>
      <c r="D1" s="107" t="s">
        <v>99</v>
      </c>
      <c r="E1" s="108" t="s">
        <v>100</v>
      </c>
      <c r="F1" s="108" t="s">
        <v>101</v>
      </c>
      <c r="G1" s="109" t="s">
        <v>102</v>
      </c>
      <c r="H1" s="110"/>
    </row>
    <row r="2" spans="2:8" ht="27.75" customHeight="1">
      <c r="B2" s="111" t="s">
        <v>34</v>
      </c>
      <c r="C2" s="112"/>
      <c r="D2" s="113"/>
      <c r="E2" s="114" t="s">
        <v>103</v>
      </c>
      <c r="F2" s="114" t="s">
        <v>103</v>
      </c>
      <c r="G2" s="115" t="s">
        <v>103</v>
      </c>
      <c r="H2" s="116"/>
    </row>
    <row r="3" spans="2:8" ht="18.75" customHeight="1">
      <c r="B3" s="117" t="s">
        <v>104</v>
      </c>
      <c r="C3" s="118"/>
      <c r="D3" s="119"/>
      <c r="E3" s="120">
        <v>30240</v>
      </c>
      <c r="F3" s="120">
        <v>22680</v>
      </c>
      <c r="G3" s="120">
        <v>12060</v>
      </c>
      <c r="H3" s="121"/>
    </row>
    <row r="4" spans="2:8" ht="14.25" hidden="1" customHeight="1">
      <c r="B4" s="122" t="s">
        <v>105</v>
      </c>
      <c r="C4" s="123"/>
      <c r="D4" s="123"/>
      <c r="E4" s="124"/>
      <c r="F4" s="124"/>
      <c r="G4" s="124"/>
      <c r="H4" s="125"/>
    </row>
    <row r="5" spans="2:8" ht="14.25" hidden="1" customHeight="1">
      <c r="B5" s="126" t="s">
        <v>106</v>
      </c>
      <c r="C5" s="127"/>
      <c r="D5" s="128"/>
      <c r="E5" s="129"/>
      <c r="F5" s="129"/>
      <c r="G5" s="130"/>
      <c r="H5" s="131"/>
    </row>
    <row r="6" spans="2:8" ht="14.25" hidden="1" customHeight="1">
      <c r="B6" s="132" t="s">
        <v>107</v>
      </c>
      <c r="C6" s="133"/>
      <c r="D6" s="134"/>
      <c r="E6" s="135"/>
      <c r="F6" s="135"/>
      <c r="G6" s="136"/>
      <c r="H6" s="137"/>
    </row>
    <row r="7" spans="2:8" ht="14.25" hidden="1" customHeight="1">
      <c r="B7" s="122" t="s">
        <v>108</v>
      </c>
      <c r="C7" s="138"/>
      <c r="D7" s="139"/>
      <c r="E7" s="135"/>
      <c r="F7" s="135"/>
      <c r="G7" s="136"/>
      <c r="H7" s="137"/>
    </row>
    <row r="8" spans="2:8" ht="14.25" hidden="1" customHeight="1">
      <c r="B8" s="132" t="s">
        <v>109</v>
      </c>
      <c r="C8" s="133"/>
      <c r="D8" s="134"/>
      <c r="E8" s="135"/>
      <c r="F8" s="135"/>
      <c r="G8" s="136"/>
      <c r="H8" s="137"/>
    </row>
    <row r="9" spans="2:8" ht="14.25" hidden="1" customHeight="1">
      <c r="B9" s="132" t="s">
        <v>110</v>
      </c>
      <c r="C9" s="133"/>
      <c r="D9" s="134"/>
      <c r="E9" s="135"/>
      <c r="F9" s="135"/>
      <c r="G9" s="136"/>
      <c r="H9" s="137"/>
    </row>
    <row r="10" spans="2:8" ht="14.25" customHeight="1">
      <c r="B10" s="122" t="s">
        <v>111</v>
      </c>
      <c r="C10" s="123"/>
      <c r="D10" s="140"/>
      <c r="E10" s="124"/>
      <c r="F10" s="124"/>
      <c r="G10" s="124"/>
      <c r="H10" s="125"/>
    </row>
    <row r="11" spans="2:8" ht="14.25" customHeight="1">
      <c r="B11" s="141" t="s">
        <v>65</v>
      </c>
      <c r="C11" s="133"/>
      <c r="D11" s="134"/>
      <c r="E11" s="135"/>
      <c r="F11" s="135"/>
      <c r="G11" s="136"/>
      <c r="H11" s="137"/>
    </row>
    <row r="12" spans="2:8" ht="14.25" customHeight="1">
      <c r="B12" s="142" t="s">
        <v>66</v>
      </c>
      <c r="C12" s="133"/>
      <c r="D12" s="134"/>
      <c r="E12" s="135"/>
      <c r="F12" s="135"/>
      <c r="G12" s="136"/>
      <c r="H12" s="137"/>
    </row>
    <row r="13" spans="2:8" ht="14.25" customHeight="1">
      <c r="B13" s="141" t="s">
        <v>67</v>
      </c>
      <c r="C13" s="133"/>
      <c r="D13" s="134"/>
      <c r="E13" s="135"/>
      <c r="F13" s="135"/>
      <c r="G13" s="136"/>
      <c r="H13" s="137"/>
    </row>
    <row r="14" spans="2:8" ht="14.25" customHeight="1">
      <c r="B14" s="143" t="s">
        <v>112</v>
      </c>
      <c r="C14" s="144"/>
      <c r="D14" s="144"/>
      <c r="E14" s="145"/>
      <c r="F14" s="145"/>
      <c r="G14" s="145"/>
      <c r="H14" s="146"/>
    </row>
    <row r="15" spans="2:8" ht="14.25" customHeight="1">
      <c r="B15" s="147" t="s">
        <v>85</v>
      </c>
      <c r="C15" s="148"/>
      <c r="D15" s="149"/>
      <c r="E15" s="150">
        <f>SUM(E16:E18)</f>
        <v>0</v>
      </c>
      <c r="F15" s="150">
        <f>SUM(F16:F18)</f>
        <v>0</v>
      </c>
      <c r="G15" s="150">
        <f>SUM(G16:G18)</f>
        <v>0</v>
      </c>
      <c r="H15" s="151"/>
    </row>
    <row r="16" spans="2:8" ht="14.25" customHeight="1">
      <c r="B16" s="152" t="s">
        <v>75</v>
      </c>
      <c r="C16" s="133"/>
      <c r="D16" s="134"/>
      <c r="E16" s="153"/>
      <c r="F16" s="153"/>
      <c r="G16" s="136"/>
      <c r="H16" s="137"/>
    </row>
    <row r="17" spans="2:8" ht="14.25" customHeight="1">
      <c r="B17" s="142" t="s">
        <v>76</v>
      </c>
      <c r="C17" s="133"/>
      <c r="D17" s="134"/>
      <c r="E17" s="153"/>
      <c r="F17" s="153"/>
      <c r="G17" s="136"/>
      <c r="H17" s="137"/>
    </row>
    <row r="18" spans="2:8" ht="14.25" customHeight="1">
      <c r="B18" s="142" t="s">
        <v>77</v>
      </c>
      <c r="C18" s="133"/>
      <c r="D18" s="134"/>
      <c r="E18" s="153"/>
      <c r="F18" s="153"/>
      <c r="G18" s="136"/>
      <c r="H18" s="137"/>
    </row>
    <row r="19" spans="2:8" ht="15" customHeight="1">
      <c r="B19" s="147" t="s">
        <v>86</v>
      </c>
      <c r="C19" s="148"/>
      <c r="D19" s="149"/>
      <c r="E19" s="150">
        <f>SUM(E20:E23)</f>
        <v>0</v>
      </c>
      <c r="F19" s="150">
        <f>SUM(F20:F23)</f>
        <v>0</v>
      </c>
      <c r="G19" s="150">
        <f t="shared" ref="G19" si="0">SUM(G20:G23)</f>
        <v>0</v>
      </c>
      <c r="H19" s="151"/>
    </row>
    <row r="20" spans="2:8" ht="14.25" customHeight="1">
      <c r="B20" s="152" t="s">
        <v>75</v>
      </c>
      <c r="C20" s="133"/>
      <c r="D20" s="134"/>
      <c r="E20" s="153"/>
      <c r="F20" s="153"/>
      <c r="G20" s="136"/>
      <c r="H20" s="137"/>
    </row>
    <row r="21" spans="2:8" ht="14.25" customHeight="1">
      <c r="B21" s="152" t="s">
        <v>87</v>
      </c>
      <c r="C21" s="127"/>
      <c r="D21" s="128"/>
      <c r="E21" s="153"/>
      <c r="F21" s="153"/>
      <c r="G21" s="136"/>
      <c r="H21" s="137"/>
    </row>
    <row r="22" spans="2:8" ht="14.25" customHeight="1">
      <c r="B22" s="142" t="s">
        <v>76</v>
      </c>
      <c r="C22" s="133"/>
      <c r="D22" s="134"/>
      <c r="E22" s="153"/>
      <c r="F22" s="153"/>
      <c r="G22" s="136"/>
      <c r="H22" s="137"/>
    </row>
    <row r="23" spans="2:8" ht="14.25" customHeight="1">
      <c r="B23" s="142" t="s">
        <v>77</v>
      </c>
      <c r="C23" s="133"/>
      <c r="D23" s="134"/>
      <c r="E23" s="153"/>
      <c r="F23" s="153"/>
      <c r="G23" s="136"/>
      <c r="H23" s="137"/>
    </row>
    <row r="24" spans="2:8" ht="15" customHeight="1">
      <c r="B24" s="154" t="s">
        <v>79</v>
      </c>
      <c r="C24" s="148"/>
      <c r="D24" s="149"/>
      <c r="E24" s="150">
        <f>SUM(E25:E28)</f>
        <v>0</v>
      </c>
      <c r="F24" s="150">
        <f>SUM(F25:F28)</f>
        <v>0</v>
      </c>
      <c r="G24" s="150">
        <f t="shared" ref="G24" si="1">SUM(G25:G28)</f>
        <v>0</v>
      </c>
      <c r="H24" s="151"/>
    </row>
    <row r="25" spans="2:8" ht="14.25" customHeight="1">
      <c r="B25" s="155" t="s">
        <v>75</v>
      </c>
      <c r="C25" s="133"/>
      <c r="D25" s="134"/>
      <c r="E25" s="153"/>
      <c r="F25" s="153"/>
      <c r="G25" s="136"/>
      <c r="H25" s="156"/>
    </row>
    <row r="26" spans="2:8" ht="15" customHeight="1">
      <c r="B26" s="155" t="s">
        <v>78</v>
      </c>
      <c r="C26" s="127"/>
      <c r="D26" s="128"/>
      <c r="E26" s="153"/>
      <c r="F26" s="153"/>
      <c r="G26" s="136"/>
      <c r="H26" s="157"/>
    </row>
    <row r="27" spans="2:8" ht="15" customHeight="1">
      <c r="B27" s="155" t="s">
        <v>76</v>
      </c>
      <c r="C27" s="133"/>
      <c r="D27" s="134"/>
      <c r="E27" s="153"/>
      <c r="F27" s="153"/>
      <c r="G27" s="136"/>
      <c r="H27" s="156"/>
    </row>
    <row r="28" spans="2:8" ht="15" customHeight="1">
      <c r="B28" s="155" t="s">
        <v>77</v>
      </c>
      <c r="C28" s="133"/>
      <c r="D28" s="134"/>
      <c r="E28" s="153"/>
      <c r="F28" s="153"/>
      <c r="G28" s="136"/>
      <c r="H28" s="156"/>
    </row>
    <row r="29" spans="2:8" ht="15" customHeight="1">
      <c r="B29" s="147" t="s">
        <v>88</v>
      </c>
      <c r="C29" s="148"/>
      <c r="D29" s="149"/>
      <c r="E29" s="150">
        <f>SUM(E30:E33)</f>
        <v>0</v>
      </c>
      <c r="F29" s="150">
        <f>SUM(F30:F33)</f>
        <v>0</v>
      </c>
      <c r="G29" s="150">
        <f t="shared" ref="G29" si="2">SUM(G30:G33)</f>
        <v>0</v>
      </c>
      <c r="H29" s="151"/>
    </row>
    <row r="30" spans="2:8" ht="14.25" customHeight="1">
      <c r="B30" s="152" t="s">
        <v>75</v>
      </c>
      <c r="C30" s="133"/>
      <c r="D30" s="134"/>
      <c r="E30" s="153"/>
      <c r="F30" s="153"/>
      <c r="G30" s="136"/>
      <c r="H30" s="137"/>
    </row>
    <row r="31" spans="2:8" ht="14.25" customHeight="1">
      <c r="B31" s="152" t="s">
        <v>87</v>
      </c>
      <c r="C31" s="127"/>
      <c r="D31" s="128"/>
      <c r="E31" s="153"/>
      <c r="F31" s="153"/>
      <c r="G31" s="136"/>
      <c r="H31" s="131"/>
    </row>
    <row r="32" spans="2:8" ht="14.25" customHeight="1">
      <c r="B32" s="142" t="s">
        <v>76</v>
      </c>
      <c r="C32" s="133"/>
      <c r="D32" s="134"/>
      <c r="E32" s="153"/>
      <c r="F32" s="153"/>
      <c r="G32" s="136"/>
      <c r="H32" s="137"/>
    </row>
    <row r="33" spans="2:8" ht="14.25" customHeight="1">
      <c r="B33" s="142" t="s">
        <v>77</v>
      </c>
      <c r="C33" s="133"/>
      <c r="D33" s="134"/>
      <c r="E33" s="153"/>
      <c r="F33" s="153"/>
      <c r="G33" s="136"/>
      <c r="H33" s="137"/>
    </row>
    <row r="34" spans="2:8" ht="15" customHeight="1">
      <c r="B34" s="154" t="s">
        <v>80</v>
      </c>
      <c r="C34" s="148"/>
      <c r="D34" s="149"/>
      <c r="E34" s="150">
        <f>SUM(E35:E39)</f>
        <v>0</v>
      </c>
      <c r="F34" s="150">
        <f>SUM(F35:F39)</f>
        <v>0</v>
      </c>
      <c r="G34" s="150">
        <f t="shared" ref="G34" si="3">SUM(G35:G39)</f>
        <v>0</v>
      </c>
      <c r="H34" s="151"/>
    </row>
    <row r="35" spans="2:8" ht="14.25" customHeight="1">
      <c r="B35" s="155" t="s">
        <v>89</v>
      </c>
      <c r="C35" s="133"/>
      <c r="D35" s="134"/>
      <c r="E35" s="153"/>
      <c r="F35" s="153"/>
      <c r="G35" s="136"/>
      <c r="H35" s="156"/>
    </row>
    <row r="36" spans="2:8" ht="15" customHeight="1">
      <c r="B36" s="155" t="s">
        <v>75</v>
      </c>
      <c r="C36" s="127"/>
      <c r="D36" s="128"/>
      <c r="E36" s="153"/>
      <c r="F36" s="153"/>
      <c r="G36" s="136"/>
      <c r="H36" s="157"/>
    </row>
    <row r="37" spans="2:8" ht="15" customHeight="1">
      <c r="B37" s="155" t="s">
        <v>78</v>
      </c>
      <c r="C37" s="133"/>
      <c r="D37" s="134"/>
      <c r="E37" s="153"/>
      <c r="F37" s="153"/>
      <c r="G37" s="136"/>
      <c r="H37" s="156"/>
    </row>
    <row r="38" spans="2:8" ht="15" customHeight="1">
      <c r="B38" s="155" t="s">
        <v>76</v>
      </c>
      <c r="C38" s="133"/>
      <c r="D38" s="134"/>
      <c r="E38" s="153"/>
      <c r="F38" s="153"/>
      <c r="G38" s="136"/>
      <c r="H38" s="156"/>
    </row>
    <row r="39" spans="2:8" ht="15" customHeight="1">
      <c r="B39" s="155" t="s">
        <v>77</v>
      </c>
      <c r="C39" s="133"/>
      <c r="D39" s="134"/>
      <c r="E39" s="153"/>
      <c r="F39" s="153"/>
      <c r="G39" s="136"/>
      <c r="H39" s="156"/>
    </row>
    <row r="40" spans="2:8" ht="14.25" customHeight="1">
      <c r="B40" s="147" t="s">
        <v>90</v>
      </c>
      <c r="C40" s="148"/>
      <c r="D40" s="149"/>
      <c r="E40" s="150">
        <f>SUM(E41:E44)</f>
        <v>0</v>
      </c>
      <c r="F40" s="150">
        <f>SUM(F41:F44)</f>
        <v>0</v>
      </c>
      <c r="G40" s="150">
        <f t="shared" ref="G40" si="4">SUM(G41:G44)</f>
        <v>0</v>
      </c>
      <c r="H40" s="151"/>
    </row>
    <row r="41" spans="2:8" ht="14.25" customHeight="1">
      <c r="B41" s="152" t="s">
        <v>75</v>
      </c>
      <c r="C41" s="133"/>
      <c r="D41" s="134"/>
      <c r="E41" s="153"/>
      <c r="F41" s="153"/>
      <c r="G41" s="136"/>
      <c r="H41" s="137"/>
    </row>
    <row r="42" spans="2:8" ht="14.25" customHeight="1">
      <c r="B42" s="152" t="s">
        <v>87</v>
      </c>
      <c r="C42" s="127"/>
      <c r="D42" s="128"/>
      <c r="E42" s="153"/>
      <c r="F42" s="153"/>
      <c r="G42" s="136"/>
      <c r="H42" s="131"/>
    </row>
    <row r="43" spans="2:8" ht="14.25" customHeight="1">
      <c r="B43" s="142" t="s">
        <v>76</v>
      </c>
      <c r="C43" s="133"/>
      <c r="D43" s="134"/>
      <c r="E43" s="153"/>
      <c r="F43" s="153"/>
      <c r="G43" s="136"/>
      <c r="H43" s="137"/>
    </row>
    <row r="44" spans="2:8" ht="14.25" customHeight="1">
      <c r="B44" s="142" t="s">
        <v>77</v>
      </c>
      <c r="C44" s="133"/>
      <c r="D44" s="134"/>
      <c r="E44" s="153"/>
      <c r="F44" s="153"/>
      <c r="G44" s="136"/>
      <c r="H44" s="137"/>
    </row>
    <row r="45" spans="2:8" ht="15" customHeight="1">
      <c r="B45" s="147" t="s">
        <v>91</v>
      </c>
      <c r="C45" s="148"/>
      <c r="D45" s="149"/>
      <c r="E45" s="150">
        <f>SUM(E46:E49)</f>
        <v>0</v>
      </c>
      <c r="F45" s="150">
        <f>SUM(F46:F49)</f>
        <v>0</v>
      </c>
      <c r="G45" s="150">
        <f>SUM(G46:G49)</f>
        <v>0</v>
      </c>
      <c r="H45" s="151"/>
    </row>
    <row r="46" spans="2:8" ht="14.25" customHeight="1">
      <c r="B46" s="142" t="s">
        <v>75</v>
      </c>
      <c r="C46" s="133"/>
      <c r="D46" s="134"/>
      <c r="E46" s="153"/>
      <c r="F46" s="153"/>
      <c r="G46" s="136"/>
      <c r="H46" s="137"/>
    </row>
    <row r="47" spans="2:8" ht="14.25" customHeight="1">
      <c r="B47" s="152" t="s">
        <v>87</v>
      </c>
      <c r="C47" s="133"/>
      <c r="D47" s="134"/>
      <c r="E47" s="153"/>
      <c r="F47" s="153"/>
      <c r="G47" s="136"/>
      <c r="H47" s="137"/>
    </row>
    <row r="48" spans="2:8" ht="14.25" customHeight="1">
      <c r="B48" s="142" t="s">
        <v>76</v>
      </c>
      <c r="C48" s="133"/>
      <c r="D48" s="134"/>
      <c r="E48" s="153"/>
      <c r="F48" s="153"/>
      <c r="G48" s="136"/>
      <c r="H48" s="137"/>
    </row>
    <row r="49" spans="1:8" ht="14.25" customHeight="1">
      <c r="B49" s="142" t="s">
        <v>77</v>
      </c>
      <c r="C49" s="133"/>
      <c r="D49" s="134"/>
      <c r="E49" s="153"/>
      <c r="F49" s="153"/>
      <c r="G49" s="136"/>
      <c r="H49" s="137"/>
    </row>
    <row r="50" spans="1:8" ht="14.25" customHeight="1">
      <c r="B50" s="147" t="s">
        <v>92</v>
      </c>
      <c r="C50" s="148"/>
      <c r="D50" s="149"/>
      <c r="E50" s="150">
        <f>SUM(E51:E54)</f>
        <v>0</v>
      </c>
      <c r="F50" s="150">
        <f>SUM(F51:F54)</f>
        <v>0</v>
      </c>
      <c r="G50" s="150">
        <f t="shared" ref="G50" si="5">SUM(G51:G54)</f>
        <v>0</v>
      </c>
      <c r="H50" s="151"/>
    </row>
    <row r="51" spans="1:8" ht="14.25" customHeight="1">
      <c r="B51" s="152" t="s">
        <v>75</v>
      </c>
      <c r="C51" s="133"/>
      <c r="D51" s="134"/>
      <c r="E51" s="153"/>
      <c r="F51" s="153"/>
      <c r="G51" s="158"/>
      <c r="H51" s="137"/>
    </row>
    <row r="52" spans="1:8" ht="14.25" customHeight="1">
      <c r="B52" s="152" t="s">
        <v>87</v>
      </c>
      <c r="C52" s="127"/>
      <c r="D52" s="128"/>
      <c r="E52" s="153"/>
      <c r="F52" s="153"/>
      <c r="G52" s="136"/>
      <c r="H52" s="131"/>
    </row>
    <row r="53" spans="1:8" ht="14.25" customHeight="1">
      <c r="B53" s="142" t="s">
        <v>76</v>
      </c>
      <c r="C53" s="133"/>
      <c r="D53" s="134"/>
      <c r="E53" s="153"/>
      <c r="F53" s="153"/>
      <c r="G53" s="136"/>
      <c r="H53" s="137"/>
    </row>
    <row r="54" spans="1:8" ht="14.25" customHeight="1">
      <c r="B54" s="142" t="s">
        <v>77</v>
      </c>
      <c r="C54" s="133"/>
      <c r="D54" s="134"/>
      <c r="E54" s="153"/>
      <c r="F54" s="153"/>
      <c r="G54" s="136"/>
      <c r="H54" s="137"/>
    </row>
    <row r="55" spans="1:8" ht="14.25" customHeight="1">
      <c r="B55" s="147" t="s">
        <v>93</v>
      </c>
      <c r="C55" s="148"/>
      <c r="D55" s="149"/>
      <c r="E55" s="150">
        <f>SUM(E56:E59)</f>
        <v>0</v>
      </c>
      <c r="F55" s="150">
        <f>SUM(F56:F59)</f>
        <v>0</v>
      </c>
      <c r="G55" s="150">
        <f t="shared" ref="G55" si="6">SUM(G56:G59)</f>
        <v>0</v>
      </c>
      <c r="H55" s="151"/>
    </row>
    <row r="56" spans="1:8" ht="14.25" customHeight="1">
      <c r="B56" s="152" t="s">
        <v>75</v>
      </c>
      <c r="C56" s="133"/>
      <c r="D56" s="134"/>
      <c r="E56" s="153"/>
      <c r="F56" s="153"/>
      <c r="G56" s="136"/>
      <c r="H56" s="137"/>
    </row>
    <row r="57" spans="1:8" ht="14.25" customHeight="1">
      <c r="B57" s="152" t="s">
        <v>87</v>
      </c>
      <c r="C57" s="133"/>
      <c r="D57" s="134"/>
      <c r="E57" s="153"/>
      <c r="F57" s="153"/>
      <c r="G57" s="136"/>
      <c r="H57" s="137"/>
    </row>
    <row r="58" spans="1:8" ht="14.25" customHeight="1">
      <c r="B58" s="142" t="s">
        <v>76</v>
      </c>
      <c r="C58" s="133"/>
      <c r="D58" s="134"/>
      <c r="E58" s="153"/>
      <c r="F58" s="153"/>
      <c r="G58" s="136"/>
      <c r="H58" s="137"/>
    </row>
    <row r="59" spans="1:8" ht="14.25" customHeight="1">
      <c r="B59" s="142" t="s">
        <v>77</v>
      </c>
      <c r="C59" s="133"/>
      <c r="D59" s="134"/>
      <c r="E59" s="153"/>
      <c r="F59" s="153"/>
      <c r="G59" s="136"/>
      <c r="H59" s="137"/>
    </row>
    <row r="60" spans="1:8" ht="14.25" customHeight="1">
      <c r="A60" t="s">
        <v>10</v>
      </c>
      <c r="B60" s="147" t="s">
        <v>81</v>
      </c>
      <c r="C60" s="148"/>
      <c r="D60" s="149"/>
      <c r="E60" s="150">
        <f>SUM(E61:E64)</f>
        <v>0</v>
      </c>
      <c r="F60" s="150">
        <f>SUM(F61:F64)</f>
        <v>0</v>
      </c>
      <c r="G60" s="150">
        <f t="shared" ref="G60" si="7">SUM(G61:G64)</f>
        <v>0</v>
      </c>
      <c r="H60" s="151"/>
    </row>
    <row r="61" spans="1:8" ht="14.25" customHeight="1">
      <c r="B61" s="142" t="s">
        <v>94</v>
      </c>
      <c r="C61" s="133"/>
      <c r="D61" s="134"/>
      <c r="E61" s="153"/>
      <c r="F61" s="153"/>
      <c r="G61" s="136"/>
      <c r="H61" s="137"/>
    </row>
    <row r="62" spans="1:8" ht="14.25" customHeight="1">
      <c r="B62" s="152" t="s">
        <v>87</v>
      </c>
      <c r="C62" s="127"/>
      <c r="D62" s="128"/>
      <c r="E62" s="153"/>
      <c r="F62" s="153"/>
      <c r="G62" s="136"/>
      <c r="H62" s="131"/>
    </row>
    <row r="63" spans="1:8" ht="14.25" customHeight="1">
      <c r="B63" s="142" t="s">
        <v>76</v>
      </c>
      <c r="C63" s="133"/>
      <c r="D63" s="134"/>
      <c r="E63" s="153"/>
      <c r="F63" s="153"/>
      <c r="G63" s="136"/>
      <c r="H63" s="137"/>
    </row>
    <row r="64" spans="1:8" ht="14.25" customHeight="1">
      <c r="B64" s="142" t="s">
        <v>77</v>
      </c>
      <c r="C64" s="133"/>
      <c r="D64" s="134"/>
      <c r="E64" s="153"/>
      <c r="F64" s="153"/>
      <c r="G64" s="136"/>
      <c r="H64" s="137"/>
    </row>
    <row r="65" spans="2:8" ht="15" customHeight="1">
      <c r="B65" s="147" t="s">
        <v>95</v>
      </c>
      <c r="C65" s="148"/>
      <c r="D65" s="149"/>
      <c r="E65" s="150">
        <f>SUM(E66:E69)</f>
        <v>0</v>
      </c>
      <c r="F65" s="150">
        <f>SUM(F66:F69)</f>
        <v>0</v>
      </c>
      <c r="G65" s="150">
        <f t="shared" ref="G65" si="8">SUM(G66:G69)</f>
        <v>0</v>
      </c>
      <c r="H65" s="151"/>
    </row>
    <row r="66" spans="2:8" ht="14.25" customHeight="1">
      <c r="B66" s="152" t="s">
        <v>75</v>
      </c>
      <c r="C66" s="133"/>
      <c r="D66" s="134"/>
      <c r="E66" s="153"/>
      <c r="F66" s="153"/>
      <c r="G66" s="136"/>
      <c r="H66" s="137"/>
    </row>
    <row r="67" spans="2:8" ht="14.25" customHeight="1">
      <c r="B67" s="152" t="s">
        <v>87</v>
      </c>
      <c r="C67" s="133"/>
      <c r="D67" s="134"/>
      <c r="E67" s="153"/>
      <c r="F67" s="153"/>
      <c r="G67" s="136"/>
      <c r="H67" s="131"/>
    </row>
    <row r="68" spans="2:8" ht="14.25" customHeight="1">
      <c r="B68" s="142" t="s">
        <v>76</v>
      </c>
      <c r="C68" s="133"/>
      <c r="D68" s="134"/>
      <c r="E68" s="153"/>
      <c r="F68" s="153"/>
      <c r="G68" s="136"/>
      <c r="H68" s="137"/>
    </row>
    <row r="69" spans="2:8" ht="14.25" customHeight="1">
      <c r="B69" s="142" t="s">
        <v>77</v>
      </c>
      <c r="C69" s="133"/>
      <c r="D69" s="134"/>
      <c r="E69" s="153"/>
      <c r="F69" s="153"/>
      <c r="G69" s="136"/>
      <c r="H69" s="137"/>
    </row>
    <row r="70" spans="2:8" ht="14.25" customHeight="1">
      <c r="B70" s="143" t="s">
        <v>113</v>
      </c>
      <c r="C70" s="144"/>
      <c r="D70" s="140"/>
      <c r="E70" s="145"/>
      <c r="F70" s="145"/>
      <c r="G70" s="145"/>
      <c r="H70" s="146"/>
    </row>
    <row r="71" spans="2:8" ht="14.25" customHeight="1">
      <c r="B71" s="142" t="s">
        <v>82</v>
      </c>
      <c r="C71" s="133"/>
      <c r="D71" s="134"/>
      <c r="E71" s="135"/>
      <c r="F71" s="135"/>
      <c r="G71" s="136"/>
      <c r="H71" s="137"/>
    </row>
    <row r="72" spans="2:8" ht="14.25" customHeight="1">
      <c r="B72" s="142" t="s">
        <v>83</v>
      </c>
      <c r="C72" s="133"/>
      <c r="D72" s="134"/>
      <c r="E72" s="135"/>
      <c r="F72" s="135"/>
      <c r="G72" s="136"/>
      <c r="H72" s="137"/>
    </row>
    <row r="73" spans="2:8" ht="14.25" customHeight="1">
      <c r="B73" s="142" t="s">
        <v>84</v>
      </c>
      <c r="C73" s="133"/>
      <c r="D73" s="134"/>
      <c r="E73" s="135"/>
      <c r="F73" s="135"/>
      <c r="G73" s="136"/>
      <c r="H73" s="137"/>
    </row>
    <row r="74" spans="2:8" ht="14.25" customHeight="1">
      <c r="B74" s="142" t="s">
        <v>96</v>
      </c>
      <c r="C74" s="133"/>
      <c r="D74" s="134"/>
      <c r="E74" s="135"/>
      <c r="F74" s="135"/>
      <c r="G74" s="136"/>
      <c r="H74" s="137"/>
    </row>
    <row r="75" spans="2:8" ht="14.25" customHeight="1">
      <c r="B75" s="142" t="s">
        <v>60</v>
      </c>
      <c r="C75" s="133"/>
      <c r="D75" s="134"/>
      <c r="E75" s="135"/>
      <c r="F75" s="135"/>
      <c r="G75" s="136"/>
      <c r="H75" s="137"/>
    </row>
    <row r="76" spans="2:8" ht="14.25" customHeight="1">
      <c r="B76" s="159" t="s">
        <v>114</v>
      </c>
      <c r="C76" s="133"/>
      <c r="D76" s="134"/>
      <c r="E76" s="135"/>
      <c r="F76" s="135"/>
      <c r="G76" s="136"/>
      <c r="H76" s="137"/>
    </row>
    <row r="77" spans="2:8" ht="14.25" customHeight="1">
      <c r="B77" s="143" t="s">
        <v>115</v>
      </c>
      <c r="C77" s="144"/>
      <c r="D77" s="145"/>
      <c r="E77" s="145"/>
      <c r="F77" s="145"/>
      <c r="G77" s="145"/>
      <c r="H77" s="160"/>
    </row>
    <row r="78" spans="2:8" ht="14.25" customHeight="1">
      <c r="B78" s="161" t="s">
        <v>116</v>
      </c>
      <c r="C78" s="162"/>
      <c r="D78" s="163"/>
      <c r="E78" s="164"/>
      <c r="F78" s="164"/>
      <c r="G78" s="165"/>
      <c r="H78" s="166"/>
    </row>
    <row r="79" spans="2:8" ht="14.25" customHeight="1" thickBot="1">
      <c r="B79" s="167"/>
      <c r="C79" s="168"/>
      <c r="D79" s="169"/>
      <c r="E79" s="170"/>
      <c r="F79" s="170"/>
      <c r="G79" s="170"/>
      <c r="H79" s="171"/>
    </row>
    <row r="80" spans="2:8" ht="34" customHeight="1" thickBot="1">
      <c r="B80" s="172" t="s">
        <v>117</v>
      </c>
      <c r="C80" s="173"/>
      <c r="D80" s="174"/>
      <c r="E80" s="175">
        <f>SUM(E45,E50,E65,E55,E19,E40,E29,E15,E60,E34,E24,E70)</f>
        <v>0</v>
      </c>
      <c r="F80" s="176">
        <f>SUM(F45,F50,F65,F55,F19,F40,F29,F15,F60,F34,F24,F70)</f>
        <v>0</v>
      </c>
      <c r="G80" s="177">
        <f>SUM(G45,G50,G65,G55,G19,G40,G29,G15,G60,G34,G24,G70)</f>
        <v>0</v>
      </c>
      <c r="H80" s="178"/>
    </row>
    <row r="81" spans="2:9" ht="29" customHeight="1" thickBot="1">
      <c r="B81" s="179" t="s">
        <v>118</v>
      </c>
      <c r="C81" s="180"/>
      <c r="D81" s="181"/>
      <c r="E81" s="182">
        <f>E3*E80</f>
        <v>0</v>
      </c>
      <c r="F81" s="182">
        <f>F80*F3</f>
        <v>0</v>
      </c>
      <c r="G81" s="183">
        <f>G80*G3</f>
        <v>0</v>
      </c>
      <c r="H81" s="184"/>
    </row>
    <row r="82" spans="2:9" ht="34" customHeight="1" thickBot="1">
      <c r="B82" s="179" t="s">
        <v>119</v>
      </c>
      <c r="C82" s="185"/>
      <c r="D82" s="186">
        <f>SUM(D4:D77)</f>
        <v>0</v>
      </c>
      <c r="E82" s="189"/>
      <c r="F82" s="187"/>
      <c r="G82" s="187"/>
      <c r="H82" s="188">
        <f>SUM(E81:G81)</f>
        <v>0</v>
      </c>
    </row>
    <row r="83" spans="2:9" ht="14.25" customHeight="1">
      <c r="B83" s="190"/>
      <c r="C83" s="190"/>
      <c r="D83" s="190"/>
      <c r="E83" s="190"/>
      <c r="F83" s="190"/>
      <c r="G83" s="190"/>
      <c r="H83" s="190"/>
      <c r="I83" s="190"/>
    </row>
    <row r="84" spans="2:9" ht="14.25" customHeight="1">
      <c r="D84"/>
      <c r="H84"/>
    </row>
    <row r="85" spans="2:9" ht="14.25" customHeight="1">
      <c r="D85"/>
      <c r="H85"/>
    </row>
    <row r="86" spans="2:9" ht="14.25" customHeight="1">
      <c r="D86"/>
      <c r="H86"/>
    </row>
    <row r="87" spans="2:9" ht="14.25" customHeight="1">
      <c r="D87"/>
      <c r="H87"/>
    </row>
    <row r="88" spans="2:9" ht="14.25" customHeight="1">
      <c r="D88"/>
      <c r="H88"/>
    </row>
    <row r="89" spans="2:9" ht="14.25" customHeight="1">
      <c r="D89"/>
      <c r="H89"/>
    </row>
    <row r="90" spans="2:9" ht="14.25" customHeight="1">
      <c r="D90"/>
      <c r="H90"/>
    </row>
    <row r="91" spans="2:9" ht="14.25" customHeight="1">
      <c r="D91"/>
      <c r="H91"/>
    </row>
    <row r="92" spans="2:9" ht="14.25" customHeight="1">
      <c r="D92"/>
      <c r="H92"/>
    </row>
    <row r="93" spans="2:9" ht="14.25" customHeight="1">
      <c r="D93"/>
      <c r="H93"/>
    </row>
    <row r="94" spans="2:9" ht="14.25" customHeight="1">
      <c r="D94"/>
      <c r="H94"/>
    </row>
    <row r="95" spans="2:9" ht="14.25" customHeight="1">
      <c r="D95"/>
      <c r="H95"/>
    </row>
    <row r="96" spans="2:9" ht="14.25" customHeight="1">
      <c r="D96"/>
      <c r="H96"/>
    </row>
    <row r="97" customFormat="1" ht="14.25" customHeight="1"/>
    <row r="98" customFormat="1" ht="14.25" customHeight="1"/>
    <row r="99" customFormat="1" ht="14.25" customHeight="1"/>
    <row r="100" customFormat="1" ht="14.25" customHeight="1"/>
    <row r="101" customFormat="1" ht="14.25" customHeight="1"/>
    <row r="102" customFormat="1" ht="14.25" customHeight="1"/>
    <row r="103" customFormat="1" ht="14.25" customHeight="1"/>
    <row r="104" customFormat="1" ht="14.25" customHeight="1"/>
    <row r="105" customFormat="1" ht="14.25" customHeight="1"/>
    <row r="106" customFormat="1" ht="14.25" customHeight="1"/>
    <row r="107" customFormat="1" ht="14.25" customHeight="1"/>
    <row r="108" customFormat="1" ht="14.25" customHeight="1"/>
    <row r="109" customFormat="1" ht="14.25" customHeight="1"/>
    <row r="110" customFormat="1" ht="14.25" customHeight="1"/>
    <row r="111" customFormat="1" ht="14.25" customHeight="1"/>
    <row r="112" customFormat="1" ht="14.25" customHeight="1"/>
    <row r="113" customFormat="1" ht="14.25" customHeight="1"/>
    <row r="114" customFormat="1" ht="14.25" customHeight="1"/>
    <row r="115" customFormat="1" ht="14.25" customHeight="1"/>
    <row r="116" customFormat="1" ht="14.25" customHeight="1"/>
    <row r="117" customFormat="1" ht="14.25" customHeight="1"/>
    <row r="118" customFormat="1" ht="14.25" customHeight="1"/>
    <row r="119" customFormat="1" ht="14.25" customHeight="1"/>
    <row r="120" customFormat="1" ht="14.25" customHeight="1"/>
    <row r="121" customFormat="1" ht="14.25" customHeight="1"/>
    <row r="122" customFormat="1" ht="14.25" customHeight="1"/>
    <row r="123" customFormat="1" ht="14.25" customHeight="1"/>
    <row r="124" customFormat="1" ht="14.25" customHeight="1"/>
    <row r="125" customFormat="1" ht="14.25" customHeight="1"/>
    <row r="126" customFormat="1" ht="14.25" customHeight="1"/>
    <row r="127" customFormat="1" ht="14.25" customHeight="1"/>
    <row r="128" customFormat="1" ht="14.25" customHeight="1"/>
    <row r="129" customFormat="1" ht="14.25" customHeight="1"/>
    <row r="130" customFormat="1" ht="14.25" customHeight="1"/>
    <row r="131" customFormat="1" ht="14.25" customHeight="1"/>
    <row r="132" customFormat="1" ht="14.25" customHeight="1"/>
    <row r="133" customFormat="1" ht="14.25" customHeight="1"/>
    <row r="134" customFormat="1" ht="14.25" customHeight="1"/>
    <row r="135" customFormat="1" ht="14.25" customHeight="1"/>
    <row r="136" customFormat="1" ht="14.25" customHeight="1"/>
    <row r="137" customFormat="1" ht="14.25" customHeight="1"/>
    <row r="138" customFormat="1" ht="14.25" customHeight="1"/>
    <row r="139" customFormat="1" ht="14.25" customHeight="1"/>
    <row r="140" customFormat="1" ht="14.25" customHeight="1"/>
    <row r="141" customFormat="1" ht="14.25" customHeight="1"/>
    <row r="142" customFormat="1" ht="14.25" customHeight="1"/>
    <row r="143" customFormat="1" ht="14.25" customHeight="1"/>
    <row r="144" customFormat="1" ht="14.25" customHeight="1"/>
    <row r="145" spans="4:8" ht="14.25" customHeight="1">
      <c r="D145"/>
      <c r="H145"/>
    </row>
    <row r="146" spans="4:8" ht="14.25" customHeight="1">
      <c r="D146"/>
      <c r="H146"/>
    </row>
    <row r="147" spans="4:8" ht="14.25" customHeight="1">
      <c r="D147"/>
      <c r="H147"/>
    </row>
    <row r="148" spans="4:8" ht="14.25" customHeight="1">
      <c r="D148"/>
      <c r="H148"/>
    </row>
    <row r="149" spans="4:8" ht="14.25" customHeight="1">
      <c r="D149"/>
      <c r="H149"/>
    </row>
    <row r="150" spans="4:8" ht="14.25" customHeight="1">
      <c r="D150"/>
      <c r="H150"/>
    </row>
    <row r="151" spans="4:8" ht="14.25" customHeight="1">
      <c r="D151"/>
      <c r="H151"/>
    </row>
    <row r="152" spans="4:8" ht="14.25" customHeight="1">
      <c r="D152"/>
      <c r="H152"/>
    </row>
    <row r="153" spans="4:8" ht="14.25" customHeight="1">
      <c r="D153"/>
      <c r="H153"/>
    </row>
    <row r="154" spans="4:8" ht="14.25" customHeight="1">
      <c r="D154"/>
      <c r="H154"/>
    </row>
    <row r="155" spans="4:8" ht="14.25" customHeight="1">
      <c r="D155"/>
      <c r="H155"/>
    </row>
    <row r="156" spans="4:8" ht="14.25" customHeight="1">
      <c r="D156"/>
      <c r="H156"/>
    </row>
    <row r="157" spans="4:8" ht="14.25" customHeight="1">
      <c r="D157"/>
      <c r="H157"/>
    </row>
    <row r="158" spans="4:8" ht="14.25" customHeight="1">
      <c r="D158"/>
      <c r="H158"/>
    </row>
    <row r="159" spans="4:8" ht="14.25" customHeight="1">
      <c r="D159"/>
    </row>
    <row r="160" spans="4:8" ht="14.25" customHeight="1">
      <c r="D160"/>
    </row>
    <row r="161" spans="4:4" ht="14.25" customHeight="1">
      <c r="D161"/>
    </row>
    <row r="162" spans="4:4" ht="14.25" customHeight="1">
      <c r="D162"/>
    </row>
    <row r="163" spans="4:4" ht="14.25" customHeight="1">
      <c r="D163"/>
    </row>
    <row r="164" spans="4:4" ht="14.25" customHeight="1">
      <c r="D164"/>
    </row>
    <row r="165" spans="4:4" ht="14.25" customHeight="1">
      <c r="D165"/>
    </row>
    <row r="166" spans="4:4" ht="14.25" customHeight="1">
      <c r="D166"/>
    </row>
    <row r="167" spans="4:4" ht="14.25" customHeight="1">
      <c r="D167"/>
    </row>
    <row r="168" spans="4:4" ht="14.25" customHeight="1">
      <c r="D168"/>
    </row>
    <row r="169" spans="4:4" ht="14.25" customHeight="1">
      <c r="D169"/>
    </row>
    <row r="170" spans="4:4" ht="14.25" customHeight="1">
      <c r="D170"/>
    </row>
    <row r="171" spans="4:4" ht="14.25" customHeight="1">
      <c r="D171"/>
    </row>
    <row r="172" spans="4:4" ht="14.25" customHeight="1">
      <c r="D172"/>
    </row>
    <row r="173" spans="4:4" ht="14.25" customHeight="1">
      <c r="D173"/>
    </row>
    <row r="174" spans="4:4" ht="14.25" customHeight="1">
      <c r="D174"/>
    </row>
    <row r="175" spans="4:4" ht="14.25" customHeight="1">
      <c r="D175"/>
    </row>
    <row r="176" spans="4:4" ht="14.25" customHeight="1">
      <c r="D176"/>
    </row>
    <row r="177" spans="4:4" ht="14.25" customHeight="1">
      <c r="D177"/>
    </row>
    <row r="178" spans="4:4" ht="14.25" customHeight="1">
      <c r="D178"/>
    </row>
    <row r="179" spans="4:4" ht="14.25" customHeight="1">
      <c r="D179"/>
    </row>
    <row r="180" spans="4:4" ht="14.25" customHeight="1">
      <c r="D180"/>
    </row>
    <row r="181" spans="4:4" ht="14.25" customHeight="1">
      <c r="D181"/>
    </row>
    <row r="182" spans="4:4" ht="14.25" customHeight="1">
      <c r="D182"/>
    </row>
    <row r="183" spans="4:4" ht="14.25" customHeight="1">
      <c r="D183"/>
    </row>
    <row r="184" spans="4:4" ht="14.25" customHeight="1">
      <c r="D184"/>
    </row>
    <row r="185" spans="4:4" ht="14.25" customHeight="1">
      <c r="D185"/>
    </row>
    <row r="186" spans="4:4" ht="14.25" customHeight="1">
      <c r="D186"/>
    </row>
    <row r="187" spans="4:4" ht="14.25" customHeight="1">
      <c r="D187"/>
    </row>
    <row r="188" spans="4:4" ht="14.25" customHeight="1">
      <c r="D188"/>
    </row>
    <row r="189" spans="4:4" ht="14.25" customHeight="1">
      <c r="D189"/>
    </row>
    <row r="190" spans="4:4" ht="14.25" customHeight="1">
      <c r="D190"/>
    </row>
    <row r="191" spans="4:4" ht="14.25" customHeight="1">
      <c r="D191"/>
    </row>
    <row r="192" spans="4:4" ht="14.25" customHeight="1">
      <c r="D192"/>
    </row>
    <row r="193" spans="4:4" ht="14.25" customHeight="1">
      <c r="D193"/>
    </row>
    <row r="194" spans="4:4" ht="14.25" customHeight="1">
      <c r="D194"/>
    </row>
    <row r="195" spans="4:4" ht="14.25" customHeight="1">
      <c r="D195"/>
    </row>
    <row r="196" spans="4:4" ht="14.25" customHeight="1">
      <c r="D196"/>
    </row>
    <row r="197" spans="4:4" ht="14.25" customHeight="1">
      <c r="D197"/>
    </row>
    <row r="198" spans="4:4" ht="14.25" customHeight="1">
      <c r="D198"/>
    </row>
    <row r="199" spans="4:4" ht="14.25" customHeight="1">
      <c r="D199"/>
    </row>
    <row r="200" spans="4:4" ht="14.25" customHeight="1">
      <c r="D200"/>
    </row>
    <row r="201" spans="4:4" ht="14.25" customHeight="1">
      <c r="D201"/>
    </row>
    <row r="202" spans="4:4" ht="14.25" customHeight="1">
      <c r="D202"/>
    </row>
    <row r="203" spans="4:4" ht="14.25" customHeight="1">
      <c r="D203"/>
    </row>
    <row r="204" spans="4:4" ht="14.25" customHeight="1">
      <c r="D204"/>
    </row>
    <row r="205" spans="4:4" ht="14.25" customHeight="1">
      <c r="D205"/>
    </row>
    <row r="206" spans="4:4" ht="14.25" customHeight="1">
      <c r="D206"/>
    </row>
    <row r="207" spans="4:4" ht="14.25" customHeight="1">
      <c r="D207"/>
    </row>
    <row r="208" spans="4:4" ht="14.25" customHeight="1">
      <c r="D208"/>
    </row>
    <row r="209" spans="4:4" ht="14.25" customHeight="1">
      <c r="D209"/>
    </row>
    <row r="210" spans="4:4" ht="14.25" customHeight="1">
      <c r="D210"/>
    </row>
    <row r="211" spans="4:4" ht="14.25" customHeight="1">
      <c r="D211"/>
    </row>
    <row r="212" spans="4:4" ht="14.25" customHeight="1">
      <c r="D212"/>
    </row>
    <row r="213" spans="4:4" ht="14.25" customHeight="1">
      <c r="D213"/>
    </row>
    <row r="214" spans="4:4" ht="14.25" customHeight="1">
      <c r="D214"/>
    </row>
    <row r="215" spans="4:4" ht="14.25" customHeight="1">
      <c r="D215"/>
    </row>
    <row r="216" spans="4:4" ht="14.25" customHeight="1">
      <c r="D216"/>
    </row>
    <row r="217" spans="4:4" ht="14.25" customHeight="1">
      <c r="D217"/>
    </row>
    <row r="218" spans="4:4" ht="14.25" customHeight="1">
      <c r="D218"/>
    </row>
    <row r="219" spans="4:4" ht="14.25" customHeight="1">
      <c r="D219"/>
    </row>
    <row r="220" spans="4:4" ht="14.25" customHeight="1">
      <c r="D220"/>
    </row>
    <row r="221" spans="4:4" ht="14.25" customHeight="1">
      <c r="D221"/>
    </row>
    <row r="222" spans="4:4" ht="14.25" customHeight="1">
      <c r="D222"/>
    </row>
    <row r="223" spans="4:4" ht="14.25" customHeight="1">
      <c r="D223"/>
    </row>
    <row r="224" spans="4:4" ht="14.25" customHeight="1">
      <c r="D224"/>
    </row>
    <row r="225" spans="4:4" ht="14.25" customHeight="1">
      <c r="D225"/>
    </row>
    <row r="226" spans="4:4" ht="14.25" customHeight="1">
      <c r="D226"/>
    </row>
    <row r="227" spans="4:4" ht="14.25" customHeight="1">
      <c r="D227"/>
    </row>
    <row r="228" spans="4:4" ht="14.25" customHeight="1">
      <c r="D228"/>
    </row>
    <row r="229" spans="4:4" ht="14.25" customHeight="1">
      <c r="D229"/>
    </row>
    <row r="230" spans="4:4" ht="14.25" customHeight="1">
      <c r="D230"/>
    </row>
    <row r="231" spans="4:4" ht="14.25" customHeight="1">
      <c r="D231"/>
    </row>
    <row r="232" spans="4:4" ht="14.25" customHeight="1">
      <c r="D232"/>
    </row>
    <row r="233" spans="4:4" ht="14.25" customHeight="1">
      <c r="D233"/>
    </row>
    <row r="234" spans="4:4" ht="14.25" customHeight="1">
      <c r="D234"/>
    </row>
    <row r="235" spans="4:4" ht="14.25" customHeight="1">
      <c r="D235"/>
    </row>
    <row r="236" spans="4:4" ht="14.25" customHeight="1">
      <c r="D236"/>
    </row>
    <row r="237" spans="4:4" ht="14.25" customHeight="1">
      <c r="D237"/>
    </row>
    <row r="238" spans="4:4" ht="14.25" customHeight="1">
      <c r="D238"/>
    </row>
    <row r="239" spans="4:4" ht="14.25" customHeight="1">
      <c r="D239"/>
    </row>
    <row r="240" spans="4:4" ht="14.25" customHeight="1">
      <c r="D240"/>
    </row>
    <row r="241" spans="4:4" ht="14.25" customHeight="1">
      <c r="D241"/>
    </row>
    <row r="242" spans="4:4" ht="14.25" customHeight="1">
      <c r="D242"/>
    </row>
    <row r="243" spans="4:4" ht="14.25" customHeight="1">
      <c r="D243"/>
    </row>
    <row r="244" spans="4:4" ht="14.25" customHeight="1">
      <c r="D244"/>
    </row>
    <row r="245" spans="4:4" ht="14.25" customHeight="1">
      <c r="D245"/>
    </row>
    <row r="246" spans="4:4" ht="14.25" customHeight="1">
      <c r="D246"/>
    </row>
    <row r="247" spans="4:4" ht="14.25" customHeight="1">
      <c r="D247"/>
    </row>
    <row r="248" spans="4:4" ht="14.25" customHeight="1">
      <c r="D248"/>
    </row>
    <row r="249" spans="4:4" ht="14.25" customHeight="1">
      <c r="D249"/>
    </row>
    <row r="250" spans="4:4" ht="14.25" customHeight="1">
      <c r="D250"/>
    </row>
    <row r="251" spans="4:4" ht="14.25" customHeight="1">
      <c r="D251"/>
    </row>
    <row r="252" spans="4:4" ht="14.25" customHeight="1">
      <c r="D252"/>
    </row>
    <row r="253" spans="4:4" ht="14.25" customHeight="1">
      <c r="D253"/>
    </row>
    <row r="254" spans="4:4" ht="14.25" customHeight="1">
      <c r="D254"/>
    </row>
    <row r="255" spans="4:4" ht="14.25" customHeight="1">
      <c r="D255"/>
    </row>
    <row r="256" spans="4:4" ht="14.25" customHeight="1">
      <c r="D256"/>
    </row>
    <row r="257" spans="4:4" ht="14.25" customHeight="1">
      <c r="D257"/>
    </row>
    <row r="258" spans="4:4" ht="14.25" customHeight="1">
      <c r="D258"/>
    </row>
    <row r="259" spans="4:4" ht="14.25" customHeight="1">
      <c r="D259"/>
    </row>
    <row r="260" spans="4:4" ht="14.25" customHeight="1">
      <c r="D260"/>
    </row>
    <row r="261" spans="4:4" ht="14.25" customHeight="1">
      <c r="D261"/>
    </row>
    <row r="262" spans="4:4" ht="14.25" customHeight="1">
      <c r="D262"/>
    </row>
    <row r="263" spans="4:4" ht="14.25" customHeight="1">
      <c r="D263"/>
    </row>
    <row r="264" spans="4:4" ht="14.25" customHeight="1">
      <c r="D264"/>
    </row>
    <row r="265" spans="4:4" ht="14.25" customHeight="1">
      <c r="D265"/>
    </row>
    <row r="266" spans="4:4" ht="14.25" customHeight="1">
      <c r="D266"/>
    </row>
    <row r="267" spans="4:4" ht="14.25" customHeight="1">
      <c r="D267"/>
    </row>
    <row r="268" spans="4:4" ht="14.25" customHeight="1">
      <c r="D268"/>
    </row>
    <row r="269" spans="4:4" ht="14.25" customHeight="1">
      <c r="D269"/>
    </row>
    <row r="270" spans="4:4" ht="14.25" customHeight="1">
      <c r="D270"/>
    </row>
    <row r="271" spans="4:4" ht="14.25" customHeight="1">
      <c r="D271"/>
    </row>
    <row r="272" spans="4:4" ht="14.25" customHeight="1">
      <c r="D272"/>
    </row>
    <row r="273" spans="4:4" ht="14.25" customHeight="1">
      <c r="D273"/>
    </row>
    <row r="274" spans="4:4" ht="14.25" customHeight="1">
      <c r="D274"/>
    </row>
    <row r="275" spans="4:4" ht="14.25" customHeight="1">
      <c r="D275"/>
    </row>
    <row r="276" spans="4:4" ht="14.25" customHeight="1">
      <c r="D276"/>
    </row>
    <row r="277" spans="4:4" ht="14.25" customHeight="1">
      <c r="D277"/>
    </row>
    <row r="278" spans="4:4" ht="14.25" customHeight="1">
      <c r="D278"/>
    </row>
    <row r="279" spans="4:4" ht="14.25" customHeight="1">
      <c r="D279"/>
    </row>
    <row r="280" spans="4:4" ht="14.25" customHeight="1">
      <c r="D280"/>
    </row>
    <row r="281" spans="4:4" ht="14.25" customHeight="1">
      <c r="D281"/>
    </row>
    <row r="282" spans="4:4" ht="14.25" customHeight="1">
      <c r="D282"/>
    </row>
    <row r="283" spans="4:4" ht="14.25" customHeight="1">
      <c r="D283"/>
    </row>
    <row r="284" spans="4:4" ht="14.25" customHeight="1">
      <c r="D284"/>
    </row>
    <row r="285" spans="4:4" ht="14.25" customHeight="1">
      <c r="D285"/>
    </row>
    <row r="286" spans="4:4" ht="14.25" customHeight="1">
      <c r="D286"/>
    </row>
    <row r="287" spans="4:4" ht="14.25" customHeight="1">
      <c r="D287"/>
    </row>
    <row r="288" spans="4:4" ht="14.25" customHeight="1">
      <c r="D288"/>
    </row>
    <row r="289" spans="4:4" ht="14.25" customHeight="1">
      <c r="D289"/>
    </row>
    <row r="290" spans="4:4" ht="14.25" customHeight="1">
      <c r="D290"/>
    </row>
    <row r="291" spans="4:4" ht="14.25" customHeight="1">
      <c r="D291"/>
    </row>
    <row r="292" spans="4:4" ht="14.25" customHeight="1">
      <c r="D292"/>
    </row>
    <row r="293" spans="4:4" ht="14.25" customHeight="1">
      <c r="D293"/>
    </row>
    <row r="294" spans="4:4" ht="14.25" customHeight="1">
      <c r="D294"/>
    </row>
    <row r="295" spans="4:4" ht="14.25" customHeight="1">
      <c r="D295"/>
    </row>
    <row r="296" spans="4:4" ht="14.25" customHeight="1">
      <c r="D296"/>
    </row>
    <row r="297" spans="4:4" ht="14.25" customHeight="1">
      <c r="D297"/>
    </row>
    <row r="298" spans="4:4" ht="14.25" customHeight="1">
      <c r="D298"/>
    </row>
    <row r="299" spans="4:4" ht="14.25" customHeight="1">
      <c r="D299"/>
    </row>
    <row r="300" spans="4:4" ht="14.25" customHeight="1">
      <c r="D300"/>
    </row>
    <row r="301" spans="4:4" ht="14.25" customHeight="1">
      <c r="D301"/>
    </row>
    <row r="302" spans="4:4" ht="14.25" customHeight="1">
      <c r="D302"/>
    </row>
    <row r="303" spans="4:4" ht="14.25" customHeight="1">
      <c r="D303"/>
    </row>
    <row r="304" spans="4:4" ht="14.25" customHeight="1">
      <c r="D304"/>
    </row>
    <row r="305" spans="4:4" ht="14.25" customHeight="1">
      <c r="D305"/>
    </row>
    <row r="306" spans="4:4" ht="14.25" customHeight="1">
      <c r="D306"/>
    </row>
    <row r="307" spans="4:4" ht="14.25" customHeight="1">
      <c r="D307"/>
    </row>
    <row r="308" spans="4:4" ht="14.25" customHeight="1">
      <c r="D308"/>
    </row>
    <row r="309" spans="4:4" ht="14.25" customHeight="1">
      <c r="D309"/>
    </row>
    <row r="310" spans="4:4" ht="14.25" customHeight="1">
      <c r="D310"/>
    </row>
    <row r="311" spans="4:4" ht="14.25" customHeight="1">
      <c r="D311"/>
    </row>
    <row r="312" spans="4:4" ht="14.25" customHeight="1">
      <c r="D312"/>
    </row>
    <row r="313" spans="4:4" ht="14.25" customHeight="1">
      <c r="D313"/>
    </row>
    <row r="314" spans="4:4" ht="14.25" customHeight="1">
      <c r="D314"/>
    </row>
    <row r="315" spans="4:4" ht="14.25" customHeight="1">
      <c r="D315"/>
    </row>
    <row r="316" spans="4:4" ht="14.25" customHeight="1">
      <c r="D316"/>
    </row>
    <row r="317" spans="4:4" ht="14.25" customHeight="1">
      <c r="D317"/>
    </row>
    <row r="318" spans="4:4" ht="14.25" customHeight="1">
      <c r="D318"/>
    </row>
    <row r="319" spans="4:4" ht="14.25" customHeight="1">
      <c r="D319"/>
    </row>
    <row r="320" spans="4:4" ht="14.25" customHeight="1">
      <c r="D320"/>
    </row>
    <row r="321" spans="4:4" ht="14.25" customHeight="1">
      <c r="D321"/>
    </row>
    <row r="322" spans="4:4" ht="14.25" customHeight="1">
      <c r="D322"/>
    </row>
    <row r="323" spans="4:4" ht="14.25" customHeight="1">
      <c r="D323"/>
    </row>
    <row r="324" spans="4:4" ht="14.25" customHeight="1">
      <c r="D324"/>
    </row>
    <row r="325" spans="4:4" ht="14.25" customHeight="1">
      <c r="D325"/>
    </row>
    <row r="326" spans="4:4" ht="14.25" customHeight="1">
      <c r="D326"/>
    </row>
    <row r="327" spans="4:4" ht="14.25" customHeight="1">
      <c r="D327"/>
    </row>
    <row r="328" spans="4:4" ht="14.25" customHeight="1">
      <c r="D328"/>
    </row>
    <row r="329" spans="4:4" ht="14.25" customHeight="1">
      <c r="D329"/>
    </row>
    <row r="330" spans="4:4" ht="14.25" customHeight="1">
      <c r="D330"/>
    </row>
    <row r="331" spans="4:4" ht="14.25" customHeight="1">
      <c r="D331"/>
    </row>
    <row r="332" spans="4:4" ht="14.25" customHeight="1">
      <c r="D332"/>
    </row>
    <row r="333" spans="4:4" ht="14.25" customHeight="1">
      <c r="D333"/>
    </row>
    <row r="334" spans="4:4" ht="14.25" customHeight="1">
      <c r="D334"/>
    </row>
    <row r="335" spans="4:4" ht="14.25" customHeight="1">
      <c r="D335"/>
    </row>
    <row r="336" spans="4:4" ht="14.25" customHeight="1">
      <c r="D336"/>
    </row>
    <row r="337" spans="4:4" ht="14.25" customHeight="1">
      <c r="D337"/>
    </row>
    <row r="338" spans="4:4" ht="14.25" customHeight="1">
      <c r="D338"/>
    </row>
    <row r="339" spans="4:4" ht="14.25" customHeight="1">
      <c r="D339"/>
    </row>
    <row r="340" spans="4:4" ht="14.25" customHeight="1">
      <c r="D340"/>
    </row>
    <row r="341" spans="4:4" ht="14.25" customHeight="1">
      <c r="D341"/>
    </row>
    <row r="342" spans="4:4" ht="14.25" customHeight="1">
      <c r="D342"/>
    </row>
    <row r="343" spans="4:4" ht="14.25" customHeight="1">
      <c r="D343"/>
    </row>
    <row r="344" spans="4:4" ht="14.25" customHeight="1">
      <c r="D344"/>
    </row>
    <row r="345" spans="4:4" ht="14.25" customHeight="1">
      <c r="D345"/>
    </row>
    <row r="346" spans="4:4" ht="14.25" customHeight="1">
      <c r="D346"/>
    </row>
    <row r="347" spans="4:4" ht="14.25" customHeight="1">
      <c r="D347"/>
    </row>
    <row r="348" spans="4:4" ht="14.25" customHeight="1">
      <c r="D348"/>
    </row>
    <row r="349" spans="4:4" ht="14.25" customHeight="1">
      <c r="D349"/>
    </row>
    <row r="350" spans="4:4" ht="14.25" customHeight="1">
      <c r="D350"/>
    </row>
    <row r="351" spans="4:4" ht="14.25" customHeight="1">
      <c r="D351"/>
    </row>
    <row r="352" spans="4:4" ht="14.25" customHeight="1">
      <c r="D352"/>
    </row>
    <row r="353" spans="4:4" ht="14.25" customHeight="1">
      <c r="D353"/>
    </row>
    <row r="354" spans="4:4" ht="14.25" customHeight="1">
      <c r="D354"/>
    </row>
    <row r="355" spans="4:4" ht="14.25" customHeight="1">
      <c r="D355"/>
    </row>
    <row r="356" spans="4:4" ht="14.25" customHeight="1">
      <c r="D356"/>
    </row>
    <row r="357" spans="4:4" ht="14.25" customHeight="1">
      <c r="D357"/>
    </row>
    <row r="358" spans="4:4" ht="14.25" customHeight="1">
      <c r="D358"/>
    </row>
    <row r="359" spans="4:4" ht="14.25" customHeight="1">
      <c r="D359"/>
    </row>
    <row r="360" spans="4:4" ht="14.25" customHeight="1">
      <c r="D360"/>
    </row>
    <row r="361" spans="4:4" ht="14.25" customHeight="1">
      <c r="D361"/>
    </row>
    <row r="362" spans="4:4" ht="14.25" customHeight="1">
      <c r="D362"/>
    </row>
    <row r="363" spans="4:4" ht="14.25" customHeight="1">
      <c r="D363"/>
    </row>
    <row r="364" spans="4:4" ht="14.25" customHeight="1">
      <c r="D364"/>
    </row>
    <row r="365" spans="4:4" ht="14.25" customHeight="1">
      <c r="D365"/>
    </row>
    <row r="366" spans="4:4" ht="14.25" customHeight="1">
      <c r="D366"/>
    </row>
    <row r="367" spans="4:4" ht="14.25" customHeight="1">
      <c r="D367"/>
    </row>
    <row r="368" spans="4:4" ht="14.25" customHeight="1">
      <c r="D368"/>
    </row>
    <row r="369" spans="4:4" ht="14.25" customHeight="1">
      <c r="D369"/>
    </row>
    <row r="370" spans="4:4" ht="14.25" customHeight="1">
      <c r="D370"/>
    </row>
    <row r="371" spans="4:4" ht="14.25" customHeight="1">
      <c r="D371"/>
    </row>
    <row r="372" spans="4:4" ht="14.25" customHeight="1">
      <c r="D372"/>
    </row>
    <row r="373" spans="4:4" ht="14.25" customHeight="1">
      <c r="D373"/>
    </row>
    <row r="374" spans="4:4" ht="14.25" customHeight="1">
      <c r="D374"/>
    </row>
    <row r="375" spans="4:4" ht="14.25" customHeight="1">
      <c r="D375"/>
    </row>
    <row r="376" spans="4:4" ht="14.25" customHeight="1">
      <c r="D376"/>
    </row>
    <row r="377" spans="4:4" ht="14.25" customHeight="1">
      <c r="D377"/>
    </row>
    <row r="378" spans="4:4" ht="14.25" customHeight="1">
      <c r="D378"/>
    </row>
    <row r="379" spans="4:4" ht="14.25" customHeight="1">
      <c r="D379"/>
    </row>
    <row r="380" spans="4:4" ht="14.25" customHeight="1">
      <c r="D380"/>
    </row>
    <row r="381" spans="4:4" ht="14.25" customHeight="1">
      <c r="D381"/>
    </row>
    <row r="382" spans="4:4" ht="14.25" customHeight="1">
      <c r="D382"/>
    </row>
    <row r="383" spans="4:4" ht="14.25" customHeight="1">
      <c r="D383"/>
    </row>
    <row r="384" spans="4:4" ht="14.25" customHeight="1">
      <c r="D384"/>
    </row>
    <row r="385" spans="4:4" ht="14.25" customHeight="1">
      <c r="D385"/>
    </row>
    <row r="386" spans="4:4" ht="14.25" customHeight="1">
      <c r="D386"/>
    </row>
    <row r="387" spans="4:4" ht="14.25" customHeight="1">
      <c r="D387"/>
    </row>
    <row r="388" spans="4:4" ht="14.25" customHeight="1">
      <c r="D388"/>
    </row>
    <row r="389" spans="4:4" ht="14.25" customHeight="1">
      <c r="D389"/>
    </row>
    <row r="390" spans="4:4" ht="14.25" customHeight="1">
      <c r="D390"/>
    </row>
    <row r="391" spans="4:4" ht="14.25" customHeight="1">
      <c r="D391"/>
    </row>
    <row r="392" spans="4:4" ht="14.25" customHeight="1">
      <c r="D392"/>
    </row>
    <row r="393" spans="4:4" ht="14.25" customHeight="1">
      <c r="D393"/>
    </row>
    <row r="394" spans="4:4" ht="14.25" customHeight="1">
      <c r="D394"/>
    </row>
    <row r="395" spans="4:4" ht="14.25" customHeight="1">
      <c r="D395"/>
    </row>
    <row r="396" spans="4:4" ht="14.25" customHeight="1">
      <c r="D396"/>
    </row>
    <row r="397" spans="4:4" ht="14.25" customHeight="1">
      <c r="D397"/>
    </row>
    <row r="398" spans="4:4" ht="14.25" customHeight="1">
      <c r="D398"/>
    </row>
    <row r="399" spans="4:4" ht="14.25" customHeight="1">
      <c r="D399"/>
    </row>
    <row r="400" spans="4:4" ht="14.25" customHeight="1">
      <c r="D400"/>
    </row>
    <row r="401" spans="4:4" ht="14.25" customHeight="1">
      <c r="D401"/>
    </row>
    <row r="402" spans="4:4" ht="14.25" customHeight="1">
      <c r="D402"/>
    </row>
    <row r="403" spans="4:4" ht="14.25" customHeight="1">
      <c r="D403"/>
    </row>
    <row r="404" spans="4:4" ht="14.25" customHeight="1">
      <c r="D404"/>
    </row>
    <row r="405" spans="4:4" ht="14.25" customHeight="1">
      <c r="D405"/>
    </row>
    <row r="406" spans="4:4" ht="14.25" customHeight="1">
      <c r="D406"/>
    </row>
    <row r="407" spans="4:4" ht="14.25" customHeight="1">
      <c r="D407"/>
    </row>
    <row r="408" spans="4:4" ht="14.25" customHeight="1">
      <c r="D408"/>
    </row>
    <row r="409" spans="4:4" ht="14.25" customHeight="1">
      <c r="D409"/>
    </row>
    <row r="410" spans="4:4" ht="14.25" customHeight="1">
      <c r="D410"/>
    </row>
    <row r="411" spans="4:4" ht="14.25" customHeight="1">
      <c r="D411"/>
    </row>
    <row r="412" spans="4:4" ht="14.25" customHeight="1">
      <c r="D412"/>
    </row>
    <row r="413" spans="4:4" ht="14.25" customHeight="1">
      <c r="D413"/>
    </row>
    <row r="414" spans="4:4" ht="14.25" customHeight="1">
      <c r="D414"/>
    </row>
    <row r="415" spans="4:4" ht="14.25" customHeight="1">
      <c r="D415"/>
    </row>
    <row r="416" spans="4:4" ht="14.25" customHeight="1">
      <c r="D416"/>
    </row>
    <row r="417" spans="4:4" ht="14.25" customHeight="1">
      <c r="D417"/>
    </row>
    <row r="418" spans="4:4" ht="14.25" customHeight="1">
      <c r="D418"/>
    </row>
    <row r="419" spans="4:4" ht="14.25" customHeight="1">
      <c r="D419"/>
    </row>
    <row r="420" spans="4:4" ht="14.25" customHeight="1">
      <c r="D420"/>
    </row>
    <row r="421" spans="4:4" ht="14.25" customHeight="1">
      <c r="D421"/>
    </row>
    <row r="422" spans="4:4" ht="14.25" customHeight="1">
      <c r="D422"/>
    </row>
    <row r="423" spans="4:4" ht="14.25" customHeight="1">
      <c r="D423"/>
    </row>
    <row r="424" spans="4:4" ht="14.25" customHeight="1">
      <c r="D424"/>
    </row>
    <row r="425" spans="4:4" ht="14.25" customHeight="1">
      <c r="D425"/>
    </row>
    <row r="426" spans="4:4" ht="14.25" customHeight="1">
      <c r="D426"/>
    </row>
    <row r="427" spans="4:4" ht="14.25" customHeight="1">
      <c r="D427"/>
    </row>
    <row r="428" spans="4:4" ht="14.25" customHeight="1">
      <c r="D428"/>
    </row>
    <row r="429" spans="4:4" ht="14.25" customHeight="1">
      <c r="D429"/>
    </row>
    <row r="430" spans="4:4" ht="14.25" customHeight="1">
      <c r="D430"/>
    </row>
    <row r="431" spans="4:4" ht="14.25" customHeight="1">
      <c r="D431"/>
    </row>
    <row r="432" spans="4:4" ht="14.25" customHeight="1">
      <c r="D432"/>
    </row>
    <row r="433" spans="4:4" ht="14.25" customHeight="1">
      <c r="D433"/>
    </row>
    <row r="434" spans="4:4" ht="14.25" customHeight="1">
      <c r="D434"/>
    </row>
    <row r="435" spans="4:4" ht="14.25" customHeight="1">
      <c r="D435"/>
    </row>
    <row r="436" spans="4:4" ht="14.25" customHeight="1">
      <c r="D436"/>
    </row>
    <row r="437" spans="4:4" ht="14.25" customHeight="1">
      <c r="D437"/>
    </row>
    <row r="438" spans="4:4" ht="14.25" customHeight="1">
      <c r="D438"/>
    </row>
    <row r="439" spans="4:4" ht="14.25" customHeight="1">
      <c r="D439"/>
    </row>
    <row r="440" spans="4:4" ht="14.25" customHeight="1">
      <c r="D440"/>
    </row>
    <row r="441" spans="4:4" ht="14.25" customHeight="1">
      <c r="D441"/>
    </row>
    <row r="442" spans="4:4" ht="14.25" customHeight="1">
      <c r="D442"/>
    </row>
    <row r="443" spans="4:4" ht="14.25" customHeight="1">
      <c r="D443"/>
    </row>
    <row r="444" spans="4:4" ht="14.25" customHeight="1">
      <c r="D444"/>
    </row>
    <row r="445" spans="4:4" ht="14.25" customHeight="1">
      <c r="D445"/>
    </row>
    <row r="446" spans="4:4" ht="14.25" customHeight="1">
      <c r="D446"/>
    </row>
    <row r="447" spans="4:4" ht="14.25" customHeight="1">
      <c r="D447"/>
    </row>
    <row r="448" spans="4:4" ht="14.25" customHeight="1">
      <c r="D448"/>
    </row>
    <row r="449" spans="4:4" ht="14.25" customHeight="1">
      <c r="D449"/>
    </row>
    <row r="450" spans="4:4" ht="14.25" customHeight="1">
      <c r="D450"/>
    </row>
    <row r="451" spans="4:4" ht="14.25" customHeight="1">
      <c r="D451"/>
    </row>
    <row r="452" spans="4:4" ht="14.25" customHeight="1">
      <c r="D452"/>
    </row>
    <row r="453" spans="4:4" ht="14.25" customHeight="1">
      <c r="D453"/>
    </row>
    <row r="454" spans="4:4" ht="14.25" customHeight="1">
      <c r="D454"/>
    </row>
    <row r="455" spans="4:4" ht="14.25" customHeight="1">
      <c r="D455"/>
    </row>
    <row r="456" spans="4:4" ht="14.25" customHeight="1">
      <c r="D456"/>
    </row>
    <row r="457" spans="4:4" ht="14.25" customHeight="1">
      <c r="D457"/>
    </row>
    <row r="458" spans="4:4" ht="14.25" customHeight="1">
      <c r="D458"/>
    </row>
    <row r="459" spans="4:4" ht="14.25" customHeight="1">
      <c r="D459"/>
    </row>
    <row r="460" spans="4:4" ht="14.25" customHeight="1">
      <c r="D460"/>
    </row>
    <row r="461" spans="4:4" ht="14.25" customHeight="1">
      <c r="D461"/>
    </row>
    <row r="462" spans="4:4" ht="14.25" customHeight="1">
      <c r="D462"/>
    </row>
    <row r="463" spans="4:4" ht="14.25" customHeight="1">
      <c r="D463"/>
    </row>
    <row r="464" spans="4:4" ht="14.25" customHeight="1">
      <c r="D464"/>
    </row>
    <row r="465" spans="4:4" ht="14.25" customHeight="1">
      <c r="D465"/>
    </row>
    <row r="466" spans="4:4" ht="14.25" customHeight="1">
      <c r="D466"/>
    </row>
    <row r="467" spans="4:4" ht="14.25" customHeight="1">
      <c r="D467"/>
    </row>
    <row r="468" spans="4:4" ht="14.25" customHeight="1">
      <c r="D468"/>
    </row>
    <row r="469" spans="4:4" ht="14.25" customHeight="1">
      <c r="D469"/>
    </row>
    <row r="470" spans="4:4" ht="14.25" customHeight="1">
      <c r="D470"/>
    </row>
    <row r="471" spans="4:4" ht="14.25" customHeight="1">
      <c r="D471"/>
    </row>
    <row r="472" spans="4:4" ht="14.25" customHeight="1">
      <c r="D472"/>
    </row>
    <row r="473" spans="4:4" ht="14.25" customHeight="1">
      <c r="D473"/>
    </row>
    <row r="474" spans="4:4" ht="14.25" customHeight="1">
      <c r="D474"/>
    </row>
    <row r="475" spans="4:4" ht="14.25" customHeight="1">
      <c r="D475"/>
    </row>
    <row r="476" spans="4:4" ht="14.25" customHeight="1"/>
    <row r="477" spans="4:4" ht="14.25" customHeight="1"/>
    <row r="478" spans="4:4" ht="14.25" customHeight="1"/>
    <row r="479" spans="4:4" ht="14.25" customHeight="1"/>
    <row r="480" spans="4:4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53330AF424484386F0A03DE1C50FEE" ma:contentTypeVersion="3" ma:contentTypeDescription="Create a new document." ma:contentTypeScope="" ma:versionID="722d95d4363024040424463134520e7a">
  <xsd:schema xmlns:xsd="http://www.w3.org/2001/XMLSchema" xmlns:xs="http://www.w3.org/2001/XMLSchema" xmlns:p="http://schemas.microsoft.com/office/2006/metadata/properties" xmlns:ns2="0d60e298-e065-4f1a-805f-2baba955768a" targetNamespace="http://schemas.microsoft.com/office/2006/metadata/properties" ma:root="true" ma:fieldsID="eee0e4e90eab3d4101eac401d0ef5437" ns2:_="">
    <xsd:import namespace="0d60e298-e065-4f1a-805f-2baba9557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0e298-e065-4f1a-805f-2baba9557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3B68FB-0CD3-4C34-825F-A9E78F4C6EBB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sharepoint/v3"/>
    <ds:schemaRef ds:uri="http://www.w3.org/XML/1998/namespace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B88A01D-3EEA-4557-B2D7-9D28D117EA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00ADA9-54C0-48A9-B217-1C70B1D0D8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Resource</vt:lpstr>
      <vt:lpstr>Total</vt:lpstr>
      <vt:lpstr>PTTDigital_Manday</vt:lpstr>
      <vt:lpstr>Sheet1</vt:lpstr>
      <vt:lpstr>Vendor Cost</vt:lpstr>
      <vt:lpstr>Plan</vt:lpstr>
      <vt:lpstr>Vendor MD</vt:lpstr>
    </vt:vector>
  </TitlesOfParts>
  <Company>PTTICT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Wannika Jipibhop</dc:creator>
  <cp:lastModifiedBy>Kongdech Hisavanich</cp:lastModifiedBy>
  <cp:lastPrinted>2018-05-11T07:06:57Z</cp:lastPrinted>
  <dcterms:created xsi:type="dcterms:W3CDTF">2014-03-05T16:20:38Z</dcterms:created>
  <dcterms:modified xsi:type="dcterms:W3CDTF">2026-04-07T00:26:16Z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0x010100DB53330AF424484386F0A03DE1C50FEE</vt:lpwstr>
  </property>
</Properties>
</file>