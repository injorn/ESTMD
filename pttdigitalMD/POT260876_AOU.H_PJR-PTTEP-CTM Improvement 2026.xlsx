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omsunhsomburanayut/Documents/Projects/2026/PTTEP-CTM Inprovement/Proposal/Final/"/>
    </mc:Choice>
  </mc:AlternateContent>
  <xr:revisionPtr revIDLastSave="0" documentId="13_ncr:1_{C8578F73-0D93-D14B-8A43-1CE4642815E7}" xr6:coauthVersionLast="47" xr6:coauthVersionMax="47" xr10:uidLastSave="{00000000-0000-0000-0000-000000000000}"/>
  <bookViews>
    <workbookView xWindow="0" yWindow="600" windowWidth="27080" windowHeight="15860" activeTab="1" xr2:uid="{727102D1-17DB-EF4B-934E-4905ED591831}"/>
  </bookViews>
  <sheets>
    <sheet name="Total" sheetId="13" r:id="rId1"/>
    <sheet name="Resource" sheetId="12" r:id="rId2"/>
    <sheet name="Calsheet" sheetId="10" r:id="rId3"/>
    <sheet name="Timeline" sheetId="5" r:id="rId4"/>
    <sheet name="Config" sheetId="2" state="hidden" r:id="rId5"/>
  </sheets>
  <externalReferences>
    <externalReference r:id="rId6"/>
    <externalReference r:id="rId7"/>
  </externalReferences>
  <definedNames>
    <definedName name="_xlnm._FilterDatabase" localSheetId="2" hidden="1">Calsheet!$A$1:$N$2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7" i="10" l="1"/>
  <c r="F117" i="10"/>
  <c r="G117" i="10"/>
  <c r="H117" i="10"/>
  <c r="I117" i="10"/>
  <c r="J117" i="10"/>
  <c r="K117" i="10"/>
  <c r="L117" i="10"/>
  <c r="M117" i="10"/>
  <c r="D117" i="10"/>
  <c r="F5" i="12" l="1"/>
  <c r="F11" i="12"/>
  <c r="F7" i="12"/>
  <c r="F14" i="12"/>
  <c r="F10" i="12"/>
  <c r="F6" i="12"/>
  <c r="F13" i="12"/>
  <c r="F9" i="12"/>
  <c r="F12" i="12"/>
  <c r="F8" i="12"/>
  <c r="B14" i="12"/>
  <c r="B13" i="12"/>
  <c r="B12" i="12"/>
  <c r="B11" i="12"/>
  <c r="B10" i="12"/>
  <c r="B9" i="12"/>
  <c r="B8" i="12"/>
  <c r="B7" i="12"/>
  <c r="B6" i="12"/>
  <c r="B5" i="12"/>
  <c r="D172" i="10"/>
  <c r="F20" i="12" s="1"/>
  <c r="E172" i="10"/>
  <c r="F21" i="12" s="1"/>
  <c r="F172" i="10"/>
  <c r="F22" i="12" s="1"/>
  <c r="G172" i="10"/>
  <c r="F23" i="12" s="1"/>
  <c r="H172" i="10"/>
  <c r="F24" i="12" s="1"/>
  <c r="I172" i="10"/>
  <c r="F25" i="12" s="1"/>
  <c r="J172" i="10"/>
  <c r="F26" i="12" s="1"/>
  <c r="K172" i="10"/>
  <c r="L172" i="10"/>
  <c r="F27" i="12" s="1"/>
  <c r="M172" i="10"/>
  <c r="F28" i="12" s="1"/>
  <c r="G173" i="10" l="1"/>
  <c r="I173" i="10"/>
  <c r="K173" i="10"/>
  <c r="L173" i="10"/>
  <c r="H173" i="10"/>
  <c r="M173" i="10"/>
  <c r="D173" i="10"/>
  <c r="J173" i="10"/>
  <c r="E173" i="10"/>
  <c r="F173" i="10"/>
</calcChain>
</file>

<file path=xl/sharedStrings.xml><?xml version="1.0" encoding="utf-8"?>
<sst xmlns="http://schemas.openxmlformats.org/spreadsheetml/2006/main" count="445" uniqueCount="203">
  <si>
    <t>Total</t>
  </si>
  <si>
    <t>Hi-Po</t>
  </si>
  <si>
    <t>Hi-Po (Spc)</t>
  </si>
  <si>
    <t>Hi-Po (Stf)</t>
  </si>
  <si>
    <t>SSP</t>
  </si>
  <si>
    <t>SSP (Mgr)</t>
  </si>
  <si>
    <t>SSP (Mgt)</t>
  </si>
  <si>
    <t>Promotion (Stf)</t>
  </si>
  <si>
    <t>Promotion (Mgt)</t>
  </si>
  <si>
    <t>No.</t>
  </si>
  <si>
    <t>Module</t>
  </si>
  <si>
    <t>Function Detail</t>
  </si>
  <si>
    <t>SA</t>
  </si>
  <si>
    <t>BA</t>
  </si>
  <si>
    <t>DGT Prioritize</t>
  </si>
  <si>
    <t>ฟังก์ชันให้สามารถเพิ่ม/ลด รายชื่อพนักงานได้เองในระบบ เนื่องจากเมื่อสร้าง Period แล้ว รายชื่อพนักงานจะถูก freeze ไม่สามารถเปลี่ยนแปลงได้</t>
  </si>
  <si>
    <t>ฟังก์ชันให้ user สามารถปรับปรุงข้อมูล ที่ถูก freeze หลังจากสร้าง Period ไปแล้ว ให้สามารถอัพเดตข้อมูลในกระบวนการได้</t>
  </si>
  <si>
    <t>ถ้าพนักงานไม่มีข้อมูล PDA ให้ระบบไม่ต้องแสดงข้อมูล 360 ด้วย</t>
  </si>
  <si>
    <t>ถ้าพนักงานอยู่ Professional Track: Geosciences (GG) ปกติจะเลือกได้เฉพาะ area ของ Geosciences แต่เปิดให้เลือก area ของ Petroleum Engineering ได้ด้วย ส่วนพนักงาน Professional Track: PE, EE, DWE ยังเลือกได้เฉพาะ area ของตนเองเหมือนเดิม</t>
  </si>
  <si>
    <t>เพิ่ม Specialist Area สำหรับ Legal &amp; Compliance และ SSHE</t>
  </si>
  <si>
    <t>หน้า Card view ให้แสดงจำนวนพนักงานในแต่ละ Potential ทั้งหมด ไม่จำกัดแค่ 50 คน</t>
  </si>
  <si>
    <t>หน้า List View และ Card view สำหรับ Comment ให้เพิ่มสีไอคอนในกรณีมีข้อมูล กับไม่มีข้อมูล</t>
  </si>
  <si>
    <t>Email Template ให้เพิ่มคอลัมน์โมดูล และเลือก filter ได้</t>
  </si>
  <si>
    <t>Development</t>
  </si>
  <si>
    <t>Unit Test</t>
  </si>
  <si>
    <t>Name</t>
  </si>
  <si>
    <t>Gittipong Khaodee</t>
  </si>
  <si>
    <t>Thanachai Ardchon</t>
  </si>
  <si>
    <t>Soros Laohaprapa</t>
  </si>
  <si>
    <t>Milestone</t>
  </si>
  <si>
    <t>W1</t>
  </si>
  <si>
    <t>W2</t>
  </si>
  <si>
    <t>W3</t>
  </si>
  <si>
    <t>W4</t>
  </si>
  <si>
    <t>Improvement 2026 #Lot1</t>
  </si>
  <si>
    <t>Infrastructure and DevSecOps</t>
  </si>
  <si>
    <t>Project Preparation Phase</t>
  </si>
  <si>
    <t>- Project Planning</t>
  </si>
  <si>
    <t>- Kick Off Project</t>
  </si>
  <si>
    <t>Requirement and Design Phase</t>
  </si>
  <si>
    <t>- Get Requirement &amp; Design</t>
  </si>
  <si>
    <t>- Prototype UX/UI</t>
  </si>
  <si>
    <t>- Requirement &amp; Design Sign Off</t>
  </si>
  <si>
    <t>Build Application Phase</t>
  </si>
  <si>
    <t>- Development</t>
  </si>
  <si>
    <t>- Unit Test (UT)</t>
  </si>
  <si>
    <t>Testing Phase</t>
  </si>
  <si>
    <t>- Integration Test, System Test</t>
  </si>
  <si>
    <t>- User Acceptance Test (UAT) Promotion</t>
  </si>
  <si>
    <t>- Fix defect</t>
  </si>
  <si>
    <t>- UAT Sign Off</t>
  </si>
  <si>
    <t>Deploy Application Phase</t>
  </si>
  <si>
    <t>- Production Install and Setting</t>
  </si>
  <si>
    <t>Project Clode-Out</t>
  </si>
  <si>
    <t>- Go-Live Sign Off</t>
  </si>
  <si>
    <t>- Post Golive and Support</t>
  </si>
  <si>
    <t>Improvement 2026 #Lot2</t>
  </si>
  <si>
    <t>Promotion Mgt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</si>
  <si>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</si>
  <si>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</si>
  <si>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</si>
  <si>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</si>
  <si>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</si>
  <si>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</si>
  <si>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</si>
  <si>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</si>
  <si>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SUWIT KLANGCHAWIANG</t>
  </si>
  <si>
    <t>KHAJORN WONGSILP</t>
  </si>
  <si>
    <t xml:space="preserve">NATTHAPONG PUTTHIWONG   </t>
  </si>
  <si>
    <t>Somsunh
Somburanayut</t>
  </si>
  <si>
    <t>KRITSADA POOLWAN</t>
  </si>
  <si>
    <t>WIPAVEE PETCHREON</t>
  </si>
  <si>
    <t>Create Project Plan, Other Plans and Integrate to Project Plan</t>
  </si>
  <si>
    <t>Progress Report</t>
  </si>
  <si>
    <t>Phase</t>
  </si>
  <si>
    <t xml:space="preserve">Phase I </t>
  </si>
  <si>
    <t>Project Preparation</t>
  </si>
  <si>
    <t>Phase II</t>
  </si>
  <si>
    <t>Requirement and Sesign Phase</t>
  </si>
  <si>
    <t>Project Management</t>
  </si>
  <si>
    <t>Requirement Spec.</t>
  </si>
  <si>
    <t>Review  and Confirm Requirement Spec.</t>
  </si>
  <si>
    <t>Design Spec.</t>
  </si>
  <si>
    <t>Review  and Confirm Design Spec.</t>
  </si>
  <si>
    <t>Phase III</t>
  </si>
  <si>
    <t>Build</t>
  </si>
  <si>
    <t xml:space="preserve">Test Plan and Schedule </t>
  </si>
  <si>
    <t>Test Case Development Update</t>
  </si>
  <si>
    <t>Test Data Update</t>
  </si>
  <si>
    <t xml:space="preserve">Test Execution </t>
  </si>
  <si>
    <t xml:space="preserve">Defect Management </t>
  </si>
  <si>
    <t xml:space="preserve">Test Reporting and Analysis </t>
  </si>
  <si>
    <t>SIT</t>
  </si>
  <si>
    <t>UAT</t>
  </si>
  <si>
    <t>Performance Test</t>
  </si>
  <si>
    <t>Phase IV</t>
  </si>
  <si>
    <t>Final Preparation</t>
  </si>
  <si>
    <t>QA Process</t>
  </si>
  <si>
    <t>PhaseI V</t>
  </si>
  <si>
    <t>PM</t>
  </si>
  <si>
    <t>Kick Off Project</t>
  </si>
  <si>
    <t>Post Golive abd Support</t>
  </si>
  <si>
    <t>เบื้องต้นจะแบ่งขั้นตอนการทำงานดังนี้
- Email Launching สำหรับ facilitate และส่งเมลแจ้ง Line (SVP,EVP,CEO)
- FG Review ระบบแสดงรายชื่อพนักงานทั้งหมดที่ต้องพิจารณาโปรโมท (VP, SVP)
- CRB Approval ระบบแสดงรายชื่อพนักงานทั้งหมดที่ต้องพิจารณาโปรโมท (VP, SVP)</t>
  </si>
  <si>
    <t>Security</t>
  </si>
  <si>
    <t>Update User Manual</t>
  </si>
  <si>
    <t>Regression Test</t>
  </si>
  <si>
    <t>Team Information</t>
  </si>
  <si>
    <t xml:space="preserve"> Total Manday (Day) </t>
  </si>
  <si>
    <t>Type</t>
  </si>
  <si>
    <t>Role</t>
  </si>
  <si>
    <t>Level</t>
  </si>
  <si>
    <t>Planned (Day)</t>
  </si>
  <si>
    <t>Manday Rate (Baht)</t>
  </si>
  <si>
    <t>Outsource</t>
  </si>
  <si>
    <t xml:space="preserve">Project Manager  </t>
  </si>
  <si>
    <t>Business Analyst</t>
  </si>
  <si>
    <t>System Analyst</t>
  </si>
  <si>
    <t>Developer Full Stack</t>
  </si>
  <si>
    <t>Other Information</t>
  </si>
  <si>
    <t xml:space="preserve"> Total Amount (Baht) </t>
  </si>
  <si>
    <t>Hardware</t>
  </si>
  <si>
    <t xml:space="preserve"> - </t>
  </si>
  <si>
    <t>Software</t>
  </si>
  <si>
    <t>License</t>
  </si>
  <si>
    <t>Allowance</t>
  </si>
  <si>
    <t>ค่าดำเนินโครงการโดยที่ปรึกษาภายนอก</t>
  </si>
  <si>
    <t>DevOps Service</t>
  </si>
  <si>
    <t>หมายเหตุ   ถ้ามีประเภทค่าใช้จ่ายอื่นๆ เพิ่มเติมใน Project เพิ่ม Row ได้</t>
  </si>
  <si>
    <t>Digital Rev (BD Phase)</t>
  </si>
  <si>
    <t>Digital Rev (Development Phase)</t>
  </si>
  <si>
    <t>ค่าเดินทาง</t>
  </si>
  <si>
    <t>จำนวนครั้ง</t>
  </si>
  <si>
    <t>ครั้งละ</t>
  </si>
  <si>
    <t>รวมค่าเดินทาง</t>
  </si>
  <si>
    <t>ค่าเบี้ยเลี้ยง</t>
  </si>
  <si>
    <t>รวมค่าเบี้ยเลี้ยง</t>
  </si>
  <si>
    <t>งวดการชำระเงิน PTT &gt;&gt; PTT Digital</t>
  </si>
  <si>
    <t>%</t>
  </si>
  <si>
    <t>จำนวนเงิน</t>
  </si>
  <si>
    <t>Digital Cost + Vendor</t>
  </si>
  <si>
    <t>Add Overhead</t>
  </si>
  <si>
    <t>งวดการชำระเงิน PTT ICT &gt;&gt; Vendor</t>
  </si>
  <si>
    <t>Margin</t>
  </si>
  <si>
    <t>% Margin</t>
  </si>
  <si>
    <t>งวดที่ 1 : Requirement &amp; Design</t>
  </si>
  <si>
    <t>฿0.00</t>
  </si>
  <si>
    <t>งวดที่ 2 : UAT</t>
  </si>
  <si>
    <t>งวดที่ 3 : Golive</t>
  </si>
  <si>
    <t>Month 9</t>
  </si>
  <si>
    <t>เพิ่มรายงาน Hi-Po for Staff และ Hi-Po for Management โดยให้มีการเปรียบเทียบข้อมูล Potential ของพนักงานในปีปัจจุบัน (ปีที่เลือก Year) เทียบกับข้อมูล Potential ของพนักงานในปีก่อนหน้า (Year-1)</t>
  </si>
  <si>
    <t xml:space="preserve">เพิ่มฟังก์ชันสำหรับเซต Report to ให้ใช้งานกับ Hi-Po (เหมือนกับที่ใช้งานใน Promotion)
</t>
  </si>
  <si>
    <t>การมีการอัพเตด Staff Profile ของ Hi-Po โดยใช้ข้อมูลพื้นฐานเหมือนกับ Promotion และเพิ่มข้อมูล Assignment และ Target position</t>
  </si>
  <si>
    <t xml:space="preserve">ฟังก์ชัน Hi-Po Criteria for Staff (Management and Specialist) ให้เพิ่มเงื่อนไข อายุใน Pre-screening </t>
  </si>
  <si>
    <t xml:space="preserve">ข้อมูล Evidence ที่ต้องระบุเมื่อพนักงานถูกเลือกเป็น Hi-Po Staff ให้รองรับการแนบไฟล์ </t>
  </si>
  <si>
    <t xml:space="preserve">เพิ่มฟังก์ชันให้ Line สามารถดูผลการพิจารณาของพนักงาน หลังจาก CRB ยืนยันแล้ว โดยระบบแสดง Potential สุดท้าย </t>
  </si>
  <si>
    <t xml:space="preserve">ปรับปรุงเงื่อนไขของรายชื่อคนที่จะเป็น Rater ปรับเป็น JG 13 and above ให้ Principal, Specialist, VP attach, National Staff and CT/CX ด้วย
</t>
  </si>
  <si>
    <t xml:space="preserve">รองรับกรณีที่พนักงานในกระบวนการได้ถูกโปรโมทเป็นระดับ Management ให้ระบบทำการ Inactive พนักงาน เพื่อไม่ต้องแสดงรายชื่อ และให้ไปเพิ่มรายชื่อของพนักงานในโมดูล Hi-Po for Management ในกรณีที่อยู่ในช่วงเวลาเดียวกับโมดูล Hi-Po for Staff </t>
  </si>
  <si>
    <t>ฟังก์ชันให้ HR แอดมินสามารถถอยสถานะของระบบได้ ในแต่ละขั้นตอน</t>
  </si>
  <si>
    <t xml:space="preserve">เพิ่มรายงาน Rater Task List แสดงรายชื่อพนักงาน และ Rater </t>
  </si>
  <si>
    <t>ปรับปรุงฟังก์ชันการให้คะแนนของ Rater ให้สามารถบันทึกไว้ก่อน แล้วค่อย submit ภายหลัง</t>
  </si>
  <si>
    <t xml:space="preserve">ปรับปรุงการแสดงผลของตารางที่แสดงรายชื่อพนักงาน ให้ Freeze ในส่วนหัวของตาราง พร้อมกับแสดงรายชื่อพนักงานทั้งหมดในหน้าเดียว </t>
  </si>
  <si>
    <t xml:space="preserve">ฟังก์ชัน Favorite Columns ในหน้า List view เพื่อให้ผู้ใช้งานสามารถเลือกคอลัมน์ที่ต้องการแสดงได้เอง โดยรองรับการเก็บข้อมูลใน Local storage </t>
  </si>
  <si>
    <t>เพิ่ม Tools ที่ช่วยในการแสดงผล ได้แก่ ปรับขนาดตัวอักษร, ไม้บรรทัด และโฟกัส โดยแสดงในทุกหน้าของระบบ และ Master Color Configuration เพื่อเลือก Color แสดงใน Graph</t>
  </si>
  <si>
    <t xml:space="preserve">ปรับปรุงการแสดงผล Card view โดยให้เพิ่มข้อมูล Staff Type และปรับสีของกล่องใหม่ </t>
  </si>
  <si>
    <t xml:space="preserve">ปรับปรุงฟังก์ชันการระบุข้อมูล Evidence และ Comment โดยให้สามารถบันทึกข้อมูลได้ก่อน จากนั้นค่อย Submit ภายหลัง </t>
  </si>
  <si>
    <t xml:space="preserve">ปรับปรุง Filter ในหน้าแสดงรายชื่อพนักงาน ให้สามารถกรองด้วย Proposed Potential </t>
  </si>
  <si>
    <t xml:space="preserve">ปรับปรุงการแสดงผลตารางรายชื่อพนักงาน ให้เพิ่มคอลัมน์ JV Pool โดยผู้ใช้งานสามารถเลือกได้ ว่าเป็น Yes/No พร้อมกับให้แสดงในหน้า Card view </t>
  </si>
  <si>
    <t xml:space="preserve">ปรับปรุงรายงาน Hi-Po for Staff และ Hi-Po for Management โดยไม่ต้องแสดงคะแนน Leadership Attribute ในกรณีที่พนักงานถูกเลือกเป็น Sr. Prof </t>
  </si>
  <si>
    <t>ปรับปรุงการแสดงผลในหน้า List view และ Card view โดยปรับการจัดเรียงรายชื่อพนักงาน</t>
  </si>
  <si>
    <t>ฟังก์ชันสำหรับจัดการคำถาม Leadership Attribute ให้ผู้ใช้สามารถบริหารจัดการได้เอง โดยสามารถกำหนด Leadership Attribute ที่นำไปใช้ในโมดูล Hi-Po for Staff หรือ Hi-Po for Management</t>
  </si>
  <si>
    <t xml:space="preserve">ฟังก์ชันสำหรับจัดการรายการ Specialist Area ให้ผู้ใช้สามารถบริหารจัดการได้เอง โดยสามารถกำหนด Specialist Area ของแต่ละ Professional Track ได้ </t>
  </si>
  <si>
    <t>ปรับปรุงฟังก์ชันการใช้งานให้รองรับการปรับโครงสร้างของ Job Family สำหรับโมดูล Hi-Po for Staff</t>
  </si>
  <si>
    <t xml:space="preserve">ปรับปรุงฟังก์ชันการใช้งานให้รองรับการปรับโครงสร้างของ Job Family สำหรับโมดูล Hi-Po for Management </t>
  </si>
  <si>
    <t xml:space="preserve">รองรับให้ B2B ของ Line สามารถเข้ามาหา Successor ได้เหมือนกับคนที่เป็น Head ของหน่วยงานนั้น โดยระบบแสดงตำแหน่งงานที่ต้องหา Successor เหมือนกัน เมื่อคนใดคนหนึ่ง เลือก Successor อีกคนก็จะเห็นเช่นเดียวกัน เมื่อคนใดคนหนึ่ง submit ระบบถือว่าเป็นการ submit ร่วมกัน </t>
  </si>
  <si>
    <t>ฟังก์ชันสำหรับปรับปรุงข้อมูล Successor ใน Period ที่ปิดไปเรียบร้อยแล้ว เพื่อนำมาเป็นข้อมูลตั้งต้นสำหรับเริ่มต้น Period ใหม่</t>
  </si>
  <si>
    <t>ฟังก์ชันสำหรับปรับปรุงข้อมูลของพนักงานที่อยู่ในกระบวนการของ Succession Plan for Manager และ Succession Plan for Management ที่ไม่สามารถแก้ไขได้ หลังจากสร้าง Period ไปแล้ว</t>
  </si>
  <si>
    <t xml:space="preserve">ฟังก์ชันสำหรับให้ Line สามารถดูข้อมูล Staff Profile ของพนักงานได้เพื่อใช้เป็นข้อมูลช่วยในการพิจารณา โดยให้ซ่อนข้อมูล Confidential ของพนักงานที่อยู่นอกสายงานของ Line คนนั้น </t>
  </si>
  <si>
    <t>ปรับปรุงลำดับการแสดง Successor ที่ Line ทำการเลือก โดยให้ระบบเรียงตามลำดับที่ Line เลือกเพิ่มในแต่ละเลน และ Line สามารถที่จะเลื่อนลำดับได้เอง</t>
  </si>
  <si>
    <t xml:space="preserve">ฟังก์ชันสำหรับให้ Line สามารถเข้าไปดูรายชื่อ Successor ของแต่ละตำแหน่งงานที่ได้รับการยืนยัน หลังจากจบขั้นตอน JF Committee สำหรับ Succession Plan for Manager และขั้นตอน CRB สำหรับ Succession Plan for Management </t>
  </si>
  <si>
    <t>ปรับปรุงการแสดงผลในขั้นตอน JF Committee หน้า By Employee ถ้าพนักงานถูกเลือกให้เป็น Successor หลายตำแหน่งงาน และชื่อตำแหน่งงานเหมือนกัน ให้รวมแสดงเป็นตำแหน่งเดียว</t>
  </si>
  <si>
    <t xml:space="preserve">ปรับปรุงการแสดงผลกล่อง Successor ให้เพิ่มแสดงข้อมูล Retire year </t>
  </si>
  <si>
    <t>ปรับปรุงรายงาน Succession Plan Report ของ HRBP เพิ่มคอลัมน์ Organization สำหรับแสดงชื่อหน่วยงานตอนที่สร้าง Period โดยกำหนดชื่อคอลัมน์ Org. as of 16 Sep 25 เป็นต้น โดยวันที่เป็นวันที่สร้าง Period เพื่อใช้เทียบกับคอลัมน์ Organization เดิม ว่าพนักงานมีการย้ายหน่วยงานหรือไม่</t>
  </si>
  <si>
    <t>ปรับปรุงการแสดงหน้า Staff Profile ของพนักงาน มีการเปลี่ยนแปลงส่วนของข้อมูลพื้นฐานของพนักงานให้แสดงตามรูปแบบของโมดูล Promotion และเพิ่ม Retire date กับ Staff Typ</t>
  </si>
  <si>
    <t>เพิ่ม Readiness ของ Successor สำหรับ Succession Plan for Management จากเดิมที่มี 3 แถว เพิ่มแถวที่ 4 Hi-Po Readiness &gt; 3 years</t>
  </si>
  <si>
    <t>ปรับขั้นตอนการ Save, Confirm และ Submit ในการเลือก Successor ของ Line</t>
  </si>
  <si>
    <t xml:space="preserve">ปรับปรุงกล่อง Successor ให้สามารถใส่คอมเม้นต์ได้ ในกรณีขั้นตอนถัดไปไม่เห็นด้วย และมีการเลือก Not Propose </t>
  </si>
  <si>
    <t xml:space="preserve">ปรับปรุงฟังก์ชันการใช้งานให้รองรับการปรับโครงสร้างของ Job Family สำหรับโมดูล Succession Plan for Manager </t>
  </si>
  <si>
    <t>ฟังก์ชัน Export ข้อมูล Staff Profile ในรูปแบบ PowerPoint ประกอบไปด้วยข้อมูล 3 ส่วนคือ
1. ข้อมูลพื้นฐานของพนักงาน
2. ข้อมูลประวัติการทำงาน และประวัติ JG พร้อมตำแหน่งในรูปแบบกราฟเส้น (รถไฟ)
3. ข้อมูล Cover Info และ Evidence</t>
  </si>
  <si>
    <t>ฟังก์ชัน Export ตาราง และกราฟ ในรูปแบบ PowerPoint ประกอบด้วยข้อมูล 3 ส่วนคือ
1. Table: Staff Promotion by Professional Track
2. Graph: Promotion Graph Summary
3. Graph: Summary Proposed Staff Promotion by Professional Track</t>
  </si>
  <si>
    <t xml:space="preserve">ปรับปรุงการแสดงผลในหน้า JF Committee Shortlisted และ JF Committee Endorsement ให้ให้แสดงจำนวนพนักงานที่ถูก Propose เป็น Approve* และ Endorse* พร้อมคำนวณออกมาเป็น % </t>
  </si>
  <si>
    <t>ฟังก์ชันสำหรับเพิ่ม/ลด รายชื่อพนักงานที่เข้ากระบวนการพิจารณาคัดเลือก Promotion เพื่อให้ HR แอดมินสามารถแก้ไขรายชื่อพนักงานได้เอง จากเดิมหลังจากที่ระบบสร้างรายชื่อพนักงานแล้วจะไม่สามารถแก้ไขได้</t>
  </si>
  <si>
    <t xml:space="preserve">ฟังก์ชันสำหรับปรับปรุงข้อมูลของพนักงานที่อยู่ในกระบวนการของ Promotion ที่ไม่สามารถแก้ไขได้ หลังจากสร้าง Period ไปแล้ว </t>
  </si>
  <si>
    <t xml:space="preserve">ปรับปรุงฟังก์ชัน Special Report to ให้แสดงรายชื่อพนักงานที่สามารถกำหนด N+1 ใหม่ (Report to) ตามรายชื่อพนักงานที่เข้ากระบวนการ Promotion ของ Batch นั้น </t>
  </si>
  <si>
    <t xml:space="preserve">เพิ่ม Tools ที่ช่วยในการแสดงผล ได้แก่ ปรับขนาดตัวอักษร, ไม้บรรทัด และโฟกัส โดยแสดงในทุกหน้าของระบบ และ Master Color Configuration เพื่อเลือก Color แสดงใน Graph </t>
  </si>
  <si>
    <t xml:space="preserve">ปรับปรุงรายงาน File Distribution Report ซึ่งประกอบด้วยข้อมูล 2 ส่วน
1. ส่วนข้อมูลพนักงานปัจจุบัน ให้แสดงตำแหน่งงาน และหน่วยงานจาก Transaction ซึ่งเป็นข้อมูล As of Start date ตอนสร้าง Period
2. ส่วนข้อมูล Next JG ให้แสดงตำแหน่งงาน และหน่วยงานจาก SuccessFactors ซึ่งเป็นข้อมูล As of Effective date ตอนสร้าง Period
</t>
  </si>
  <si>
    <t>ปรับปรุงรายงาน Summary of Staff Promotion เมื่อเลือกตัวเลือก Current process = Line Nomination ให้ระบบนับคนที่ Line เลือก This Batch โดยที่ยังไม่จำเป็นต้องกด Submit ที่ EVP</t>
  </si>
  <si>
    <t>Grand Total</t>
  </si>
  <si>
    <t>CTM Improvement 2026 Lot #1, #2</t>
  </si>
  <si>
    <t>CTM Improvement 2026 Promotion Management</t>
  </si>
  <si>
    <t>การนำคะแนน Leadership Attribute มาเป็นข้อมูลอ้างอิงในการพิจารณาของปีถัดไป</t>
  </si>
  <si>
    <t>Prepare and deploy Production Environment</t>
  </si>
  <si>
    <t>User Manual and TTT</t>
  </si>
  <si>
    <t>Thanadol Lerdsakcharoenkul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</si>
</sst>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_);_(* \(#,##0.0\);_(* &quot;-&quot;??_);_(@_)"/>
    <numFmt numFmtId="167" formatCode="&quot;฿&quot;#,##0.00"/>
    <numFmt numFmtId="168" formatCode="_-[$฿-41E]* #,##0.00_-;\-[$฿-41E]* #,##0.00_-;_-[$฿-41E]* &quot;-&quot;??_-;_-@_-"/>
    <numFmt numFmtId="169" formatCode="0.00%;[Red]\-0.00%"/>
  </numFmts>
  <fonts count="2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0"/>
      <name val="Calibri"/>
      <family val="2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FF0000"/>
      <name val="Tahoma"/>
      <family val="2"/>
    </font>
    <font>
      <sz val="10"/>
      <color rgb="FFFFFFFF"/>
      <name val="Tahoma"/>
      <family val="2"/>
    </font>
    <font>
      <sz val="10"/>
      <color rgb="FFFF0000"/>
      <name val="Calibri"/>
      <family val="2"/>
      <charset val="222"/>
    </font>
    <font>
      <sz val="11"/>
      <color rgb="FF000000"/>
      <name val="Calibri"/>
      <family val="2"/>
      <charset val="222"/>
    </font>
    <font>
      <b/>
      <sz val="11"/>
      <color rgb="FF0070C0"/>
      <name val="Calibri"/>
      <family val="2"/>
    </font>
    <font>
      <b/>
      <sz val="11"/>
      <name val="Calibri"/>
      <family val="2"/>
    </font>
    <font>
      <b/>
      <sz val="10"/>
      <color rgb="FF000000"/>
      <name val="Calibri"/>
      <family val="2"/>
    </font>
    <font>
      <sz val="14"/>
      <color rgb="FFFF0000"/>
      <name val="Cordia New"/>
      <family val="2"/>
    </font>
    <font>
      <sz val="10"/>
      <color rgb="FF000000"/>
      <name val="Calibri"/>
      <family val="2"/>
      <charset val="222"/>
    </font>
    <font>
      <sz val="10"/>
      <color rgb="FFFF0000"/>
      <name val="Cordia New"/>
      <family val="2"/>
    </font>
    <font>
      <sz val="10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FFFFFF"/>
      <name val="Cordia New"/>
      <family val="2"/>
    </font>
    <font>
      <sz val="14"/>
      <color theme="1"/>
      <name val="Cordia New"/>
      <family val="2"/>
    </font>
    <font>
      <b/>
      <sz val="14"/>
      <color theme="1"/>
      <name val="Cordia New"/>
      <family val="2"/>
    </font>
    <font>
      <b/>
      <sz val="14"/>
      <color theme="0"/>
      <name val="Cordia New"/>
      <family val="2"/>
    </font>
    <font>
      <b/>
      <sz val="14"/>
      <color rgb="FF000000"/>
      <name val="Cordia New"/>
      <family val="2"/>
    </font>
    <font>
      <sz val="14"/>
      <color rgb="FF000000"/>
      <name val="Cordia New"/>
      <family val="2"/>
    </font>
    <font>
      <sz val="14"/>
      <color theme="8"/>
      <name val="Cordia New"/>
      <family val="2"/>
    </font>
    <font>
      <sz val="14"/>
      <color theme="9" tint="-0.499984740745262"/>
      <name val="Cordia New"/>
      <family val="2"/>
    </font>
    <font>
      <sz val="14"/>
      <name val="Cordia New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F0FF"/>
        <bgColor indexed="64"/>
      </patternFill>
    </fill>
    <fill>
      <patternFill patternType="solid">
        <fgColor rgb="FFEDFFED"/>
        <bgColor indexed="64"/>
      </patternFill>
    </fill>
    <fill>
      <patternFill patternType="solid">
        <fgColor rgb="FF69D8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A3FF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D09E13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99B8EF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CF9E7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2" xfId="0" applyFont="1" applyBorder="1"/>
    <xf numFmtId="0" fontId="1" fillId="0" borderId="6" xfId="0" applyFont="1" applyBorder="1"/>
    <xf numFmtId="0" fontId="1" fillId="0" borderId="2" xfId="0" applyFont="1" applyBorder="1"/>
    <xf numFmtId="0" fontId="0" fillId="0" borderId="2" xfId="0" applyBorder="1"/>
    <xf numFmtId="0" fontId="0" fillId="0" borderId="6" xfId="0" applyBorder="1"/>
    <xf numFmtId="0" fontId="3" fillId="0" borderId="6" xfId="0" applyFont="1" applyBorder="1"/>
    <xf numFmtId="0" fontId="1" fillId="0" borderId="4" xfId="0" applyFont="1" applyBorder="1"/>
    <xf numFmtId="0" fontId="1" fillId="0" borderId="7" xfId="0" applyFont="1" applyBorder="1"/>
    <xf numFmtId="0" fontId="3" fillId="8" borderId="1" xfId="0" applyFont="1" applyFill="1" applyBorder="1" applyAlignment="1">
      <alignment horizontal="center"/>
    </xf>
    <xf numFmtId="0" fontId="2" fillId="5" borderId="2" xfId="0" applyFont="1" applyFill="1" applyBorder="1"/>
    <xf numFmtId="0" fontId="1" fillId="11" borderId="6" xfId="0" applyFont="1" applyFill="1" applyBorder="1"/>
    <xf numFmtId="0" fontId="1" fillId="11" borderId="1" xfId="0" applyFont="1" applyFill="1" applyBorder="1"/>
    <xf numFmtId="0" fontId="1" fillId="12" borderId="6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3" borderId="2" xfId="0" applyFont="1" applyFill="1" applyBorder="1"/>
    <xf numFmtId="0" fontId="1" fillId="14" borderId="1" xfId="0" applyFont="1" applyFill="1" applyBorder="1"/>
    <xf numFmtId="0" fontId="1" fillId="14" borderId="2" xfId="0" applyFont="1" applyFill="1" applyBorder="1"/>
    <xf numFmtId="0" fontId="1" fillId="13" borderId="6" xfId="0" applyFont="1" applyFill="1" applyBorder="1"/>
    <xf numFmtId="0" fontId="1" fillId="14" borderId="6" xfId="0" applyFont="1" applyFill="1" applyBorder="1"/>
    <xf numFmtId="0" fontId="1" fillId="15" borderId="1" xfId="0" applyFont="1" applyFill="1" applyBorder="1"/>
    <xf numFmtId="0" fontId="1" fillId="15" borderId="6" xfId="0" applyFont="1" applyFill="1" applyBorder="1"/>
    <xf numFmtId="0" fontId="1" fillId="15" borderId="2" xfId="0" applyFont="1" applyFill="1" applyBorder="1"/>
    <xf numFmtId="0" fontId="1" fillId="16" borderId="6" xfId="0" applyFont="1" applyFill="1" applyBorder="1"/>
    <xf numFmtId="0" fontId="1" fillId="17" borderId="6" xfId="0" applyFont="1" applyFill="1" applyBorder="1"/>
    <xf numFmtId="0" fontId="1" fillId="16" borderId="1" xfId="0" applyFont="1" applyFill="1" applyBorder="1"/>
    <xf numFmtId="0" fontId="1" fillId="16" borderId="2" xfId="0" applyFont="1" applyFill="1" applyBorder="1"/>
    <xf numFmtId="0" fontId="1" fillId="18" borderId="2" xfId="0" applyFont="1" applyFill="1" applyBorder="1"/>
    <xf numFmtId="0" fontId="1" fillId="19" borderId="2" xfId="0" applyFont="1" applyFill="1" applyBorder="1"/>
    <xf numFmtId="0" fontId="1" fillId="20" borderId="1" xfId="0" applyFont="1" applyFill="1" applyBorder="1"/>
    <xf numFmtId="0" fontId="1" fillId="21" borderId="6" xfId="0" applyFont="1" applyFill="1" applyBorder="1"/>
    <xf numFmtId="0" fontId="1" fillId="21" borderId="1" xfId="0" applyFont="1" applyFill="1" applyBorder="1"/>
    <xf numFmtId="0" fontId="1" fillId="22" borderId="1" xfId="0" applyFont="1" applyFill="1" applyBorder="1"/>
    <xf numFmtId="0" fontId="1" fillId="22" borderId="2" xfId="0" applyFont="1" applyFill="1" applyBorder="1"/>
    <xf numFmtId="0" fontId="1" fillId="22" borderId="6" xfId="0" applyFont="1" applyFill="1" applyBorder="1"/>
    <xf numFmtId="0" fontId="1" fillId="23" borderId="1" xfId="0" applyFont="1" applyFill="1" applyBorder="1"/>
    <xf numFmtId="0" fontId="1" fillId="23" borderId="2" xfId="0" applyFont="1" applyFill="1" applyBorder="1"/>
    <xf numFmtId="0" fontId="1" fillId="23" borderId="6" xfId="0" applyFont="1" applyFill="1" applyBorder="1"/>
    <xf numFmtId="0" fontId="1" fillId="20" borderId="6" xfId="0" applyFont="1" applyFill="1" applyBorder="1"/>
    <xf numFmtId="0" fontId="1" fillId="15" borderId="11" xfId="0" applyFont="1" applyFill="1" applyBorder="1"/>
    <xf numFmtId="0" fontId="1" fillId="17" borderId="4" xfId="0" applyFont="1" applyFill="1" applyBorder="1"/>
    <xf numFmtId="0" fontId="1" fillId="17" borderId="1" xfId="0" applyFont="1" applyFill="1" applyBorder="1"/>
    <xf numFmtId="0" fontId="0" fillId="15" borderId="1" xfId="0" applyFill="1" applyBorder="1"/>
    <xf numFmtId="0" fontId="2" fillId="15" borderId="1" xfId="0" applyFont="1" applyFill="1" applyBorder="1"/>
    <xf numFmtId="0" fontId="1" fillId="10" borderId="0" xfId="0" applyFont="1" applyFill="1"/>
    <xf numFmtId="0" fontId="0" fillId="13" borderId="6" xfId="0" applyFill="1" applyBorder="1"/>
    <xf numFmtId="0" fontId="0" fillId="13" borderId="1" xfId="0" applyFill="1" applyBorder="1"/>
    <xf numFmtId="0" fontId="1" fillId="24" borderId="2" xfId="0" applyFont="1" applyFill="1" applyBorder="1"/>
    <xf numFmtId="0" fontId="1" fillId="25" borderId="2" xfId="0" applyFont="1" applyFill="1" applyBorder="1"/>
    <xf numFmtId="0" fontId="3" fillId="14" borderId="1" xfId="0" applyFont="1" applyFill="1" applyBorder="1"/>
    <xf numFmtId="0" fontId="1" fillId="16" borderId="7" xfId="0" applyFont="1" applyFill="1" applyBorder="1"/>
    <xf numFmtId="0" fontId="1" fillId="17" borderId="7" xfId="0" applyFont="1" applyFill="1" applyBorder="1"/>
    <xf numFmtId="0" fontId="1" fillId="17" borderId="3" xfId="0" applyFont="1" applyFill="1" applyBorder="1"/>
    <xf numFmtId="0" fontId="4" fillId="9" borderId="0" xfId="0" applyFont="1" applyFill="1"/>
    <xf numFmtId="0" fontId="2" fillId="5" borderId="0" xfId="0" applyFont="1" applyFill="1" applyAlignment="1">
      <alignment horizontal="center"/>
    </xf>
    <xf numFmtId="0" fontId="3" fillId="0" borderId="1" xfId="0" applyFont="1" applyBorder="1"/>
    <xf numFmtId="0" fontId="1" fillId="20" borderId="4" xfId="0" applyFont="1" applyFill="1" applyBorder="1"/>
    <xf numFmtId="0" fontId="1" fillId="15" borderId="7" xfId="0" applyFont="1" applyFill="1" applyBorder="1"/>
    <xf numFmtId="0" fontId="5" fillId="0" borderId="0" xfId="0" applyFont="1"/>
    <xf numFmtId="0" fontId="7" fillId="0" borderId="0" xfId="0" applyFont="1"/>
    <xf numFmtId="0" fontId="6" fillId="32" borderId="16" xfId="0" applyFont="1" applyFill="1" applyBorder="1" applyAlignment="1">
      <alignment horizontal="center" vertical="center"/>
    </xf>
    <xf numFmtId="0" fontId="6" fillId="32" borderId="17" xfId="0" applyFont="1" applyFill="1" applyBorder="1" applyAlignment="1">
      <alignment horizontal="center" vertical="center"/>
    </xf>
    <xf numFmtId="0" fontId="6" fillId="32" borderId="18" xfId="0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 wrapText="1"/>
    </xf>
    <xf numFmtId="4" fontId="6" fillId="33" borderId="18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8" fillId="27" borderId="0" xfId="0" applyFont="1" applyFill="1"/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left"/>
    </xf>
    <xf numFmtId="0" fontId="5" fillId="0" borderId="22" xfId="0" applyFont="1" applyBorder="1" applyAlignment="1">
      <alignment horizontal="center"/>
    </xf>
    <xf numFmtId="43" fontId="5" fillId="0" borderId="20" xfId="0" applyNumberFormat="1" applyFont="1" applyBorder="1" applyAlignment="1">
      <alignment horizontal="left"/>
    </xf>
    <xf numFmtId="4" fontId="8" fillId="27" borderId="0" xfId="0" applyNumberFormat="1" applyFont="1" applyFill="1"/>
    <xf numFmtId="0" fontId="5" fillId="0" borderId="19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center"/>
    </xf>
    <xf numFmtId="43" fontId="5" fillId="0" borderId="19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/>
    <xf numFmtId="4" fontId="5" fillId="0" borderId="0" xfId="0" applyNumberFormat="1" applyFont="1"/>
    <xf numFmtId="165" fontId="6" fillId="33" borderId="4" xfId="0" applyNumberFormat="1" applyFont="1" applyFill="1" applyBorder="1" applyAlignment="1">
      <alignment vertical="center" wrapText="1"/>
    </xf>
    <xf numFmtId="165" fontId="5" fillId="0" borderId="0" xfId="0" applyNumberFormat="1" applyFont="1"/>
    <xf numFmtId="0" fontId="5" fillId="0" borderId="14" xfId="0" applyFont="1" applyBorder="1"/>
    <xf numFmtId="166" fontId="5" fillId="34" borderId="14" xfId="0" applyNumberFormat="1" applyFont="1" applyFill="1" applyBorder="1"/>
    <xf numFmtId="165" fontId="5" fillId="34" borderId="14" xfId="0" applyNumberFormat="1" applyFont="1" applyFill="1" applyBorder="1"/>
    <xf numFmtId="0" fontId="9" fillId="0" borderId="0" xfId="0" applyFont="1"/>
    <xf numFmtId="0" fontId="10" fillId="0" borderId="0" xfId="0" applyFont="1"/>
    <xf numFmtId="167" fontId="10" fillId="0" borderId="0" xfId="0" applyNumberFormat="1" applyFont="1"/>
    <xf numFmtId="167" fontId="11" fillId="35" borderId="8" xfId="0" applyNumberFormat="1" applyFont="1" applyFill="1" applyBorder="1"/>
    <xf numFmtId="168" fontId="11" fillId="35" borderId="10" xfId="0" applyNumberFormat="1" applyFont="1" applyFill="1" applyBorder="1"/>
    <xf numFmtId="167" fontId="11" fillId="35" borderId="15" xfId="0" applyNumberFormat="1" applyFont="1" applyFill="1" applyBorder="1"/>
    <xf numFmtId="168" fontId="11" fillId="35" borderId="12" xfId="0" applyNumberFormat="1" applyFont="1" applyFill="1" applyBorder="1"/>
    <xf numFmtId="167" fontId="12" fillId="35" borderId="28" xfId="0" applyNumberFormat="1" applyFont="1" applyFill="1" applyBorder="1"/>
    <xf numFmtId="168" fontId="12" fillId="35" borderId="28" xfId="0" applyNumberFormat="1" applyFont="1" applyFill="1" applyBorder="1"/>
    <xf numFmtId="0" fontId="13" fillId="33" borderId="29" xfId="0" applyFont="1" applyFill="1" applyBorder="1" applyAlignment="1">
      <alignment horizontal="center"/>
    </xf>
    <xf numFmtId="0" fontId="10" fillId="0" borderId="1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14" xfId="0" applyFont="1" applyBorder="1"/>
    <xf numFmtId="0" fontId="10" fillId="0" borderId="28" xfId="0" applyFont="1" applyBorder="1"/>
    <xf numFmtId="0" fontId="14" fillId="0" borderId="0" xfId="0" applyFont="1" applyAlignment="1">
      <alignment horizontal="left" vertical="center" indent="3"/>
    </xf>
    <xf numFmtId="0" fontId="13" fillId="33" borderId="30" xfId="0" applyFont="1" applyFill="1" applyBorder="1" applyAlignment="1">
      <alignment horizontal="center"/>
    </xf>
    <xf numFmtId="1" fontId="13" fillId="33" borderId="31" xfId="0" applyNumberFormat="1" applyFont="1" applyFill="1" applyBorder="1" applyAlignment="1">
      <alignment horizontal="center"/>
    </xf>
    <xf numFmtId="0" fontId="13" fillId="33" borderId="32" xfId="0" applyFont="1" applyFill="1" applyBorder="1" applyAlignment="1">
      <alignment horizontal="center"/>
    </xf>
    <xf numFmtId="0" fontId="15" fillId="0" borderId="33" xfId="0" applyFont="1" applyBorder="1"/>
    <xf numFmtId="9" fontId="15" fillId="0" borderId="14" xfId="0" applyNumberFormat="1" applyFont="1" applyBorder="1"/>
    <xf numFmtId="167" fontId="15" fillId="0" borderId="26" xfId="0" applyNumberFormat="1" applyFont="1" applyBorder="1"/>
    <xf numFmtId="0" fontId="16" fillId="0" borderId="34" xfId="0" applyFont="1" applyBorder="1" applyAlignment="1">
      <alignment horizontal="left" vertical="center" indent="3"/>
    </xf>
    <xf numFmtId="9" fontId="15" fillId="0" borderId="35" xfId="0" applyNumberFormat="1" applyFont="1" applyBorder="1"/>
    <xf numFmtId="167" fontId="17" fillId="0" borderId="36" xfId="0" applyNumberFormat="1" applyFont="1" applyBorder="1"/>
    <xf numFmtId="9" fontId="10" fillId="0" borderId="0" xfId="0" applyNumberFormat="1" applyFont="1"/>
    <xf numFmtId="43" fontId="10" fillId="0" borderId="0" xfId="0" applyNumberFormat="1" applyFont="1"/>
    <xf numFmtId="167" fontId="18" fillId="35" borderId="37" xfId="0" applyNumberFormat="1" applyFont="1" applyFill="1" applyBorder="1"/>
    <xf numFmtId="169" fontId="18" fillId="35" borderId="36" xfId="0" applyNumberFormat="1" applyFont="1" applyFill="1" applyBorder="1"/>
    <xf numFmtId="167" fontId="13" fillId="0" borderId="36" xfId="0" applyNumberFormat="1" applyFont="1" applyBorder="1"/>
    <xf numFmtId="0" fontId="15" fillId="36" borderId="33" xfId="0" applyFont="1" applyFill="1" applyBorder="1"/>
    <xf numFmtId="9" fontId="15" fillId="36" borderId="14" xfId="0" applyNumberFormat="1" applyFont="1" applyFill="1" applyBorder="1"/>
    <xf numFmtId="167" fontId="15" fillId="36" borderId="26" xfId="0" applyNumberFormat="1" applyFont="1" applyFill="1" applyBorder="1"/>
    <xf numFmtId="9" fontId="15" fillId="36" borderId="38" xfId="0" applyNumberFormat="1" applyFont="1" applyFill="1" applyBorder="1"/>
    <xf numFmtId="167" fontId="17" fillId="36" borderId="12" xfId="0" applyNumberFormat="1" applyFont="1" applyFill="1" applyBorder="1"/>
    <xf numFmtId="167" fontId="11" fillId="35" borderId="0" xfId="0" applyNumberFormat="1" applyFont="1" applyFill="1"/>
    <xf numFmtId="168" fontId="11" fillId="35" borderId="0" xfId="0" applyNumberFormat="1" applyFont="1" applyFill="1"/>
    <xf numFmtId="0" fontId="5" fillId="0" borderId="0" xfId="0" applyFont="1" applyAlignment="1">
      <alignment horizontal="left"/>
    </xf>
    <xf numFmtId="0" fontId="5" fillId="0" borderId="38" xfId="0" applyFont="1" applyBorder="1" applyAlignment="1">
      <alignment horizontal="center"/>
    </xf>
    <xf numFmtId="43" fontId="5" fillId="0" borderId="0" xfId="0" applyNumberFormat="1" applyFont="1" applyAlignment="1">
      <alignment horizontal="left"/>
    </xf>
    <xf numFmtId="0" fontId="20" fillId="0" borderId="0" xfId="0" applyFont="1" applyAlignment="1">
      <alignment horizontal="center" vertical="top"/>
    </xf>
    <xf numFmtId="0" fontId="19" fillId="26" borderId="1" xfId="0" applyFont="1" applyFill="1" applyBorder="1" applyAlignment="1">
      <alignment horizontal="center" vertical="top" wrapText="1"/>
    </xf>
    <xf numFmtId="0" fontId="20" fillId="0" borderId="0" xfId="0" applyFont="1" applyAlignment="1">
      <alignment vertical="top"/>
    </xf>
    <xf numFmtId="0" fontId="22" fillId="4" borderId="1" xfId="0" applyFont="1" applyFill="1" applyBorder="1" applyAlignment="1">
      <alignment horizontal="center" vertical="top"/>
    </xf>
    <xf numFmtId="0" fontId="21" fillId="30" borderId="1" xfId="0" applyFont="1" applyFill="1" applyBorder="1" applyAlignment="1">
      <alignment vertical="top"/>
    </xf>
    <xf numFmtId="0" fontId="21" fillId="30" borderId="1" xfId="0" applyFont="1" applyFill="1" applyBorder="1" applyAlignment="1">
      <alignment horizontal="center" vertical="top"/>
    </xf>
    <xf numFmtId="0" fontId="24" fillId="27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top"/>
    </xf>
    <xf numFmtId="0" fontId="20" fillId="37" borderId="1" xfId="0" applyFont="1" applyFill="1" applyBorder="1" applyAlignment="1">
      <alignment horizontal="center" vertical="top"/>
    </xf>
    <xf numFmtId="0" fontId="20" fillId="0" borderId="1" xfId="0" applyFont="1" applyBorder="1" applyAlignment="1">
      <alignment vertical="top" wrapText="1"/>
    </xf>
    <xf numFmtId="0" fontId="20" fillId="0" borderId="1" xfId="0" applyFont="1" applyBorder="1" applyAlignment="1">
      <alignment horizontal="center" vertical="top"/>
    </xf>
    <xf numFmtId="164" fontId="25" fillId="6" borderId="1" xfId="0" applyNumberFormat="1" applyFont="1" applyFill="1" applyBorder="1" applyAlignment="1">
      <alignment horizontal="center" vertical="top"/>
    </xf>
    <xf numFmtId="164" fontId="26" fillId="7" borderId="1" xfId="0" applyNumberFormat="1" applyFont="1" applyFill="1" applyBorder="1" applyAlignment="1">
      <alignment horizontal="center" vertical="top"/>
    </xf>
    <xf numFmtId="0" fontId="27" fillId="0" borderId="1" xfId="0" applyFont="1" applyBorder="1" applyAlignment="1">
      <alignment vertical="top" wrapText="1"/>
    </xf>
    <xf numFmtId="0" fontId="20" fillId="2" borderId="1" xfId="0" applyFont="1" applyFill="1" applyBorder="1" applyAlignment="1">
      <alignment horizontal="center" vertical="top"/>
    </xf>
    <xf numFmtId="0" fontId="20" fillId="12" borderId="1" xfId="0" applyFont="1" applyFill="1" applyBorder="1" applyAlignment="1">
      <alignment horizontal="center" vertical="top"/>
    </xf>
    <xf numFmtId="0" fontId="23" fillId="29" borderId="1" xfId="0" applyFont="1" applyFill="1" applyBorder="1" applyAlignment="1">
      <alignment vertical="center" wrapText="1"/>
    </xf>
    <xf numFmtId="0" fontId="24" fillId="27" borderId="1" xfId="0" applyFont="1" applyFill="1" applyBorder="1" applyAlignment="1">
      <alignment horizontal="left" vertical="center" wrapText="1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19" fillId="26" borderId="1" xfId="0" applyFont="1" applyFill="1" applyBorder="1" applyAlignment="1">
      <alignment vertical="top" wrapText="1"/>
    </xf>
    <xf numFmtId="0" fontId="20" fillId="28" borderId="1" xfId="0" applyFont="1" applyFill="1" applyBorder="1" applyAlignment="1">
      <alignment horizontal="center" vertical="top"/>
    </xf>
    <xf numFmtId="0" fontId="23" fillId="31" borderId="2" xfId="0" applyFont="1" applyFill="1" applyBorder="1" applyAlignment="1">
      <alignment horizontal="left" vertical="top" wrapText="1"/>
    </xf>
    <xf numFmtId="0" fontId="23" fillId="31" borderId="4" xfId="0" applyFont="1" applyFill="1" applyBorder="1" applyAlignment="1">
      <alignment horizontal="left" vertical="top" wrapText="1"/>
    </xf>
    <xf numFmtId="0" fontId="19" fillId="26" borderId="2" xfId="0" applyFont="1" applyFill="1" applyBorder="1" applyAlignment="1">
      <alignment horizontal="center" vertical="top" wrapText="1"/>
    </xf>
    <xf numFmtId="0" fontId="19" fillId="26" borderId="3" xfId="0" applyFont="1" applyFill="1" applyBorder="1" applyAlignment="1">
      <alignment horizontal="center" vertical="top" wrapText="1"/>
    </xf>
    <xf numFmtId="0" fontId="19" fillId="26" borderId="4" xfId="0" applyFont="1" applyFill="1" applyBorder="1" applyAlignment="1">
      <alignment horizontal="center" vertical="top" wrapText="1"/>
    </xf>
    <xf numFmtId="0" fontId="19" fillId="26" borderId="0" xfId="0" applyFont="1" applyFill="1" applyAlignment="1">
      <alignment horizontal="center" vertical="top" wrapText="1"/>
    </xf>
    <xf numFmtId="0" fontId="19" fillId="26" borderId="13" xfId="0" applyFont="1" applyFill="1" applyBorder="1" applyAlignment="1">
      <alignment horizontal="center" vertical="top" wrapText="1"/>
    </xf>
    <xf numFmtId="0" fontId="23" fillId="31" borderId="2" xfId="0" applyFont="1" applyFill="1" applyBorder="1" applyAlignment="1">
      <alignment horizontal="left" vertical="center" wrapText="1"/>
    </xf>
    <xf numFmtId="0" fontId="23" fillId="31" borderId="4" xfId="0" applyFont="1" applyFill="1" applyBorder="1" applyAlignment="1">
      <alignment horizontal="left" vertical="center" wrapText="1"/>
    </xf>
    <xf numFmtId="0" fontId="6" fillId="32" borderId="0" xfId="0" applyFont="1" applyFill="1" applyAlignment="1">
      <alignment horizontal="center" vertical="center"/>
    </xf>
    <xf numFmtId="0" fontId="6" fillId="32" borderId="12" xfId="0" applyFont="1" applyFill="1" applyBorder="1" applyAlignment="1">
      <alignment horizontal="center" vertical="center"/>
    </xf>
    <xf numFmtId="0" fontId="6" fillId="32" borderId="13" xfId="0" applyFont="1" applyFill="1" applyBorder="1" applyAlignment="1">
      <alignment horizontal="center" vertical="center"/>
    </xf>
    <xf numFmtId="0" fontId="6" fillId="32" borderId="26" xfId="0" applyFont="1" applyFill="1" applyBorder="1" applyAlignment="1">
      <alignment horizontal="center" vertical="center"/>
    </xf>
    <xf numFmtId="165" fontId="6" fillId="33" borderId="8" xfId="0" applyNumberFormat="1" applyFont="1" applyFill="1" applyBorder="1" applyAlignment="1">
      <alignment horizontal="center" vertical="center" wrapText="1"/>
    </xf>
    <xf numFmtId="165" fontId="6" fillId="33" borderId="9" xfId="0" applyNumberFormat="1" applyFont="1" applyFill="1" applyBorder="1" applyAlignment="1">
      <alignment horizontal="center" vertical="center" wrapText="1"/>
    </xf>
    <xf numFmtId="165" fontId="6" fillId="33" borderId="27" xfId="0" applyNumberFormat="1" applyFont="1" applyFill="1" applyBorder="1" applyAlignment="1">
      <alignment horizontal="center" vertical="center" wrapText="1"/>
    </xf>
    <xf numFmtId="165" fontId="6" fillId="33" borderId="13" xfId="0" applyNumberFormat="1" applyFont="1" applyFill="1" applyBorder="1" applyAlignment="1">
      <alignment horizontal="center" vertical="center" wrapText="1"/>
    </xf>
    <xf numFmtId="0" fontId="6" fillId="32" borderId="2" xfId="0" applyFont="1" applyFill="1" applyBorder="1" applyAlignment="1">
      <alignment horizontal="center" vertical="center"/>
    </xf>
    <xf numFmtId="0" fontId="6" fillId="32" borderId="2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FF"/>
      <color rgb="FFCC00FF"/>
      <color rgb="FFFFD965"/>
      <color rgb="FFD09E13"/>
      <color rgb="FF808080"/>
      <color rgb="FFD0D0D0"/>
      <color rgb="FF99B8EF"/>
      <color rgb="FF2E75B5"/>
      <color rgb="FFFFC016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600" baseline="0"/>
              <a:t>โครงการ </a:t>
            </a:r>
            <a:r>
              <a:rPr lang="en-US" sz="1600" baseline="0"/>
              <a:t>xxxxx</a:t>
            </a:r>
            <a:endParaRPr lang="en-US" sz="1600"/>
          </a:p>
        </c:rich>
      </c:tx>
      <c:layout>
        <c:manualLayout>
          <c:xMode val="edge"/>
          <c:yMode val="edge"/>
          <c:x val="0.13028930937702157"/>
          <c:y val="2.9194234606219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87-4075-8817-C6F731D690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87-4075-8817-C6F731D690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87-4075-8817-C6F731D690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87-4075-8817-C6F731D690ED}"/>
              </c:ext>
            </c:extLst>
          </c:dPt>
          <c:dLbls>
            <c:dLbl>
              <c:idx val="2"/>
              <c:layout>
                <c:manualLayout>
                  <c:x val="9.4576056528707542E-2"/>
                  <c:y val="-0.1148510591887040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87-4075-8817-C6F731D690E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[1]Total!$C$3:$C$5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[1]Total!$B$3:$B$5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8-E187-4075-8817-C6F731D690E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600" baseline="0"/>
              <a:t>โครงการ </a:t>
            </a:r>
            <a:r>
              <a:rPr lang="en-US" sz="1600" baseline="0"/>
              <a:t>xxxxx</a:t>
            </a:r>
            <a:endParaRPr lang="en-US" sz="1600"/>
          </a:p>
        </c:rich>
      </c:tx>
      <c:layout>
        <c:manualLayout>
          <c:xMode val="edge"/>
          <c:yMode val="edge"/>
          <c:x val="0.13028930937702157"/>
          <c:y val="2.9194234606219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83-4E5E-8729-BC76005521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83-4E5E-8729-BC76005521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83-4E5E-8729-BC76005521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783-4E5E-8729-BC7600552149}"/>
              </c:ext>
            </c:extLst>
          </c:dPt>
          <c:dLbls>
            <c:dLbl>
              <c:idx val="2"/>
              <c:layout>
                <c:manualLayout>
                  <c:x val="9.4576056528707542E-2"/>
                  <c:y val="-0.1148510591887040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83-4E5E-8729-BC760055214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[2]Total!$C$3:$C$5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[2]Total!$B$3:$B$5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8-A783-4E5E-8729-BC760055214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8" Type="http://schemas.openxmlformats.org/officeDocument/2006/relationships/customXml" Target="../ink/ink2.xml"/><Relationship Id="rId26" Type="http://schemas.openxmlformats.org/officeDocument/2006/relationships/customXml" Target="../ink/ink8.xml"/><Relationship Id="rId39" Type="http://schemas.openxmlformats.org/officeDocument/2006/relationships/customXml" Target="../ink/ink21.xml"/><Relationship Id="rId21" Type="http://schemas.openxmlformats.org/officeDocument/2006/relationships/customXml" Target="../ink/ink4.xml"/><Relationship Id="rId34" Type="http://schemas.openxmlformats.org/officeDocument/2006/relationships/customXml" Target="../ink/ink16.xml"/><Relationship Id="rId42" Type="http://schemas.openxmlformats.org/officeDocument/2006/relationships/customXml" Target="../ink/ink24.xml"/><Relationship Id="rId17" Type="http://schemas.openxmlformats.org/officeDocument/2006/relationships/image" Target="../media/image1110.png"/><Relationship Id="rId25" Type="http://schemas.openxmlformats.org/officeDocument/2006/relationships/customXml" Target="../ink/ink7.xml"/><Relationship Id="rId33" Type="http://schemas.openxmlformats.org/officeDocument/2006/relationships/customXml" Target="../ink/ink15.xml"/><Relationship Id="rId38" Type="http://schemas.openxmlformats.org/officeDocument/2006/relationships/customXml" Target="../ink/ink20.xml"/><Relationship Id="rId20" Type="http://schemas.openxmlformats.org/officeDocument/2006/relationships/image" Target="../media/image1110.png"/><Relationship Id="rId29" Type="http://schemas.openxmlformats.org/officeDocument/2006/relationships/customXml" Target="../ink/ink11.xml"/><Relationship Id="rId41" Type="http://schemas.openxmlformats.org/officeDocument/2006/relationships/customXml" Target="../ink/ink23.xml"/><Relationship Id="rId1" Type="http://schemas.openxmlformats.org/officeDocument/2006/relationships/customXml" Target="../ink/ink1.xml"/><Relationship Id="rId24" Type="http://schemas.openxmlformats.org/officeDocument/2006/relationships/image" Target="../media/image11100.png"/><Relationship Id="rId32" Type="http://schemas.openxmlformats.org/officeDocument/2006/relationships/customXml" Target="../ink/ink14.xml"/><Relationship Id="rId37" Type="http://schemas.openxmlformats.org/officeDocument/2006/relationships/customXml" Target="../ink/ink19.xml"/><Relationship Id="rId40" Type="http://schemas.openxmlformats.org/officeDocument/2006/relationships/customXml" Target="../ink/ink22.xml"/><Relationship Id="rId23" Type="http://schemas.openxmlformats.org/officeDocument/2006/relationships/customXml" Target="../ink/ink6.xml"/><Relationship Id="rId28" Type="http://schemas.openxmlformats.org/officeDocument/2006/relationships/customXml" Target="../ink/ink10.xml"/><Relationship Id="rId36" Type="http://schemas.openxmlformats.org/officeDocument/2006/relationships/customXml" Target="../ink/ink18.xml"/><Relationship Id="rId19" Type="http://schemas.openxmlformats.org/officeDocument/2006/relationships/customXml" Target="../ink/ink3.xml"/><Relationship Id="rId31" Type="http://schemas.openxmlformats.org/officeDocument/2006/relationships/customXml" Target="../ink/ink13.xml"/><Relationship Id="rId22" Type="http://schemas.openxmlformats.org/officeDocument/2006/relationships/customXml" Target="../ink/ink5.xml"/><Relationship Id="rId27" Type="http://schemas.openxmlformats.org/officeDocument/2006/relationships/customXml" Target="../ink/ink9.xml"/><Relationship Id="rId30" Type="http://schemas.openxmlformats.org/officeDocument/2006/relationships/customXml" Target="../ink/ink12.xml"/><Relationship Id="rId35" Type="http://schemas.openxmlformats.org/officeDocument/2006/relationships/customXml" Target="../ink/ink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1</xdr:row>
      <xdr:rowOff>28575</xdr:rowOff>
    </xdr:from>
    <xdr:to>
      <xdr:col>14</xdr:col>
      <xdr:colOff>57680</xdr:colOff>
      <xdr:row>18</xdr:row>
      <xdr:rowOff>136073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304800</xdr:colOff>
      <xdr:row>1</xdr:row>
      <xdr:rowOff>28575</xdr:rowOff>
    </xdr:from>
    <xdr:to>
      <xdr:col>14</xdr:col>
      <xdr:colOff>47283</xdr:colOff>
      <xdr:row>19</xdr:row>
      <xdr:rowOff>30375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76</xdr:row>
      <xdr:rowOff>0</xdr:rowOff>
    </xdr:from>
    <xdr:to>
      <xdr:col>3</xdr:col>
      <xdr:colOff>0</xdr:colOff>
      <xdr:row>76</xdr:row>
      <xdr:rowOff>12796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8470C19-F283-4ADA-B74E-5F8D505FEE94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0</xdr:colOff>
      <xdr:row>76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22546D4-71D2-466F-A3DC-72A18351BB31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76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CAA2604-3F51-4CCE-8DFE-E926F88FABEE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0</xdr:colOff>
      <xdr:row>76</xdr:row>
      <xdr:rowOff>0</xdr:rowOff>
    </xdr:from>
    <xdr:to>
      <xdr:col>3</xdr:col>
      <xdr:colOff>0</xdr:colOff>
      <xdr:row>76</xdr:row>
      <xdr:rowOff>12796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5D12D86-78E4-4F70-A766-CAC6A80F30EB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0</xdr:colOff>
      <xdr:row>76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48DE5BC-F0DE-4B7D-9BA9-69F495A68CFC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0</xdr:colOff>
      <xdr:row>76</xdr:row>
      <xdr:rowOff>0</xdr:rowOff>
    </xdr:from>
    <xdr:to>
      <xdr:col>3</xdr:col>
      <xdr:colOff>0</xdr:colOff>
      <xdr:row>76</xdr:row>
      <xdr:rowOff>12796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0B39F6D-3776-44F5-A344-BA211C38058F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0</xdr:colOff>
      <xdr:row>76</xdr:row>
      <xdr:rowOff>12796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F708C3A-E6A1-4A7F-83C4-012AFFD7DE79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0</xdr:colOff>
      <xdr:row>76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A7F4591-4B30-4338-94E4-3AA8BB0ACA6D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76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068AB21-1AA2-44CA-A7BD-FFAEB86741B1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0</xdr:colOff>
      <xdr:row>76</xdr:row>
      <xdr:rowOff>0</xdr:rowOff>
    </xdr:from>
    <xdr:to>
      <xdr:col>3</xdr:col>
      <xdr:colOff>0</xdr:colOff>
      <xdr:row>76</xdr:row>
      <xdr:rowOff>12796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29AB6E7-772A-4320-AF8E-F04B9D766FEA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0</xdr:colOff>
      <xdr:row>76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46C997C-E9C1-4001-993E-92E7E3607766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0</xdr:colOff>
      <xdr:row>76</xdr:row>
      <xdr:rowOff>0</xdr:rowOff>
    </xdr:from>
    <xdr:to>
      <xdr:col>3</xdr:col>
      <xdr:colOff>0</xdr:colOff>
      <xdr:row>76</xdr:row>
      <xdr:rowOff>12796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6FE375F-0149-4BE7-BD02-8A4BDDA0FF5A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0</xdr:colOff>
      <xdr:row>138</xdr:row>
      <xdr:rowOff>0</xdr:rowOff>
    </xdr:from>
    <xdr:ext cx="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90CAF6F-E33B-42D4-99E1-B69089172281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145CE109-54D4-4FBF-93B0-A159D7239745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E639F35-D16E-4BC8-9D1F-C20C9B657A54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FEA0C4E-C22F-4400-97F9-355AE7611B23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2E971C4-BE81-40E1-9EDA-FFBDE8CB5E1E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7DC8136-05EE-4030-908F-7D228FCF31D9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3E14FB2-EA89-49E2-8152-D9C9198FDC5B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505BC33-0BF1-4E8E-B5DE-C8A074702450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EC3A3C6-E25B-4BC6-8285-DE73D6B1EDB8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64D2CDE-504D-4DC7-B0A2-1C9E3BBE121F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36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27C6FA12-A664-4844-B54D-0D0475FD85E9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0</xdr:colOff>
      <xdr:row>138</xdr:row>
      <xdr:rowOff>0</xdr:rowOff>
    </xdr:from>
    <xdr:ext cx="0" cy="1279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4995F33-0ACC-449D-AD39-A034FF62419C}"/>
                </a:ext>
              </a:extLst>
            </xdr14:cNvPr>
            <xdr14:cNvContentPartPr/>
          </xdr14:nvContentPartPr>
          <xdr14:nvPr macro=""/>
          <xdr14:xfrm>
            <a:off x="2395800" y="41528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6D36DD-5868-3545-6A86-864F54BCBD0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391480" y="4152420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187325</xdr:colOff>
      <xdr:row>9</xdr:row>
      <xdr:rowOff>104775</xdr:rowOff>
    </xdr:from>
    <xdr:to>
      <xdr:col>6</xdr:col>
      <xdr:colOff>174625</xdr:colOff>
      <xdr:row>11</xdr:row>
      <xdr:rowOff>15875</xdr:rowOff>
    </xdr:to>
    <xdr:sp macro="" textlink="">
      <xdr:nvSpPr>
        <xdr:cNvPr id="2" name="ดาว 5 แฉก 1">
          <a:extLst>
            <a:ext uri="{FF2B5EF4-FFF2-40B4-BE49-F238E27FC236}">
              <a16:creationId xmlns:a16="http://schemas.microsoft.com/office/drawing/2014/main" id="{016D6CD2-27EF-1FE0-2A7D-C8682EEA6C0A}"/>
            </a:ext>
          </a:extLst>
        </xdr:cNvPr>
        <xdr:cNvSpPr/>
      </xdr:nvSpPr>
      <xdr:spPr>
        <a:xfrm>
          <a:off x="3683000" y="1952625"/>
          <a:ext cx="254000" cy="311150"/>
        </a:xfrm>
        <a:prstGeom prst="star5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21</xdr:col>
      <xdr:colOff>130175</xdr:colOff>
      <xdr:row>36</xdr:row>
      <xdr:rowOff>85725</xdr:rowOff>
    </xdr:from>
    <xdr:to>
      <xdr:col>22</xdr:col>
      <xdr:colOff>117475</xdr:colOff>
      <xdr:row>37</xdr:row>
      <xdr:rowOff>196850</xdr:rowOff>
    </xdr:to>
    <xdr:sp macro="" textlink="">
      <xdr:nvSpPr>
        <xdr:cNvPr id="4" name="ดาว 5 แฉก 3">
          <a:extLst>
            <a:ext uri="{FF2B5EF4-FFF2-40B4-BE49-F238E27FC236}">
              <a16:creationId xmlns:a16="http://schemas.microsoft.com/office/drawing/2014/main" id="{3DF27A29-CF04-9D47-A177-43B6491D7FC0}"/>
            </a:ext>
          </a:extLst>
        </xdr:cNvPr>
        <xdr:cNvSpPr/>
      </xdr:nvSpPr>
      <xdr:spPr>
        <a:xfrm>
          <a:off x="7893050" y="7372350"/>
          <a:ext cx="254000" cy="311150"/>
        </a:xfrm>
        <a:prstGeom prst="star5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177800</xdr:colOff>
      <xdr:row>31</xdr:row>
      <xdr:rowOff>57150</xdr:rowOff>
    </xdr:from>
    <xdr:to>
      <xdr:col>17</xdr:col>
      <xdr:colOff>165100</xdr:colOff>
      <xdr:row>32</xdr:row>
      <xdr:rowOff>168275</xdr:rowOff>
    </xdr:to>
    <xdr:sp macro="" textlink="">
      <xdr:nvSpPr>
        <xdr:cNvPr id="5" name="ดาว 5 แฉก 3">
          <a:extLst>
            <a:ext uri="{FF2B5EF4-FFF2-40B4-BE49-F238E27FC236}">
              <a16:creationId xmlns:a16="http://schemas.microsoft.com/office/drawing/2014/main" id="{BDB90381-5A4F-4407-873C-BA62E012F19A}"/>
            </a:ext>
          </a:extLst>
        </xdr:cNvPr>
        <xdr:cNvSpPr/>
      </xdr:nvSpPr>
      <xdr:spPr>
        <a:xfrm>
          <a:off x="6607175" y="6343650"/>
          <a:ext cx="254000" cy="311150"/>
        </a:xfrm>
        <a:prstGeom prst="star5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37</xdr:col>
      <xdr:colOff>130175</xdr:colOff>
      <xdr:row>57</xdr:row>
      <xdr:rowOff>85725</xdr:rowOff>
    </xdr:from>
    <xdr:to>
      <xdr:col>38</xdr:col>
      <xdr:colOff>117475</xdr:colOff>
      <xdr:row>58</xdr:row>
      <xdr:rowOff>196850</xdr:rowOff>
    </xdr:to>
    <xdr:sp macro="" textlink="">
      <xdr:nvSpPr>
        <xdr:cNvPr id="6" name="ดาว 5 แฉก 3">
          <a:extLst>
            <a:ext uri="{FF2B5EF4-FFF2-40B4-BE49-F238E27FC236}">
              <a16:creationId xmlns:a16="http://schemas.microsoft.com/office/drawing/2014/main" id="{827C0EB9-FCD6-467B-9A89-D1EF1D84E36A}"/>
            </a:ext>
          </a:extLst>
        </xdr:cNvPr>
        <xdr:cNvSpPr/>
      </xdr:nvSpPr>
      <xdr:spPr>
        <a:xfrm>
          <a:off x="7893050" y="7372350"/>
          <a:ext cx="254000" cy="311150"/>
        </a:xfrm>
        <a:prstGeom prst="star5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32</xdr:col>
      <xdr:colOff>196850</xdr:colOff>
      <xdr:row>52</xdr:row>
      <xdr:rowOff>57150</xdr:rowOff>
    </xdr:from>
    <xdr:to>
      <xdr:col>33</xdr:col>
      <xdr:colOff>184150</xdr:colOff>
      <xdr:row>53</xdr:row>
      <xdr:rowOff>168275</xdr:rowOff>
    </xdr:to>
    <xdr:sp macro="" textlink="">
      <xdr:nvSpPr>
        <xdr:cNvPr id="7" name="ดาว 5 แฉก 3">
          <a:extLst>
            <a:ext uri="{FF2B5EF4-FFF2-40B4-BE49-F238E27FC236}">
              <a16:creationId xmlns:a16="http://schemas.microsoft.com/office/drawing/2014/main" id="{3AFA048B-E8DB-429A-92D4-C671D24FCDBF}"/>
            </a:ext>
          </a:extLst>
        </xdr:cNvPr>
        <xdr:cNvSpPr/>
      </xdr:nvSpPr>
      <xdr:spPr>
        <a:xfrm>
          <a:off x="10893425" y="10582275"/>
          <a:ext cx="254000" cy="311150"/>
        </a:xfrm>
        <a:prstGeom prst="star5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234950</xdr:colOff>
      <xdr:row>44</xdr:row>
      <xdr:rowOff>66675</xdr:rowOff>
    </xdr:from>
    <xdr:to>
      <xdr:col>21</xdr:col>
      <xdr:colOff>222250</xdr:colOff>
      <xdr:row>45</xdr:row>
      <xdr:rowOff>177800</xdr:rowOff>
    </xdr:to>
    <xdr:sp macro="" textlink="">
      <xdr:nvSpPr>
        <xdr:cNvPr id="9" name="ดาว 5 แฉก 3">
          <a:extLst>
            <a:ext uri="{FF2B5EF4-FFF2-40B4-BE49-F238E27FC236}">
              <a16:creationId xmlns:a16="http://schemas.microsoft.com/office/drawing/2014/main" id="{05484D99-C05F-4185-9A27-1C475F81F56A}"/>
            </a:ext>
          </a:extLst>
        </xdr:cNvPr>
        <xdr:cNvSpPr/>
      </xdr:nvSpPr>
      <xdr:spPr>
        <a:xfrm>
          <a:off x="7731125" y="8991600"/>
          <a:ext cx="254000" cy="311150"/>
        </a:xfrm>
        <a:prstGeom prst="star5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T255187-Proposal-CTM-Job%20Family%20Restructuring%20v1.2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TTEP-IDP-Calsheet%20V2.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</sheetNames>
    <sheetDataSet>
      <sheetData sheetId="0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3:38.89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3:38.8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3:38.89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3:38.89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3:38.89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3:38.8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6:55.6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6:55.60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6:55.60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6:55.60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6:55.60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2:06:55.61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1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1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2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2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2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3:11:10.3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EFC2-B981-484B-8ED3-4D3D686EE0C5}">
  <dimension ref="A1:K35"/>
  <sheetViews>
    <sheetView topLeftCell="A3" workbookViewId="0">
      <selection activeCell="D38" sqref="D38"/>
    </sheetView>
  </sheetViews>
  <sheetFormatPr baseColWidth="10" defaultColWidth="8.83203125" defaultRowHeight="16" x14ac:dyDescent="0.2"/>
  <cols>
    <col min="2" max="5" width="22.83203125" customWidth="1"/>
  </cols>
  <sheetData>
    <row r="1" spans="1:11" x14ac:dyDescent="0.2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ht="17" thickBot="1" x14ac:dyDescent="0.25">
      <c r="A2" s="93"/>
      <c r="B2" s="94"/>
      <c r="C2" s="94"/>
      <c r="D2" s="93"/>
      <c r="E2" s="93"/>
      <c r="F2" s="93"/>
      <c r="G2" s="93"/>
      <c r="H2" s="93"/>
      <c r="I2" s="93"/>
      <c r="J2" s="93"/>
      <c r="K2" s="93"/>
    </row>
    <row r="3" spans="1:11" x14ac:dyDescent="0.2">
      <c r="A3" s="93"/>
      <c r="B3" s="95" t="s">
        <v>128</v>
      </c>
      <c r="C3" s="96" t="e">
        <v>#REF!</v>
      </c>
      <c r="D3" s="93"/>
      <c r="E3" s="93"/>
      <c r="F3" s="93"/>
      <c r="G3" s="93"/>
      <c r="H3" s="93"/>
      <c r="I3" s="93"/>
      <c r="J3" s="93"/>
      <c r="K3" s="93"/>
    </row>
    <row r="4" spans="1:11" x14ac:dyDescent="0.2">
      <c r="A4" s="93"/>
      <c r="B4" s="97" t="s">
        <v>129</v>
      </c>
      <c r="C4" s="98" t="e">
        <v>#REF!</v>
      </c>
      <c r="D4" s="93"/>
      <c r="E4" s="93"/>
      <c r="F4" s="93"/>
      <c r="G4" s="93"/>
      <c r="H4" s="93"/>
      <c r="I4" s="93"/>
      <c r="J4" s="93"/>
      <c r="K4" s="93"/>
    </row>
    <row r="5" spans="1:11" x14ac:dyDescent="0.2">
      <c r="A5" s="93"/>
      <c r="B5" s="97" t="s">
        <v>126</v>
      </c>
      <c r="C5" s="98"/>
      <c r="D5" s="93"/>
      <c r="E5" s="93"/>
      <c r="F5" s="93"/>
      <c r="G5" s="93"/>
      <c r="H5" s="93"/>
      <c r="I5" s="93"/>
      <c r="J5" s="93"/>
      <c r="K5" s="93"/>
    </row>
    <row r="6" spans="1:11" ht="17" thickBot="1" x14ac:dyDescent="0.25">
      <c r="A6" s="93"/>
      <c r="B6" s="99" t="s">
        <v>0</v>
      </c>
      <c r="C6" s="100" t="e">
        <v>#REF!</v>
      </c>
      <c r="D6" s="93"/>
      <c r="E6" s="93"/>
      <c r="F6" s="93"/>
      <c r="G6" s="93"/>
      <c r="H6" s="93"/>
      <c r="I6" s="93"/>
      <c r="J6" s="93"/>
      <c r="K6" s="93"/>
    </row>
    <row r="7" spans="1:11" ht="17" thickTop="1" x14ac:dyDescent="0.2">
      <c r="A7" s="93"/>
      <c r="B7" s="93"/>
      <c r="C7" s="93"/>
      <c r="D7" s="93"/>
      <c r="E7" s="93"/>
      <c r="F7" s="93"/>
      <c r="G7" s="93"/>
      <c r="H7" s="93"/>
      <c r="I7" s="93"/>
      <c r="J7" s="93"/>
      <c r="K7" s="93"/>
    </row>
    <row r="8" spans="1:11" ht="17" thickBot="1" x14ac:dyDescent="0.25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</row>
    <row r="9" spans="1:11" x14ac:dyDescent="0.2">
      <c r="A9" s="93"/>
      <c r="B9" s="101" t="s">
        <v>130</v>
      </c>
      <c r="C9" s="101" t="s">
        <v>131</v>
      </c>
      <c r="D9" s="101" t="s">
        <v>132</v>
      </c>
      <c r="E9" s="101" t="s">
        <v>133</v>
      </c>
      <c r="F9" s="93"/>
      <c r="G9" s="93"/>
      <c r="H9" s="93"/>
      <c r="I9" s="93"/>
      <c r="J9" s="93"/>
      <c r="K9" s="93"/>
    </row>
    <row r="10" spans="1:11" x14ac:dyDescent="0.2">
      <c r="A10" s="93"/>
      <c r="B10" s="102"/>
      <c r="C10" s="103"/>
      <c r="D10" s="103"/>
      <c r="E10" s="103">
        <v>0</v>
      </c>
      <c r="F10" s="93"/>
      <c r="G10" s="93"/>
      <c r="H10" s="93"/>
      <c r="I10" s="93"/>
      <c r="J10" s="93"/>
      <c r="K10" s="93"/>
    </row>
    <row r="11" spans="1:11" x14ac:dyDescent="0.2">
      <c r="A11" s="93"/>
      <c r="B11" s="104"/>
      <c r="C11" s="105"/>
      <c r="D11" s="105"/>
      <c r="E11" s="105">
        <v>0</v>
      </c>
      <c r="F11" s="93"/>
      <c r="G11" s="93"/>
      <c r="H11" s="93"/>
      <c r="I11" s="93"/>
      <c r="J11" s="93"/>
      <c r="K11" s="93"/>
    </row>
    <row r="12" spans="1:11" x14ac:dyDescent="0.2">
      <c r="A12" s="93"/>
      <c r="B12" s="104"/>
      <c r="C12" s="105"/>
      <c r="D12" s="105"/>
      <c r="E12" s="105">
        <v>0</v>
      </c>
      <c r="F12" s="93"/>
      <c r="G12" s="93"/>
      <c r="H12" s="93"/>
      <c r="I12" s="93"/>
      <c r="J12" s="93"/>
      <c r="K12" s="93"/>
    </row>
    <row r="13" spans="1:11" ht="17" thickBot="1" x14ac:dyDescent="0.25">
      <c r="A13" s="93"/>
      <c r="B13" s="93"/>
      <c r="C13" s="93"/>
      <c r="D13" s="93" t="s">
        <v>0</v>
      </c>
      <c r="E13" s="106">
        <v>0</v>
      </c>
      <c r="F13" s="93"/>
      <c r="G13" s="93"/>
      <c r="H13" s="93"/>
      <c r="I13" s="93"/>
      <c r="J13" s="93"/>
      <c r="K13" s="93"/>
    </row>
    <row r="14" spans="1:11" ht="21" thickTop="1" thickBot="1" x14ac:dyDescent="0.25">
      <c r="A14" s="93"/>
      <c r="B14" s="107"/>
      <c r="C14" s="93"/>
      <c r="D14" s="93"/>
      <c r="E14" s="93"/>
      <c r="F14" s="93"/>
      <c r="G14" s="93"/>
      <c r="H14" s="93"/>
      <c r="I14" s="93"/>
      <c r="J14" s="93"/>
      <c r="K14" s="93"/>
    </row>
    <row r="15" spans="1:11" x14ac:dyDescent="0.2">
      <c r="A15" s="93"/>
      <c r="B15" s="101" t="s">
        <v>134</v>
      </c>
      <c r="C15" s="101" t="s">
        <v>131</v>
      </c>
      <c r="D15" s="101" t="s">
        <v>132</v>
      </c>
      <c r="E15" s="101" t="s">
        <v>135</v>
      </c>
      <c r="F15" s="93"/>
      <c r="G15" s="93"/>
      <c r="H15" s="93"/>
      <c r="I15" s="93"/>
      <c r="J15" s="93"/>
      <c r="K15" s="93"/>
    </row>
    <row r="16" spans="1:11" x14ac:dyDescent="0.2">
      <c r="A16" s="93"/>
      <c r="B16" s="102"/>
      <c r="C16" s="103"/>
      <c r="D16" s="103">
        <v>600</v>
      </c>
      <c r="E16" s="103">
        <v>0</v>
      </c>
      <c r="F16" s="93"/>
      <c r="G16" s="93"/>
      <c r="H16" s="93"/>
      <c r="I16" s="93"/>
      <c r="J16" s="93"/>
      <c r="K16" s="93"/>
    </row>
    <row r="17" spans="1:11" x14ac:dyDescent="0.2">
      <c r="A17" s="93"/>
      <c r="B17" s="104"/>
      <c r="C17" s="105"/>
      <c r="D17" s="105">
        <v>600</v>
      </c>
      <c r="E17" s="105">
        <v>0</v>
      </c>
      <c r="F17" s="93"/>
      <c r="G17" s="93"/>
      <c r="H17" s="93"/>
      <c r="I17" s="93"/>
      <c r="J17" s="93"/>
      <c r="K17" s="93"/>
    </row>
    <row r="18" spans="1:11" x14ac:dyDescent="0.2">
      <c r="A18" s="93"/>
      <c r="B18" s="104"/>
      <c r="C18" s="105"/>
      <c r="D18" s="105">
        <v>600</v>
      </c>
      <c r="E18" s="105">
        <v>0</v>
      </c>
      <c r="F18" s="93"/>
      <c r="G18" s="93"/>
      <c r="H18" s="93"/>
      <c r="I18" s="93"/>
      <c r="J18" s="93"/>
      <c r="K18" s="93"/>
    </row>
    <row r="19" spans="1:11" ht="17" thickBot="1" x14ac:dyDescent="0.25">
      <c r="A19" s="93"/>
      <c r="B19" s="93"/>
      <c r="C19" s="93"/>
      <c r="D19" s="93" t="s">
        <v>0</v>
      </c>
      <c r="E19" s="106">
        <v>0</v>
      </c>
      <c r="F19" s="93"/>
      <c r="G19" s="93"/>
      <c r="H19" s="93"/>
      <c r="I19" s="93"/>
      <c r="J19" s="93"/>
      <c r="K19" s="93"/>
    </row>
    <row r="20" spans="1:11" ht="17" thickTop="1" x14ac:dyDescent="0.2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</row>
    <row r="21" spans="1:11" ht="17" thickBot="1" x14ac:dyDescent="0.25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</row>
    <row r="22" spans="1:11" ht="17" thickBot="1" x14ac:dyDescent="0.25">
      <c r="A22" s="93"/>
      <c r="B22" s="108" t="s">
        <v>136</v>
      </c>
      <c r="C22" s="109" t="s">
        <v>137</v>
      </c>
      <c r="D22" s="110" t="s">
        <v>138</v>
      </c>
      <c r="E22" s="93"/>
      <c r="F22" s="93"/>
      <c r="G22" s="93"/>
      <c r="H22" s="93"/>
      <c r="I22" s="93"/>
      <c r="J22" s="93"/>
      <c r="K22" s="93"/>
    </row>
    <row r="23" spans="1:11" x14ac:dyDescent="0.2">
      <c r="A23" s="93"/>
      <c r="B23" s="122" t="s">
        <v>197</v>
      </c>
      <c r="C23" s="123"/>
      <c r="D23" s="124"/>
      <c r="E23" s="93"/>
      <c r="F23" s="93"/>
      <c r="G23" s="93"/>
      <c r="H23" s="93"/>
      <c r="I23" s="93"/>
      <c r="J23" s="93"/>
      <c r="K23" s="93"/>
    </row>
    <row r="24" spans="1:11" x14ac:dyDescent="0.2">
      <c r="A24" s="93"/>
      <c r="B24" s="111" t="s">
        <v>144</v>
      </c>
      <c r="C24" s="112">
        <v>0.3</v>
      </c>
      <c r="D24" s="113" t="s">
        <v>145</v>
      </c>
      <c r="E24" s="93"/>
      <c r="F24" s="93"/>
      <c r="G24" s="93"/>
      <c r="H24" s="93"/>
      <c r="I24" s="93"/>
      <c r="J24" s="93"/>
      <c r="K24" s="93"/>
    </row>
    <row r="25" spans="1:11" ht="17" thickBot="1" x14ac:dyDescent="0.25">
      <c r="A25" s="93"/>
      <c r="B25" s="111" t="s">
        <v>146</v>
      </c>
      <c r="C25" s="112">
        <v>0.5</v>
      </c>
      <c r="D25" s="113" t="s">
        <v>145</v>
      </c>
      <c r="E25" s="93"/>
      <c r="F25" s="93"/>
      <c r="G25" s="93"/>
      <c r="H25" s="93"/>
      <c r="I25" s="93"/>
      <c r="J25" s="93"/>
      <c r="K25" s="93"/>
    </row>
    <row r="26" spans="1:11" ht="17" thickBot="1" x14ac:dyDescent="0.25">
      <c r="A26" s="93"/>
      <c r="B26" s="111" t="s">
        <v>147</v>
      </c>
      <c r="C26" s="115">
        <v>0.2</v>
      </c>
      <c r="D26" s="116" t="s">
        <v>145</v>
      </c>
      <c r="E26" s="93"/>
      <c r="F26" s="93"/>
      <c r="G26" s="95" t="s">
        <v>139</v>
      </c>
      <c r="H26" s="96" t="e">
        <v>#REF!</v>
      </c>
      <c r="I26" s="93"/>
      <c r="J26" s="93"/>
      <c r="K26" s="93"/>
    </row>
    <row r="27" spans="1:11" x14ac:dyDescent="0.2">
      <c r="A27" s="93"/>
      <c r="B27" s="122" t="s">
        <v>198</v>
      </c>
      <c r="C27" s="125"/>
      <c r="D27" s="126"/>
      <c r="E27" s="93"/>
      <c r="F27" s="93"/>
      <c r="G27" s="127"/>
      <c r="H27" s="128"/>
      <c r="I27" s="93"/>
      <c r="J27" s="93"/>
      <c r="K27" s="93"/>
    </row>
    <row r="28" spans="1:11" x14ac:dyDescent="0.2">
      <c r="A28" s="93"/>
      <c r="B28" s="111" t="s">
        <v>144</v>
      </c>
      <c r="C28" s="112">
        <v>0.3</v>
      </c>
      <c r="D28" s="113" t="s">
        <v>145</v>
      </c>
      <c r="E28" s="93"/>
      <c r="F28" s="93"/>
      <c r="G28" s="93"/>
      <c r="H28" s="93"/>
      <c r="I28" s="93"/>
      <c r="J28" s="93"/>
      <c r="K28" s="93"/>
    </row>
    <row r="29" spans="1:11" ht="17" thickBot="1" x14ac:dyDescent="0.25">
      <c r="A29" s="93"/>
      <c r="B29" s="111" t="s">
        <v>146</v>
      </c>
      <c r="C29" s="112">
        <v>0.5</v>
      </c>
      <c r="D29" s="113" t="s">
        <v>145</v>
      </c>
      <c r="E29" s="93"/>
      <c r="F29" s="93"/>
      <c r="G29" s="93"/>
      <c r="H29" s="93"/>
      <c r="I29" s="93"/>
      <c r="J29" s="93"/>
      <c r="K29" s="93"/>
    </row>
    <row r="30" spans="1:11" ht="17" thickBot="1" x14ac:dyDescent="0.25">
      <c r="A30" s="93"/>
      <c r="B30" s="111" t="s">
        <v>147</v>
      </c>
      <c r="C30" s="115">
        <v>0.2</v>
      </c>
      <c r="D30" s="116" t="s">
        <v>145</v>
      </c>
      <c r="E30" s="93"/>
      <c r="F30" s="93"/>
      <c r="G30" s="95" t="s">
        <v>139</v>
      </c>
      <c r="H30" s="96" t="e">
        <v>#REF!</v>
      </c>
      <c r="I30" s="93"/>
      <c r="J30" s="93"/>
      <c r="K30" s="93"/>
    </row>
    <row r="31" spans="1:11" ht="17" thickBot="1" x14ac:dyDescent="0.25">
      <c r="A31" s="93"/>
      <c r="B31" s="93"/>
      <c r="C31" s="117"/>
      <c r="D31" s="118"/>
      <c r="E31" s="93"/>
      <c r="F31" s="93"/>
      <c r="G31" s="97" t="s">
        <v>140</v>
      </c>
      <c r="H31" s="98" t="e">
        <v>#REF!</v>
      </c>
      <c r="I31" s="93"/>
      <c r="J31" s="93"/>
      <c r="K31" s="93"/>
    </row>
    <row r="32" spans="1:11" ht="17" thickBot="1" x14ac:dyDescent="0.25">
      <c r="A32" s="93"/>
      <c r="B32" s="108" t="s">
        <v>141</v>
      </c>
      <c r="C32" s="109" t="s">
        <v>137</v>
      </c>
      <c r="D32" s="110" t="s">
        <v>138</v>
      </c>
      <c r="E32" s="93"/>
      <c r="F32" s="93"/>
      <c r="G32" s="97" t="s">
        <v>142</v>
      </c>
      <c r="H32" s="98" t="e">
        <v>#REF!</v>
      </c>
      <c r="I32" s="93"/>
      <c r="J32" s="93"/>
      <c r="K32" s="93"/>
    </row>
    <row r="33" spans="1:11" ht="20" thickBot="1" x14ac:dyDescent="0.3">
      <c r="A33" s="93"/>
      <c r="B33" s="111"/>
      <c r="C33" s="112"/>
      <c r="D33" s="113" t="e">
        <v>#REF!</v>
      </c>
      <c r="E33" s="93"/>
      <c r="F33" s="93"/>
      <c r="G33" s="119" t="s">
        <v>143</v>
      </c>
      <c r="H33" s="120" t="e">
        <v>#REF!</v>
      </c>
      <c r="I33" s="93"/>
      <c r="J33" s="93"/>
      <c r="K33" s="93"/>
    </row>
    <row r="34" spans="1:11" x14ac:dyDescent="0.2">
      <c r="A34" s="93"/>
      <c r="B34" s="111"/>
      <c r="C34" s="112"/>
      <c r="D34" s="113" t="e">
        <v>#REF!</v>
      </c>
      <c r="E34" s="93"/>
      <c r="F34" s="93"/>
      <c r="G34" s="93"/>
      <c r="H34" s="93"/>
      <c r="I34" s="93"/>
      <c r="J34" s="93"/>
      <c r="K34" s="93"/>
    </row>
    <row r="35" spans="1:11" ht="17" thickBot="1" x14ac:dyDescent="0.25">
      <c r="A35" s="93"/>
      <c r="B35" s="114"/>
      <c r="C35" s="115">
        <v>0</v>
      </c>
      <c r="D35" s="121" t="e">
        <v>#REF!</v>
      </c>
      <c r="E35" s="93"/>
      <c r="F35" s="93"/>
      <c r="G35" s="93"/>
      <c r="H35" s="93"/>
      <c r="I35" s="93"/>
      <c r="J35" s="93"/>
      <c r="K35" s="9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6328-1F64-4274-A884-A0C5EFF7CD96}">
  <dimension ref="A1:H42"/>
  <sheetViews>
    <sheetView tabSelected="1" topLeftCell="A16" zoomScale="156" workbookViewId="0">
      <selection activeCell="A29" sqref="A29"/>
    </sheetView>
  </sheetViews>
  <sheetFormatPr baseColWidth="10" defaultColWidth="8.83203125" defaultRowHeight="16" x14ac:dyDescent="0.2"/>
  <cols>
    <col min="2" max="7" width="25" customWidth="1"/>
  </cols>
  <sheetData>
    <row r="1" spans="1:8" ht="17" thickBot="1" x14ac:dyDescent="0.25">
      <c r="A1" t="s">
        <v>197</v>
      </c>
    </row>
    <row r="2" spans="1:8" x14ac:dyDescent="0.2">
      <c r="A2" s="163" t="s">
        <v>106</v>
      </c>
      <c r="B2" s="163"/>
      <c r="C2" s="163"/>
      <c r="D2" s="163"/>
      <c r="E2" s="164"/>
      <c r="F2" s="167" t="s">
        <v>107</v>
      </c>
      <c r="G2" s="168"/>
      <c r="H2" s="63"/>
    </row>
    <row r="3" spans="1:8" x14ac:dyDescent="0.2">
      <c r="A3" s="165"/>
      <c r="B3" s="165"/>
      <c r="C3" s="165"/>
      <c r="D3" s="165"/>
      <c r="E3" s="166"/>
      <c r="F3" s="169"/>
      <c r="G3" s="170"/>
      <c r="H3" s="64"/>
    </row>
    <row r="4" spans="1:8" ht="17" thickBot="1" x14ac:dyDescent="0.25">
      <c r="A4" s="65" t="s">
        <v>9</v>
      </c>
      <c r="B4" s="66" t="s">
        <v>25</v>
      </c>
      <c r="C4" s="67" t="s">
        <v>108</v>
      </c>
      <c r="D4" s="67" t="s">
        <v>109</v>
      </c>
      <c r="E4" s="67" t="s">
        <v>110</v>
      </c>
      <c r="F4" s="68" t="s">
        <v>111</v>
      </c>
      <c r="G4" s="69" t="s">
        <v>112</v>
      </c>
      <c r="H4" s="71"/>
    </row>
    <row r="5" spans="1:8" x14ac:dyDescent="0.2">
      <c r="A5" s="72">
        <v>1</v>
      </c>
      <c r="B5" s="73" t="str">
        <f>Calsheet!D2</f>
        <v>Somsunh
Somburanayut</v>
      </c>
      <c r="C5" s="74" t="s">
        <v>113</v>
      </c>
      <c r="D5" s="75" t="s">
        <v>114</v>
      </c>
      <c r="E5" s="76"/>
      <c r="F5" s="74">
        <f>Calsheet!D117</f>
        <v>25</v>
      </c>
      <c r="G5" s="77"/>
      <c r="H5" s="78">
        <v>0</v>
      </c>
    </row>
    <row r="6" spans="1:8" x14ac:dyDescent="0.2">
      <c r="A6" s="72">
        <v>2</v>
      </c>
      <c r="B6" s="79" t="str">
        <f>Calsheet!E2</f>
        <v>KRITSADA POOLWAN</v>
      </c>
      <c r="C6" s="72" t="s">
        <v>113</v>
      </c>
      <c r="D6" s="80" t="s">
        <v>115</v>
      </c>
      <c r="E6" s="81"/>
      <c r="F6" s="72">
        <f>Calsheet!E117</f>
        <v>71</v>
      </c>
      <c r="G6" s="82"/>
      <c r="H6" s="78">
        <v>0</v>
      </c>
    </row>
    <row r="7" spans="1:8" x14ac:dyDescent="0.2">
      <c r="A7" s="72">
        <v>3</v>
      </c>
      <c r="B7" s="79" t="str">
        <f>Calsheet!F2</f>
        <v>WIPAVEE PETCHREON</v>
      </c>
      <c r="C7" s="72" t="s">
        <v>113</v>
      </c>
      <c r="D7" s="79" t="s">
        <v>116</v>
      </c>
      <c r="E7" s="79"/>
      <c r="F7" s="72">
        <f>Calsheet!F117</f>
        <v>90</v>
      </c>
      <c r="G7" s="82"/>
      <c r="H7" s="78">
        <v>0</v>
      </c>
    </row>
    <row r="8" spans="1:8" x14ac:dyDescent="0.2">
      <c r="A8" s="72">
        <v>4</v>
      </c>
      <c r="B8" s="79" t="str">
        <f>Calsheet!G2</f>
        <v>SUWIT KLANGCHAWIANG</v>
      </c>
      <c r="C8" s="74" t="s">
        <v>113</v>
      </c>
      <c r="D8" s="79" t="s">
        <v>117</v>
      </c>
      <c r="E8" s="79"/>
      <c r="F8" s="72">
        <f>Calsheet!G117</f>
        <v>34</v>
      </c>
      <c r="G8" s="82"/>
      <c r="H8" s="78"/>
    </row>
    <row r="9" spans="1:8" x14ac:dyDescent="0.2">
      <c r="A9" s="72">
        <v>5</v>
      </c>
      <c r="B9" s="79" t="str">
        <f>Calsheet!H2</f>
        <v>KHAJORN WONGSILP</v>
      </c>
      <c r="C9" s="74" t="s">
        <v>113</v>
      </c>
      <c r="D9" s="79" t="s">
        <v>117</v>
      </c>
      <c r="E9" s="79"/>
      <c r="F9" s="72">
        <f>Calsheet!H117</f>
        <v>25</v>
      </c>
      <c r="G9" s="82"/>
      <c r="H9" s="78"/>
    </row>
    <row r="10" spans="1:8" x14ac:dyDescent="0.2">
      <c r="A10" s="72">
        <v>6</v>
      </c>
      <c r="B10" s="79" t="str">
        <f>Calsheet!I2</f>
        <v xml:space="preserve">NATTHAPONG PUTTHIWONG   </v>
      </c>
      <c r="C10" s="74" t="s">
        <v>113</v>
      </c>
      <c r="D10" s="79" t="s">
        <v>117</v>
      </c>
      <c r="E10" s="79"/>
      <c r="F10" s="72">
        <f>Calsheet!I117</f>
        <v>57</v>
      </c>
      <c r="G10" s="82"/>
      <c r="H10" s="78"/>
    </row>
    <row r="11" spans="1:8" x14ac:dyDescent="0.2">
      <c r="A11" s="72">
        <v>7</v>
      </c>
      <c r="B11" s="79" t="str">
        <f>Calsheet!J2</f>
        <v>Gittipong Khaodee</v>
      </c>
      <c r="C11" s="74" t="s">
        <v>113</v>
      </c>
      <c r="D11" s="79" t="s">
        <v>117</v>
      </c>
      <c r="E11" s="79"/>
      <c r="F11" s="72">
        <f>Calsheet!J117</f>
        <v>41</v>
      </c>
      <c r="G11" s="82"/>
      <c r="H11" s="78"/>
    </row>
    <row r="12" spans="1:8" x14ac:dyDescent="0.2">
      <c r="A12" s="72">
        <v>8</v>
      </c>
      <c r="B12" s="79" t="str">
        <f>Calsheet!K2</f>
        <v>Thanachai Ardchon</v>
      </c>
      <c r="C12" s="74" t="s">
        <v>113</v>
      </c>
      <c r="D12" s="79" t="s">
        <v>117</v>
      </c>
      <c r="E12" s="79"/>
      <c r="F12" s="72">
        <f>Calsheet!K117</f>
        <v>21</v>
      </c>
      <c r="G12" s="82"/>
      <c r="H12" s="78"/>
    </row>
    <row r="13" spans="1:8" x14ac:dyDescent="0.2">
      <c r="A13" s="72">
        <v>9</v>
      </c>
      <c r="B13" s="79" t="str">
        <f>Calsheet!L2</f>
        <v>Soros Laohaprapa</v>
      </c>
      <c r="C13" s="74" t="s">
        <v>113</v>
      </c>
      <c r="D13" s="79" t="s">
        <v>117</v>
      </c>
      <c r="E13" s="79"/>
      <c r="F13" s="72">
        <f>Calsheet!L117</f>
        <v>21</v>
      </c>
      <c r="G13" s="82"/>
      <c r="H13" s="78"/>
    </row>
    <row r="14" spans="1:8" x14ac:dyDescent="0.2">
      <c r="A14" s="72">
        <v>10</v>
      </c>
      <c r="B14" s="79" t="str">
        <f>Calsheet!M2</f>
        <v>Thanadol Lerdsakcharoenkul</v>
      </c>
      <c r="C14" s="74" t="s">
        <v>113</v>
      </c>
      <c r="D14" s="79" t="s">
        <v>103</v>
      </c>
      <c r="E14" s="79"/>
      <c r="F14" s="72">
        <f>Calsheet!M117</f>
        <v>3</v>
      </c>
      <c r="G14" s="82"/>
      <c r="H14" s="78">
        <v>0</v>
      </c>
    </row>
    <row r="15" spans="1:8" x14ac:dyDescent="0.2">
      <c r="A15" s="84"/>
      <c r="B15" s="63"/>
      <c r="C15" s="63"/>
      <c r="D15" s="63"/>
      <c r="E15" s="63"/>
      <c r="F15" s="85"/>
      <c r="G15" s="86"/>
      <c r="H15" s="78">
        <v>0</v>
      </c>
    </row>
    <row r="16" spans="1:8" ht="17" thickBot="1" x14ac:dyDescent="0.25">
      <c r="A16" t="s">
        <v>198</v>
      </c>
    </row>
    <row r="17" spans="1:8" x14ac:dyDescent="0.2">
      <c r="A17" s="163" t="s">
        <v>106</v>
      </c>
      <c r="B17" s="163"/>
      <c r="C17" s="163"/>
      <c r="D17" s="163"/>
      <c r="E17" s="164"/>
      <c r="F17" s="167" t="s">
        <v>107</v>
      </c>
      <c r="G17" s="168"/>
      <c r="H17" s="63"/>
    </row>
    <row r="18" spans="1:8" x14ac:dyDescent="0.2">
      <c r="A18" s="165"/>
      <c r="B18" s="165"/>
      <c r="C18" s="165"/>
      <c r="D18" s="165"/>
      <c r="E18" s="166"/>
      <c r="F18" s="169"/>
      <c r="G18" s="170"/>
      <c r="H18" s="64"/>
    </row>
    <row r="19" spans="1:8" ht="17" thickBot="1" x14ac:dyDescent="0.25">
      <c r="A19" s="65" t="s">
        <v>9</v>
      </c>
      <c r="B19" s="66" t="s">
        <v>25</v>
      </c>
      <c r="C19" s="67" t="s">
        <v>108</v>
      </c>
      <c r="D19" s="67" t="s">
        <v>109</v>
      </c>
      <c r="E19" s="67" t="s">
        <v>110</v>
      </c>
      <c r="F19" s="68" t="s">
        <v>111</v>
      </c>
      <c r="G19" s="69" t="s">
        <v>112</v>
      </c>
      <c r="H19" s="71"/>
    </row>
    <row r="20" spans="1:8" x14ac:dyDescent="0.2">
      <c r="A20" s="72">
        <v>1</v>
      </c>
      <c r="B20" s="73" t="s">
        <v>69</v>
      </c>
      <c r="C20" s="74" t="s">
        <v>113</v>
      </c>
      <c r="D20" s="75" t="s">
        <v>114</v>
      </c>
      <c r="E20" s="76"/>
      <c r="F20" s="74">
        <f>Calsheet!D172</f>
        <v>10</v>
      </c>
      <c r="G20" s="77"/>
      <c r="H20" s="78">
        <v>0</v>
      </c>
    </row>
    <row r="21" spans="1:8" x14ac:dyDescent="0.2">
      <c r="A21" s="72">
        <v>2</v>
      </c>
      <c r="B21" s="79" t="s">
        <v>70</v>
      </c>
      <c r="C21" s="72" t="s">
        <v>113</v>
      </c>
      <c r="D21" s="80" t="s">
        <v>115</v>
      </c>
      <c r="E21" s="81"/>
      <c r="F21" s="72">
        <f>Calsheet!E172</f>
        <v>19</v>
      </c>
      <c r="G21" s="82"/>
      <c r="H21" s="78">
        <v>0</v>
      </c>
    </row>
    <row r="22" spans="1:8" x14ac:dyDescent="0.2">
      <c r="A22" s="72">
        <v>3</v>
      </c>
      <c r="B22" s="79" t="s">
        <v>71</v>
      </c>
      <c r="C22" s="72" t="s">
        <v>113</v>
      </c>
      <c r="D22" s="79" t="s">
        <v>116</v>
      </c>
      <c r="E22" s="79"/>
      <c r="F22" s="72">
        <f>Calsheet!F172</f>
        <v>23</v>
      </c>
      <c r="G22" s="82"/>
      <c r="H22" s="78">
        <v>0</v>
      </c>
    </row>
    <row r="23" spans="1:8" x14ac:dyDescent="0.2">
      <c r="A23" s="72">
        <v>4</v>
      </c>
      <c r="B23" s="79" t="s">
        <v>66</v>
      </c>
      <c r="C23" s="74" t="s">
        <v>113</v>
      </c>
      <c r="D23" s="79" t="s">
        <v>117</v>
      </c>
      <c r="E23" s="79"/>
      <c r="F23" s="72">
        <f>Calsheet!G172</f>
        <v>5</v>
      </c>
      <c r="G23" s="82"/>
      <c r="H23" s="78"/>
    </row>
    <row r="24" spans="1:8" x14ac:dyDescent="0.2">
      <c r="A24" s="72">
        <v>5</v>
      </c>
      <c r="B24" s="79" t="s">
        <v>67</v>
      </c>
      <c r="C24" s="74" t="s">
        <v>113</v>
      </c>
      <c r="D24" s="79" t="s">
        <v>117</v>
      </c>
      <c r="E24" s="79"/>
      <c r="F24" s="72">
        <f>Calsheet!H172</f>
        <v>5</v>
      </c>
      <c r="G24" s="82"/>
      <c r="H24" s="78"/>
    </row>
    <row r="25" spans="1:8" x14ac:dyDescent="0.2">
      <c r="A25" s="72">
        <v>6</v>
      </c>
      <c r="B25" s="79" t="s">
        <v>68</v>
      </c>
      <c r="C25" s="74" t="s">
        <v>113</v>
      </c>
      <c r="D25" s="79" t="s">
        <v>117</v>
      </c>
      <c r="E25" s="79"/>
      <c r="F25" s="72">
        <f>Calsheet!I172</f>
        <v>15</v>
      </c>
      <c r="G25" s="82"/>
      <c r="H25" s="78"/>
    </row>
    <row r="26" spans="1:8" x14ac:dyDescent="0.2">
      <c r="A26" s="72">
        <v>7</v>
      </c>
      <c r="B26" s="79" t="s">
        <v>26</v>
      </c>
      <c r="C26" s="74" t="s">
        <v>113</v>
      </c>
      <c r="D26" s="79" t="s">
        <v>117</v>
      </c>
      <c r="E26" s="79"/>
      <c r="F26" s="72">
        <f>Calsheet!J172</f>
        <v>13</v>
      </c>
      <c r="G26" s="82"/>
      <c r="H26" s="78"/>
    </row>
    <row r="27" spans="1:8" x14ac:dyDescent="0.2">
      <c r="A27" s="72">
        <v>8</v>
      </c>
      <c r="B27" s="79" t="s">
        <v>28</v>
      </c>
      <c r="C27" s="74" t="s">
        <v>113</v>
      </c>
      <c r="D27" s="79" t="s">
        <v>117</v>
      </c>
      <c r="E27" s="79"/>
      <c r="F27" s="72">
        <f>Calsheet!L172</f>
        <v>4</v>
      </c>
      <c r="G27" s="82"/>
      <c r="H27" s="78"/>
    </row>
    <row r="28" spans="1:8" x14ac:dyDescent="0.2">
      <c r="A28" s="72">
        <v>9</v>
      </c>
      <c r="B28" s="79" t="s">
        <v>202</v>
      </c>
      <c r="C28" s="74" t="s">
        <v>113</v>
      </c>
      <c r="D28" s="79" t="s">
        <v>103</v>
      </c>
      <c r="E28" s="79"/>
      <c r="F28" s="72">
        <f>Calsheet!M172</f>
        <v>3</v>
      </c>
      <c r="G28" s="82"/>
      <c r="H28" s="78">
        <v>0</v>
      </c>
    </row>
    <row r="29" spans="1:8" x14ac:dyDescent="0.2">
      <c r="A29" s="84"/>
      <c r="B29" s="129"/>
      <c r="C29" s="130"/>
      <c r="D29" s="129"/>
      <c r="E29" s="129"/>
      <c r="F29" s="84"/>
      <c r="G29" s="131"/>
      <c r="H29" s="78"/>
    </row>
    <row r="30" spans="1:8" x14ac:dyDescent="0.2">
      <c r="A30" s="171" t="s">
        <v>118</v>
      </c>
      <c r="B30" s="172"/>
      <c r="C30" s="87" t="s">
        <v>119</v>
      </c>
      <c r="D30" s="63"/>
      <c r="E30" s="63"/>
      <c r="F30" s="63"/>
      <c r="G30" s="88"/>
      <c r="H30" s="70"/>
    </row>
    <row r="31" spans="1:8" x14ac:dyDescent="0.2">
      <c r="A31" s="83">
        <v>1</v>
      </c>
      <c r="B31" s="89" t="s">
        <v>120</v>
      </c>
      <c r="C31" s="90" t="s">
        <v>121</v>
      </c>
      <c r="D31" s="63"/>
      <c r="E31" s="63"/>
      <c r="F31" s="63"/>
      <c r="G31" s="63"/>
      <c r="H31" s="70"/>
    </row>
    <row r="32" spans="1:8" x14ac:dyDescent="0.2">
      <c r="A32" s="83">
        <v>2</v>
      </c>
      <c r="B32" s="89" t="s">
        <v>122</v>
      </c>
      <c r="C32" s="90" t="s">
        <v>121</v>
      </c>
      <c r="D32" s="63"/>
      <c r="E32" s="63"/>
      <c r="F32" s="63"/>
      <c r="G32" s="63"/>
      <c r="H32" s="70"/>
    </row>
    <row r="33" spans="1:8" x14ac:dyDescent="0.2">
      <c r="A33" s="83">
        <v>3</v>
      </c>
      <c r="B33" s="89" t="s">
        <v>123</v>
      </c>
      <c r="C33" s="90" t="s">
        <v>121</v>
      </c>
      <c r="D33" s="63"/>
      <c r="E33" s="63"/>
      <c r="F33" s="63"/>
      <c r="G33" s="63"/>
      <c r="H33" s="63"/>
    </row>
    <row r="34" spans="1:8" x14ac:dyDescent="0.2">
      <c r="A34" s="83">
        <v>4</v>
      </c>
      <c r="B34" s="89" t="s">
        <v>124</v>
      </c>
      <c r="C34" s="91" t="s">
        <v>121</v>
      </c>
      <c r="D34" s="63"/>
      <c r="E34" s="63"/>
      <c r="F34" s="63"/>
      <c r="G34" s="63"/>
      <c r="H34" s="63"/>
    </row>
    <row r="35" spans="1:8" x14ac:dyDescent="0.2">
      <c r="A35" s="83">
        <v>5</v>
      </c>
      <c r="B35" s="89" t="s">
        <v>125</v>
      </c>
      <c r="C35" s="91" t="s">
        <v>121</v>
      </c>
      <c r="D35" s="63"/>
      <c r="E35" s="63"/>
      <c r="F35" s="63"/>
      <c r="G35" s="86"/>
      <c r="H35" s="63"/>
    </row>
    <row r="36" spans="1:8" x14ac:dyDescent="0.2">
      <c r="A36" s="83">
        <v>6</v>
      </c>
      <c r="B36" s="89" t="s">
        <v>126</v>
      </c>
      <c r="C36" s="91"/>
      <c r="D36" s="63"/>
      <c r="E36" s="63"/>
      <c r="F36" s="85"/>
      <c r="G36" s="86"/>
      <c r="H36" s="63"/>
    </row>
    <row r="37" spans="1:8" x14ac:dyDescent="0.2">
      <c r="A37" s="84"/>
      <c r="B37" s="63"/>
      <c r="C37" s="63"/>
      <c r="D37" s="63"/>
      <c r="E37" s="63"/>
      <c r="F37" s="85"/>
      <c r="G37" s="86"/>
      <c r="H37" s="63"/>
    </row>
    <row r="38" spans="1:8" x14ac:dyDescent="0.2">
      <c r="A38" s="92" t="s">
        <v>127</v>
      </c>
      <c r="B38" s="92"/>
      <c r="C38" s="92"/>
      <c r="D38" s="63"/>
      <c r="E38" s="63"/>
      <c r="F38" s="85"/>
      <c r="G38" s="86"/>
      <c r="H38" s="63"/>
    </row>
    <row r="39" spans="1:8" x14ac:dyDescent="0.2">
      <c r="A39" s="84"/>
      <c r="B39" s="63"/>
      <c r="C39" s="63"/>
      <c r="D39" s="63"/>
      <c r="E39" s="63"/>
      <c r="F39" s="85"/>
      <c r="G39" s="86"/>
      <c r="H39" s="63"/>
    </row>
    <row r="40" spans="1:8" x14ac:dyDescent="0.2">
      <c r="A40" s="84"/>
      <c r="B40" s="63"/>
      <c r="C40" s="63"/>
      <c r="D40" s="63"/>
      <c r="E40" s="63"/>
      <c r="F40" s="85"/>
      <c r="G40" s="86"/>
      <c r="H40" s="63"/>
    </row>
    <row r="41" spans="1:8" x14ac:dyDescent="0.2">
      <c r="A41" s="84"/>
      <c r="B41" s="63"/>
      <c r="C41" s="63"/>
      <c r="D41" s="63"/>
      <c r="E41" s="63"/>
      <c r="F41" s="85"/>
      <c r="G41" s="86"/>
      <c r="H41" s="63"/>
    </row>
    <row r="42" spans="1:8" x14ac:dyDescent="0.2">
      <c r="A42" s="84"/>
      <c r="B42" s="63"/>
      <c r="C42" s="63"/>
      <c r="D42" s="63"/>
      <c r="E42" s="63"/>
      <c r="F42" s="85"/>
      <c r="G42" s="86"/>
      <c r="H42" s="63"/>
    </row>
  </sheetData>
  <mergeCells count="5">
    <mergeCell ref="A2:E3"/>
    <mergeCell ref="F2:G3"/>
    <mergeCell ref="A30:B30"/>
    <mergeCell ref="A17:E18"/>
    <mergeCell ref="F17:G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35AA-D654-4EE6-A5EC-72636C1E794E}">
  <dimension ref="A1:N173"/>
  <sheetViews>
    <sheetView zoomScale="139" zoomScaleNormal="139" workbookViewId="0">
      <pane xSplit="3" ySplit="2" topLeftCell="J116" activePane="bottomRight" state="frozen"/>
      <selection pane="topRight" activeCell="H1" sqref="H1"/>
      <selection pane="bottomLeft" activeCell="A3" sqref="A3"/>
      <selection pane="bottomRight" activeCell="P119" sqref="P119"/>
    </sheetView>
  </sheetViews>
  <sheetFormatPr baseColWidth="10" defaultColWidth="11" defaultRowHeight="19" x14ac:dyDescent="0.2"/>
  <cols>
    <col min="1" max="1" width="8" style="134" customWidth="1"/>
    <col min="2" max="2" width="8" style="132" customWidth="1"/>
    <col min="3" max="3" width="52.83203125" style="134" customWidth="1"/>
    <col min="4" max="4" width="14.33203125" style="134" customWidth="1"/>
    <col min="5" max="13" width="11" style="134"/>
    <col min="14" max="14" width="11" style="132"/>
    <col min="15" max="16384" width="11" style="134"/>
  </cols>
  <sheetData>
    <row r="1" spans="1:14" ht="20" x14ac:dyDescent="0.2">
      <c r="A1" s="159" t="s">
        <v>74</v>
      </c>
      <c r="B1" s="159"/>
      <c r="C1" s="159" t="s">
        <v>11</v>
      </c>
      <c r="D1" s="133" t="s">
        <v>99</v>
      </c>
      <c r="E1" s="133" t="s">
        <v>13</v>
      </c>
      <c r="F1" s="133" t="s">
        <v>12</v>
      </c>
      <c r="G1" s="156" t="s">
        <v>23</v>
      </c>
      <c r="H1" s="157"/>
      <c r="I1" s="157"/>
      <c r="J1" s="157"/>
      <c r="K1" s="157"/>
      <c r="L1" s="158"/>
      <c r="M1" s="152" t="s">
        <v>103</v>
      </c>
      <c r="N1" s="151"/>
    </row>
    <row r="2" spans="1:14" ht="80" x14ac:dyDescent="0.2">
      <c r="A2" s="160"/>
      <c r="B2" s="160"/>
      <c r="C2" s="160"/>
      <c r="D2" s="152" t="s">
        <v>69</v>
      </c>
      <c r="E2" s="152" t="s">
        <v>70</v>
      </c>
      <c r="F2" s="152" t="s">
        <v>71</v>
      </c>
      <c r="G2" s="152" t="s">
        <v>66</v>
      </c>
      <c r="H2" s="152" t="s">
        <v>67</v>
      </c>
      <c r="I2" s="152" t="s">
        <v>68</v>
      </c>
      <c r="J2" s="152" t="s">
        <v>26</v>
      </c>
      <c r="K2" s="152" t="s">
        <v>27</v>
      </c>
      <c r="L2" s="152" t="s">
        <v>28</v>
      </c>
      <c r="M2" s="152" t="s">
        <v>202</v>
      </c>
      <c r="N2" s="135" t="s">
        <v>14</v>
      </c>
    </row>
    <row r="3" spans="1:14" x14ac:dyDescent="0.2">
      <c r="A3" s="136" t="s">
        <v>75</v>
      </c>
      <c r="B3" s="161" t="s">
        <v>76</v>
      </c>
      <c r="C3" s="162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</row>
    <row r="4" spans="1:14" ht="20" x14ac:dyDescent="0.2">
      <c r="A4" s="138"/>
      <c r="B4" s="138"/>
      <c r="C4" s="138" t="s">
        <v>79</v>
      </c>
      <c r="D4" s="142">
        <v>3</v>
      </c>
      <c r="E4" s="142"/>
      <c r="F4" s="142"/>
      <c r="G4" s="142"/>
      <c r="H4" s="142"/>
      <c r="I4" s="142"/>
      <c r="J4" s="142"/>
      <c r="K4" s="142"/>
      <c r="L4" s="142"/>
      <c r="M4" s="142"/>
      <c r="N4" s="142"/>
    </row>
    <row r="5" spans="1:14" ht="20" x14ac:dyDescent="0.2">
      <c r="A5" s="139"/>
      <c r="B5" s="139"/>
      <c r="C5" s="138" t="s">
        <v>72</v>
      </c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</row>
    <row r="6" spans="1:14" ht="20" x14ac:dyDescent="0.2">
      <c r="A6" s="139"/>
      <c r="B6" s="139"/>
      <c r="C6" s="138" t="s">
        <v>100</v>
      </c>
      <c r="D6" s="142"/>
      <c r="E6" s="142">
        <v>0.5</v>
      </c>
      <c r="F6" s="142">
        <v>0.5</v>
      </c>
      <c r="G6" s="142"/>
      <c r="H6" s="142"/>
      <c r="I6" s="142"/>
      <c r="J6" s="142"/>
      <c r="K6" s="142"/>
      <c r="L6" s="142"/>
      <c r="M6" s="142"/>
      <c r="N6" s="142"/>
    </row>
    <row r="7" spans="1:14" ht="20" x14ac:dyDescent="0.2">
      <c r="A7" s="139"/>
      <c r="B7" s="139"/>
      <c r="C7" s="138" t="s">
        <v>73</v>
      </c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</row>
    <row r="8" spans="1:14" x14ac:dyDescent="0.2">
      <c r="A8" s="136" t="s">
        <v>77</v>
      </c>
      <c r="B8" s="161" t="s">
        <v>78</v>
      </c>
      <c r="C8" s="162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</row>
    <row r="9" spans="1:14" ht="20" x14ac:dyDescent="0.2">
      <c r="A9" s="138"/>
      <c r="B9" s="138"/>
      <c r="C9" s="138" t="s">
        <v>79</v>
      </c>
      <c r="D9" s="142">
        <v>5</v>
      </c>
      <c r="E9" s="142"/>
      <c r="F9" s="142"/>
      <c r="G9" s="142"/>
      <c r="H9" s="142"/>
      <c r="I9" s="142"/>
      <c r="J9" s="142"/>
      <c r="K9" s="142"/>
      <c r="L9" s="142"/>
      <c r="M9" s="142"/>
      <c r="N9" s="142"/>
    </row>
    <row r="10" spans="1:14" ht="20" x14ac:dyDescent="0.2">
      <c r="A10" s="139"/>
      <c r="B10" s="138"/>
      <c r="C10" s="138" t="s">
        <v>80</v>
      </c>
      <c r="D10" s="142"/>
      <c r="E10" s="142">
        <v>6</v>
      </c>
      <c r="F10" s="142">
        <v>1</v>
      </c>
      <c r="G10" s="142"/>
      <c r="H10" s="142"/>
      <c r="I10" s="142"/>
      <c r="J10" s="142"/>
      <c r="K10" s="142"/>
      <c r="L10" s="142"/>
      <c r="M10" s="142"/>
      <c r="N10" s="142"/>
    </row>
    <row r="11" spans="1:14" ht="20" x14ac:dyDescent="0.2">
      <c r="A11" s="139"/>
      <c r="B11" s="138"/>
      <c r="C11" s="138" t="s">
        <v>81</v>
      </c>
      <c r="D11" s="142"/>
      <c r="E11" s="142">
        <v>3</v>
      </c>
      <c r="F11" s="142">
        <v>1</v>
      </c>
      <c r="G11" s="142"/>
      <c r="H11" s="142"/>
      <c r="I11" s="142"/>
      <c r="J11" s="142"/>
      <c r="K11" s="142"/>
      <c r="L11" s="142"/>
      <c r="M11" s="142"/>
      <c r="N11" s="142"/>
    </row>
    <row r="12" spans="1:14" ht="20" x14ac:dyDescent="0.2">
      <c r="A12" s="139"/>
      <c r="B12" s="138"/>
      <c r="C12" s="138" t="s">
        <v>82</v>
      </c>
      <c r="D12" s="142"/>
      <c r="E12" s="142">
        <v>1</v>
      </c>
      <c r="F12" s="142">
        <v>7</v>
      </c>
      <c r="G12" s="142"/>
      <c r="H12" s="142"/>
      <c r="I12" s="142"/>
      <c r="J12" s="142"/>
      <c r="K12" s="142"/>
      <c r="L12" s="142"/>
      <c r="M12" s="142"/>
      <c r="N12" s="142"/>
    </row>
    <row r="13" spans="1:14" ht="20" x14ac:dyDescent="0.2">
      <c r="A13" s="139"/>
      <c r="B13" s="138"/>
      <c r="C13" s="138" t="s">
        <v>83</v>
      </c>
      <c r="D13" s="142"/>
      <c r="E13" s="142">
        <v>1</v>
      </c>
      <c r="F13" s="142">
        <v>3</v>
      </c>
      <c r="G13" s="142"/>
      <c r="H13" s="142"/>
      <c r="I13" s="142"/>
      <c r="J13" s="142"/>
      <c r="K13" s="142"/>
      <c r="L13" s="142"/>
      <c r="M13" s="142"/>
      <c r="N13" s="142"/>
    </row>
    <row r="14" spans="1:14" x14ac:dyDescent="0.2">
      <c r="A14" s="136" t="s">
        <v>84</v>
      </c>
      <c r="B14" s="161" t="s">
        <v>85</v>
      </c>
      <c r="C14" s="162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</row>
    <row r="15" spans="1:14" ht="20" x14ac:dyDescent="0.2">
      <c r="A15" s="138"/>
      <c r="B15" s="138"/>
      <c r="C15" s="138" t="s">
        <v>79</v>
      </c>
      <c r="D15" s="142">
        <v>15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2"/>
    </row>
    <row r="16" spans="1:14" ht="20" x14ac:dyDescent="0.2">
      <c r="A16" s="139"/>
      <c r="B16" s="139"/>
      <c r="C16" s="138" t="s">
        <v>23</v>
      </c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</row>
    <row r="17" spans="1:14" ht="60" x14ac:dyDescent="0.2">
      <c r="A17" s="139"/>
      <c r="B17" s="140">
        <v>1</v>
      </c>
      <c r="C17" s="141" t="s">
        <v>149</v>
      </c>
      <c r="D17" s="142"/>
      <c r="E17" s="142">
        <v>0.5</v>
      </c>
      <c r="F17" s="142">
        <v>0.5</v>
      </c>
      <c r="G17" s="142"/>
      <c r="H17" s="142"/>
      <c r="I17" s="142"/>
      <c r="J17" s="142"/>
      <c r="K17" s="142"/>
      <c r="L17" s="142">
        <v>4</v>
      </c>
      <c r="M17" s="142"/>
      <c r="N17" s="143">
        <v>46235</v>
      </c>
    </row>
    <row r="18" spans="1:14" ht="40" x14ac:dyDescent="0.2">
      <c r="A18" s="139"/>
      <c r="B18" s="140">
        <v>2</v>
      </c>
      <c r="C18" s="141" t="s">
        <v>15</v>
      </c>
      <c r="D18" s="142"/>
      <c r="E18" s="142">
        <v>1</v>
      </c>
      <c r="F18" s="142">
        <v>1</v>
      </c>
      <c r="G18" s="142"/>
      <c r="H18" s="142"/>
      <c r="I18" s="142"/>
      <c r="J18" s="142">
        <v>4</v>
      </c>
      <c r="K18" s="142"/>
      <c r="L18" s="142"/>
      <c r="M18" s="142"/>
      <c r="N18" s="144">
        <v>46204</v>
      </c>
    </row>
    <row r="19" spans="1:14" ht="40" x14ac:dyDescent="0.2">
      <c r="A19" s="139"/>
      <c r="B19" s="140">
        <v>3</v>
      </c>
      <c r="C19" s="141" t="s">
        <v>16</v>
      </c>
      <c r="D19" s="142"/>
      <c r="E19" s="142">
        <v>1</v>
      </c>
      <c r="F19" s="142">
        <v>2</v>
      </c>
      <c r="G19" s="142"/>
      <c r="H19" s="142"/>
      <c r="I19" s="142">
        <v>7</v>
      </c>
      <c r="J19" s="142"/>
      <c r="K19" s="142"/>
      <c r="L19" s="142"/>
      <c r="M19" s="142"/>
      <c r="N19" s="144">
        <v>46204</v>
      </c>
    </row>
    <row r="20" spans="1:14" ht="20" x14ac:dyDescent="0.2">
      <c r="A20" s="139"/>
      <c r="B20" s="140">
        <v>4</v>
      </c>
      <c r="C20" s="141" t="s">
        <v>17</v>
      </c>
      <c r="D20" s="142"/>
      <c r="E20" s="142">
        <v>0</v>
      </c>
      <c r="F20" s="142">
        <v>1</v>
      </c>
      <c r="G20" s="142"/>
      <c r="H20" s="142"/>
      <c r="I20" s="142"/>
      <c r="J20" s="142"/>
      <c r="K20" s="142">
        <v>1</v>
      </c>
      <c r="L20" s="142"/>
      <c r="M20" s="142"/>
      <c r="N20" s="144">
        <v>46204</v>
      </c>
    </row>
    <row r="21" spans="1:14" ht="60" x14ac:dyDescent="0.2">
      <c r="A21" s="139"/>
      <c r="B21" s="140">
        <v>5</v>
      </c>
      <c r="C21" s="141" t="s">
        <v>150</v>
      </c>
      <c r="D21" s="142"/>
      <c r="E21" s="142">
        <v>1</v>
      </c>
      <c r="F21" s="142">
        <v>2</v>
      </c>
      <c r="G21" s="142"/>
      <c r="H21" s="142"/>
      <c r="I21" s="142">
        <v>9</v>
      </c>
      <c r="J21" s="142"/>
      <c r="K21" s="142"/>
      <c r="L21" s="142"/>
      <c r="M21" s="142"/>
      <c r="N21" s="144">
        <v>46204</v>
      </c>
    </row>
    <row r="22" spans="1:14" ht="80" x14ac:dyDescent="0.2">
      <c r="A22" s="139"/>
      <c r="B22" s="140">
        <v>6</v>
      </c>
      <c r="C22" s="141" t="s">
        <v>18</v>
      </c>
      <c r="D22" s="142"/>
      <c r="E22" s="142">
        <v>0</v>
      </c>
      <c r="F22" s="142">
        <v>1</v>
      </c>
      <c r="G22" s="142"/>
      <c r="H22" s="142"/>
      <c r="I22" s="142"/>
      <c r="J22" s="142"/>
      <c r="K22" s="142">
        <v>1</v>
      </c>
      <c r="L22" s="142"/>
      <c r="M22" s="142"/>
      <c r="N22" s="144">
        <v>46204</v>
      </c>
    </row>
    <row r="23" spans="1:14" ht="20" x14ac:dyDescent="0.2">
      <c r="A23" s="139"/>
      <c r="B23" s="140">
        <v>7</v>
      </c>
      <c r="C23" s="141" t="s">
        <v>19</v>
      </c>
      <c r="D23" s="142"/>
      <c r="E23" s="142">
        <v>0</v>
      </c>
      <c r="F23" s="142">
        <v>0.5</v>
      </c>
      <c r="G23" s="142"/>
      <c r="H23" s="142"/>
      <c r="I23" s="142"/>
      <c r="J23" s="142"/>
      <c r="K23" s="142"/>
      <c r="L23" s="142">
        <v>1</v>
      </c>
      <c r="M23" s="142"/>
      <c r="N23" s="144">
        <v>46204</v>
      </c>
    </row>
    <row r="24" spans="1:14" ht="40" x14ac:dyDescent="0.2">
      <c r="A24" s="139"/>
      <c r="B24" s="140">
        <v>8</v>
      </c>
      <c r="C24" s="141" t="s">
        <v>199</v>
      </c>
      <c r="D24" s="142"/>
      <c r="E24" s="142">
        <v>1</v>
      </c>
      <c r="F24" s="142">
        <v>1</v>
      </c>
      <c r="G24" s="142">
        <v>3</v>
      </c>
      <c r="H24" s="142"/>
      <c r="I24" s="142"/>
      <c r="J24" s="142"/>
      <c r="K24" s="142"/>
      <c r="L24" s="142"/>
      <c r="M24" s="132"/>
      <c r="N24" s="144">
        <v>46204</v>
      </c>
    </row>
    <row r="25" spans="1:14" ht="40" x14ac:dyDescent="0.2">
      <c r="A25" s="139"/>
      <c r="B25" s="140">
        <v>9</v>
      </c>
      <c r="C25" s="141" t="s">
        <v>151</v>
      </c>
      <c r="D25" s="142"/>
      <c r="E25" s="142">
        <v>1</v>
      </c>
      <c r="F25" s="142">
        <v>1</v>
      </c>
      <c r="G25" s="142">
        <v>4</v>
      </c>
      <c r="H25" s="142"/>
      <c r="I25" s="142"/>
      <c r="J25" s="142"/>
      <c r="K25" s="142"/>
      <c r="L25" s="142"/>
      <c r="M25" s="142"/>
      <c r="N25" s="144">
        <v>46204</v>
      </c>
    </row>
    <row r="26" spans="1:14" ht="40" x14ac:dyDescent="0.2">
      <c r="A26" s="139"/>
      <c r="B26" s="140">
        <v>10</v>
      </c>
      <c r="C26" s="141" t="s">
        <v>152</v>
      </c>
      <c r="D26" s="142"/>
      <c r="E26" s="142">
        <v>1</v>
      </c>
      <c r="F26" s="142">
        <v>1</v>
      </c>
      <c r="G26" s="142"/>
      <c r="H26" s="142"/>
      <c r="I26" s="142"/>
      <c r="J26" s="142">
        <v>3</v>
      </c>
      <c r="K26" s="142"/>
      <c r="L26" s="142"/>
      <c r="M26" s="142"/>
      <c r="N26" s="144">
        <v>46204</v>
      </c>
    </row>
    <row r="27" spans="1:14" ht="40" x14ac:dyDescent="0.2">
      <c r="A27" s="139"/>
      <c r="B27" s="140">
        <v>11</v>
      </c>
      <c r="C27" s="141" t="s">
        <v>153</v>
      </c>
      <c r="D27" s="142"/>
      <c r="E27" s="142">
        <v>1</v>
      </c>
      <c r="F27" s="142">
        <v>1</v>
      </c>
      <c r="G27" s="142"/>
      <c r="H27" s="142"/>
      <c r="I27" s="142"/>
      <c r="J27" s="142"/>
      <c r="K27" s="142">
        <v>3</v>
      </c>
      <c r="L27" s="142"/>
      <c r="M27" s="142"/>
      <c r="N27" s="144">
        <v>46204</v>
      </c>
    </row>
    <row r="28" spans="1:14" ht="40" x14ac:dyDescent="0.2">
      <c r="A28" s="139"/>
      <c r="B28" s="140">
        <v>12</v>
      </c>
      <c r="C28" s="141" t="s">
        <v>154</v>
      </c>
      <c r="D28" s="142"/>
      <c r="E28" s="142">
        <v>0.5</v>
      </c>
      <c r="F28" s="142">
        <v>0.5</v>
      </c>
      <c r="G28" s="142"/>
      <c r="H28" s="142"/>
      <c r="I28" s="142"/>
      <c r="J28" s="142">
        <v>4</v>
      </c>
      <c r="K28" s="142"/>
      <c r="L28" s="142"/>
      <c r="M28" s="142"/>
      <c r="N28" s="144">
        <v>46204</v>
      </c>
    </row>
    <row r="29" spans="1:14" ht="60" x14ac:dyDescent="0.2">
      <c r="A29" s="139"/>
      <c r="B29" s="140">
        <v>13</v>
      </c>
      <c r="C29" s="141" t="s">
        <v>155</v>
      </c>
      <c r="D29" s="142"/>
      <c r="E29" s="142">
        <v>0</v>
      </c>
      <c r="F29" s="142">
        <v>0.5</v>
      </c>
      <c r="G29" s="142"/>
      <c r="H29" s="142"/>
      <c r="I29" s="142"/>
      <c r="J29" s="142"/>
      <c r="K29" s="142">
        <v>1</v>
      </c>
      <c r="L29" s="142"/>
      <c r="M29" s="142"/>
      <c r="N29" s="144">
        <v>46204</v>
      </c>
    </row>
    <row r="30" spans="1:14" ht="80" x14ac:dyDescent="0.2">
      <c r="A30" s="139"/>
      <c r="B30" s="140">
        <v>14</v>
      </c>
      <c r="C30" s="141" t="s">
        <v>156</v>
      </c>
      <c r="D30" s="142"/>
      <c r="E30" s="142">
        <v>0.5</v>
      </c>
      <c r="F30" s="142">
        <v>0.5</v>
      </c>
      <c r="G30" s="142"/>
      <c r="H30" s="142"/>
      <c r="I30" s="142"/>
      <c r="J30" s="142">
        <v>1</v>
      </c>
      <c r="K30" s="142"/>
      <c r="L30" s="142"/>
      <c r="M30" s="142"/>
      <c r="N30" s="144">
        <v>46204</v>
      </c>
    </row>
    <row r="31" spans="1:14" ht="20" x14ac:dyDescent="0.2">
      <c r="A31" s="139"/>
      <c r="B31" s="140">
        <v>15</v>
      </c>
      <c r="C31" s="141" t="s">
        <v>157</v>
      </c>
      <c r="D31" s="142"/>
      <c r="E31" s="142">
        <v>0.5</v>
      </c>
      <c r="F31" s="142">
        <v>1</v>
      </c>
      <c r="G31" s="142"/>
      <c r="H31" s="142"/>
      <c r="I31" s="142">
        <v>4</v>
      </c>
      <c r="J31" s="142"/>
      <c r="K31" s="142"/>
      <c r="L31" s="142"/>
      <c r="M31" s="142"/>
      <c r="N31" s="144">
        <v>46204</v>
      </c>
    </row>
    <row r="32" spans="1:14" ht="20" x14ac:dyDescent="0.2">
      <c r="A32" s="139"/>
      <c r="B32" s="140">
        <v>16</v>
      </c>
      <c r="C32" s="141" t="s">
        <v>158</v>
      </c>
      <c r="D32" s="142"/>
      <c r="E32" s="142">
        <v>1</v>
      </c>
      <c r="F32" s="142">
        <v>1</v>
      </c>
      <c r="G32" s="142"/>
      <c r="H32" s="142"/>
      <c r="I32" s="142"/>
      <c r="J32" s="142"/>
      <c r="K32" s="142"/>
      <c r="L32" s="142">
        <v>3</v>
      </c>
      <c r="M32" s="142"/>
      <c r="N32" s="143">
        <v>46235</v>
      </c>
    </row>
    <row r="33" spans="1:14" ht="40" x14ac:dyDescent="0.2">
      <c r="A33" s="139"/>
      <c r="B33" s="140">
        <v>17</v>
      </c>
      <c r="C33" s="141" t="s">
        <v>159</v>
      </c>
      <c r="D33" s="142"/>
      <c r="E33" s="142">
        <v>0.5</v>
      </c>
      <c r="F33" s="142">
        <v>1</v>
      </c>
      <c r="G33" s="142">
        <v>4</v>
      </c>
      <c r="H33" s="142"/>
      <c r="I33" s="142"/>
      <c r="J33" s="142"/>
      <c r="K33" s="142"/>
      <c r="L33" s="142"/>
      <c r="M33" s="142"/>
      <c r="N33" s="144">
        <v>46204</v>
      </c>
    </row>
    <row r="34" spans="1:14" ht="40" x14ac:dyDescent="0.2">
      <c r="A34" s="139"/>
      <c r="B34" s="140">
        <v>18</v>
      </c>
      <c r="C34" s="141" t="s">
        <v>160</v>
      </c>
      <c r="D34" s="142"/>
      <c r="E34" s="142">
        <v>0</v>
      </c>
      <c r="F34" s="142">
        <v>0.5</v>
      </c>
      <c r="G34" s="142"/>
      <c r="H34" s="142"/>
      <c r="I34" s="142"/>
      <c r="J34" s="142"/>
      <c r="K34" s="142">
        <v>1</v>
      </c>
      <c r="L34" s="142"/>
      <c r="M34" s="142"/>
      <c r="N34" s="144">
        <v>46204</v>
      </c>
    </row>
    <row r="35" spans="1:14" ht="40" x14ac:dyDescent="0.2">
      <c r="A35" s="139"/>
      <c r="B35" s="140">
        <v>19</v>
      </c>
      <c r="C35" s="141" t="s">
        <v>161</v>
      </c>
      <c r="D35" s="142"/>
      <c r="E35" s="142">
        <v>0.5</v>
      </c>
      <c r="F35" s="142">
        <v>0.5</v>
      </c>
      <c r="G35" s="142"/>
      <c r="H35" s="142"/>
      <c r="I35" s="142"/>
      <c r="J35" s="142"/>
      <c r="K35" s="142">
        <v>3</v>
      </c>
      <c r="L35" s="142"/>
      <c r="M35" s="142"/>
      <c r="N35" s="144">
        <v>46204</v>
      </c>
    </row>
    <row r="36" spans="1:14" ht="40" x14ac:dyDescent="0.2">
      <c r="A36" s="139"/>
      <c r="B36" s="140">
        <v>20</v>
      </c>
      <c r="C36" s="141" t="s">
        <v>20</v>
      </c>
      <c r="D36" s="142"/>
      <c r="E36" s="142">
        <v>0</v>
      </c>
      <c r="F36" s="142">
        <v>0.5</v>
      </c>
      <c r="G36" s="142"/>
      <c r="H36" s="142">
        <v>1</v>
      </c>
      <c r="I36" s="142"/>
      <c r="J36" s="142"/>
      <c r="K36" s="142"/>
      <c r="L36" s="142"/>
      <c r="M36" s="142"/>
      <c r="N36" s="144">
        <v>46204</v>
      </c>
    </row>
    <row r="37" spans="1:14" ht="40" x14ac:dyDescent="0.2">
      <c r="A37" s="139"/>
      <c r="B37" s="140">
        <v>21</v>
      </c>
      <c r="C37" s="141" t="s">
        <v>21</v>
      </c>
      <c r="D37" s="142"/>
      <c r="E37" s="142">
        <v>0</v>
      </c>
      <c r="F37" s="142">
        <v>0.5</v>
      </c>
      <c r="G37" s="142"/>
      <c r="H37" s="142">
        <v>1</v>
      </c>
      <c r="I37" s="142"/>
      <c r="J37" s="142"/>
      <c r="K37" s="142"/>
      <c r="L37" s="142"/>
      <c r="M37" s="132"/>
      <c r="N37" s="144">
        <v>46204</v>
      </c>
    </row>
    <row r="38" spans="1:14" ht="20" x14ac:dyDescent="0.2">
      <c r="A38" s="139"/>
      <c r="B38" s="140">
        <v>22</v>
      </c>
      <c r="C38" s="141" t="s">
        <v>22</v>
      </c>
      <c r="D38" s="142"/>
      <c r="E38" s="142">
        <v>0.5</v>
      </c>
      <c r="F38" s="142">
        <v>0.5</v>
      </c>
      <c r="G38" s="142"/>
      <c r="H38" s="142">
        <v>1</v>
      </c>
      <c r="I38" s="142"/>
      <c r="J38" s="142"/>
      <c r="K38" s="142"/>
      <c r="L38" s="142"/>
      <c r="M38" s="142"/>
      <c r="N38" s="144">
        <v>46204</v>
      </c>
    </row>
    <row r="39" spans="1:14" ht="60" x14ac:dyDescent="0.2">
      <c r="A39" s="139"/>
      <c r="B39" s="140">
        <v>23</v>
      </c>
      <c r="C39" s="141" t="s">
        <v>162</v>
      </c>
      <c r="D39" s="142"/>
      <c r="E39" s="142">
        <v>0.5</v>
      </c>
      <c r="F39" s="142">
        <v>1</v>
      </c>
      <c r="G39" s="142">
        <v>4</v>
      </c>
      <c r="H39" s="142"/>
      <c r="I39" s="142"/>
      <c r="J39" s="142"/>
      <c r="K39" s="142"/>
      <c r="L39" s="142">
        <v>1</v>
      </c>
      <c r="M39" s="142"/>
      <c r="N39" s="144">
        <v>46204</v>
      </c>
    </row>
    <row r="40" spans="1:14" ht="40" x14ac:dyDescent="0.2">
      <c r="A40" s="139"/>
      <c r="B40" s="140">
        <v>24</v>
      </c>
      <c r="C40" s="145" t="s">
        <v>163</v>
      </c>
      <c r="D40" s="142"/>
      <c r="E40" s="142">
        <v>0</v>
      </c>
      <c r="F40" s="142">
        <v>0.25</v>
      </c>
      <c r="G40" s="142"/>
      <c r="H40" s="142">
        <v>1</v>
      </c>
      <c r="I40" s="142"/>
      <c r="J40" s="142"/>
      <c r="K40" s="142"/>
      <c r="L40" s="142"/>
      <c r="M40" s="142"/>
      <c r="N40" s="144">
        <v>46204</v>
      </c>
    </row>
    <row r="41" spans="1:14" ht="40" x14ac:dyDescent="0.2">
      <c r="A41" s="139"/>
      <c r="B41" s="140">
        <v>25</v>
      </c>
      <c r="C41" s="145" t="s">
        <v>164</v>
      </c>
      <c r="D41" s="142"/>
      <c r="E41" s="142">
        <v>0.5</v>
      </c>
      <c r="F41" s="142">
        <v>0.25</v>
      </c>
      <c r="G41" s="142"/>
      <c r="H41" s="142"/>
      <c r="I41" s="142"/>
      <c r="J41" s="142"/>
      <c r="K41" s="142">
        <v>2</v>
      </c>
      <c r="L41" s="142"/>
      <c r="M41" s="142"/>
      <c r="N41" s="144">
        <v>46204</v>
      </c>
    </row>
    <row r="42" spans="1:14" ht="40" x14ac:dyDescent="0.2">
      <c r="A42" s="139"/>
      <c r="B42" s="140">
        <v>26</v>
      </c>
      <c r="C42" s="145" t="s">
        <v>165</v>
      </c>
      <c r="D42" s="142"/>
      <c r="E42" s="142">
        <v>0</v>
      </c>
      <c r="F42" s="142">
        <v>0.25</v>
      </c>
      <c r="G42" s="142"/>
      <c r="H42" s="142"/>
      <c r="I42" s="142"/>
      <c r="J42" s="142"/>
      <c r="K42" s="142"/>
      <c r="L42" s="142">
        <v>1</v>
      </c>
      <c r="M42" s="142"/>
      <c r="N42" s="144">
        <v>46204</v>
      </c>
    </row>
    <row r="43" spans="1:14" ht="40" x14ac:dyDescent="0.2">
      <c r="A43" s="139"/>
      <c r="B43" s="140">
        <v>27</v>
      </c>
      <c r="C43" s="145" t="s">
        <v>166</v>
      </c>
      <c r="D43" s="142"/>
      <c r="E43" s="142">
        <v>0.5</v>
      </c>
      <c r="F43" s="142">
        <v>0.25</v>
      </c>
      <c r="G43" s="142"/>
      <c r="H43" s="142">
        <v>2</v>
      </c>
      <c r="I43" s="142"/>
      <c r="J43" s="142"/>
      <c r="K43" s="142"/>
      <c r="L43" s="142"/>
      <c r="M43" s="142"/>
      <c r="N43" s="144">
        <v>46204</v>
      </c>
    </row>
    <row r="44" spans="1:14" ht="40" x14ac:dyDescent="0.2">
      <c r="A44" s="139"/>
      <c r="B44" s="140">
        <v>28</v>
      </c>
      <c r="C44" s="145" t="s">
        <v>167</v>
      </c>
      <c r="D44" s="142"/>
      <c r="E44" s="142">
        <v>0.25</v>
      </c>
      <c r="F44" s="142">
        <v>0.25</v>
      </c>
      <c r="G44" s="142"/>
      <c r="H44" s="142"/>
      <c r="I44" s="142"/>
      <c r="J44" s="142"/>
      <c r="K44" s="142"/>
      <c r="L44" s="142">
        <v>0.5</v>
      </c>
      <c r="M44" s="132"/>
      <c r="N44" s="144">
        <v>46204</v>
      </c>
    </row>
    <row r="45" spans="1:14" ht="40" x14ac:dyDescent="0.2">
      <c r="A45" s="139"/>
      <c r="B45" s="140">
        <v>29</v>
      </c>
      <c r="C45" s="145" t="s">
        <v>168</v>
      </c>
      <c r="D45" s="142"/>
      <c r="E45" s="142">
        <v>0.25</v>
      </c>
      <c r="F45" s="142">
        <v>0.25</v>
      </c>
      <c r="G45" s="142"/>
      <c r="H45" s="142"/>
      <c r="I45" s="142"/>
      <c r="J45" s="142"/>
      <c r="K45" s="142">
        <v>1</v>
      </c>
      <c r="L45" s="142"/>
      <c r="M45" s="142"/>
      <c r="N45" s="144">
        <v>46204</v>
      </c>
    </row>
    <row r="46" spans="1:14" ht="60" x14ac:dyDescent="0.2">
      <c r="A46" s="139"/>
      <c r="B46" s="140">
        <v>30</v>
      </c>
      <c r="C46" s="145" t="s">
        <v>169</v>
      </c>
      <c r="D46" s="142"/>
      <c r="E46" s="142">
        <v>1</v>
      </c>
      <c r="F46" s="142">
        <v>2</v>
      </c>
      <c r="G46" s="142">
        <v>9</v>
      </c>
      <c r="H46" s="142"/>
      <c r="I46" s="142"/>
      <c r="J46" s="142"/>
      <c r="K46" s="142"/>
      <c r="L46" s="142"/>
      <c r="M46" s="142"/>
      <c r="N46" s="144">
        <v>46204</v>
      </c>
    </row>
    <row r="47" spans="1:14" ht="40" x14ac:dyDescent="0.2">
      <c r="A47" s="139"/>
      <c r="B47" s="140">
        <v>31</v>
      </c>
      <c r="C47" s="145" t="s">
        <v>170</v>
      </c>
      <c r="D47" s="142"/>
      <c r="E47" s="142">
        <v>0.5</v>
      </c>
      <c r="F47" s="142">
        <v>0.5</v>
      </c>
      <c r="G47" s="142"/>
      <c r="H47" s="142"/>
      <c r="I47" s="142"/>
      <c r="J47" s="142"/>
      <c r="K47" s="142"/>
      <c r="L47" s="142">
        <v>4.5</v>
      </c>
      <c r="M47" s="142"/>
      <c r="N47" s="143">
        <v>46235</v>
      </c>
    </row>
    <row r="48" spans="1:14" ht="40" x14ac:dyDescent="0.2">
      <c r="A48" s="139"/>
      <c r="B48" s="140">
        <v>32</v>
      </c>
      <c r="C48" s="141" t="s">
        <v>171</v>
      </c>
      <c r="D48" s="142"/>
      <c r="E48" s="142">
        <v>3</v>
      </c>
      <c r="F48" s="142">
        <v>3</v>
      </c>
      <c r="G48" s="142"/>
      <c r="H48" s="142"/>
      <c r="I48" s="142"/>
      <c r="J48" s="142">
        <v>10</v>
      </c>
      <c r="K48" s="142"/>
      <c r="L48" s="142"/>
      <c r="M48" s="142"/>
      <c r="N48" s="144">
        <v>46204</v>
      </c>
    </row>
    <row r="49" spans="1:14" ht="40" x14ac:dyDescent="0.2">
      <c r="A49" s="139"/>
      <c r="B49" s="140">
        <v>33</v>
      </c>
      <c r="C49" s="141" t="s">
        <v>172</v>
      </c>
      <c r="D49" s="142"/>
      <c r="E49" s="142">
        <v>2</v>
      </c>
      <c r="F49" s="142">
        <v>2</v>
      </c>
      <c r="G49" s="142"/>
      <c r="H49" s="142"/>
      <c r="I49" s="142"/>
      <c r="J49" s="142">
        <v>4</v>
      </c>
      <c r="K49" s="142"/>
      <c r="L49" s="142"/>
      <c r="M49" s="142"/>
      <c r="N49" s="144">
        <v>46204</v>
      </c>
    </row>
    <row r="50" spans="1:14" ht="80" x14ac:dyDescent="0.2">
      <c r="A50" s="139"/>
      <c r="B50" s="146">
        <v>34</v>
      </c>
      <c r="C50" s="141" t="s">
        <v>173</v>
      </c>
      <c r="D50" s="142"/>
      <c r="E50" s="142">
        <v>0.5</v>
      </c>
      <c r="F50" s="142">
        <v>1</v>
      </c>
      <c r="G50" s="142"/>
      <c r="H50" s="142"/>
      <c r="I50" s="142">
        <v>3</v>
      </c>
      <c r="J50" s="142"/>
      <c r="K50" s="142"/>
      <c r="L50" s="142"/>
      <c r="M50" s="142"/>
      <c r="N50" s="144">
        <v>46204</v>
      </c>
    </row>
    <row r="51" spans="1:14" ht="40" x14ac:dyDescent="0.2">
      <c r="A51" s="139"/>
      <c r="B51" s="146">
        <v>35</v>
      </c>
      <c r="C51" s="141" t="s">
        <v>174</v>
      </c>
      <c r="D51" s="142"/>
      <c r="E51" s="142">
        <v>1</v>
      </c>
      <c r="F51" s="142">
        <v>1</v>
      </c>
      <c r="G51" s="142"/>
      <c r="H51" s="142"/>
      <c r="I51" s="142">
        <v>5</v>
      </c>
      <c r="J51" s="142"/>
      <c r="K51" s="142"/>
      <c r="L51" s="142"/>
      <c r="M51" s="132"/>
      <c r="N51" s="144">
        <v>46204</v>
      </c>
    </row>
    <row r="52" spans="1:14" ht="60" x14ac:dyDescent="0.2">
      <c r="A52" s="139"/>
      <c r="B52" s="146">
        <v>36</v>
      </c>
      <c r="C52" s="141" t="s">
        <v>175</v>
      </c>
      <c r="D52" s="142"/>
      <c r="E52" s="142">
        <v>0</v>
      </c>
      <c r="F52" s="142">
        <v>0</v>
      </c>
      <c r="G52" s="142"/>
      <c r="H52" s="142"/>
      <c r="I52" s="142"/>
      <c r="J52" s="142"/>
      <c r="K52" s="142"/>
      <c r="L52" s="142"/>
      <c r="M52" s="142"/>
      <c r="N52" s="144">
        <v>46204</v>
      </c>
    </row>
    <row r="53" spans="1:14" ht="60" x14ac:dyDescent="0.2">
      <c r="A53" s="139"/>
      <c r="B53" s="146">
        <v>37</v>
      </c>
      <c r="C53" s="141" t="s">
        <v>176</v>
      </c>
      <c r="D53" s="142"/>
      <c r="E53" s="142">
        <v>0.5</v>
      </c>
      <c r="F53" s="142">
        <v>0.5</v>
      </c>
      <c r="G53" s="142">
        <v>3</v>
      </c>
      <c r="H53" s="142"/>
      <c r="I53" s="142"/>
      <c r="J53" s="142"/>
      <c r="K53" s="142"/>
      <c r="L53" s="142"/>
      <c r="M53" s="132"/>
      <c r="N53" s="144">
        <v>46204</v>
      </c>
    </row>
    <row r="54" spans="1:14" ht="60" x14ac:dyDescent="0.2">
      <c r="A54" s="139"/>
      <c r="B54" s="146">
        <v>38</v>
      </c>
      <c r="C54" s="141" t="s">
        <v>177</v>
      </c>
      <c r="D54" s="142"/>
      <c r="E54" s="142">
        <v>0.5</v>
      </c>
      <c r="F54" s="142">
        <v>1</v>
      </c>
      <c r="G54" s="142"/>
      <c r="H54" s="142"/>
      <c r="I54" s="142"/>
      <c r="J54" s="142"/>
      <c r="K54" s="142">
        <v>5</v>
      </c>
      <c r="L54" s="142"/>
      <c r="M54" s="142"/>
      <c r="N54" s="144">
        <v>46204</v>
      </c>
    </row>
    <row r="55" spans="1:14" ht="80" x14ac:dyDescent="0.2">
      <c r="A55" s="139"/>
      <c r="B55" s="146">
        <v>39</v>
      </c>
      <c r="C55" s="141" t="s">
        <v>178</v>
      </c>
      <c r="D55" s="142"/>
      <c r="E55" s="142">
        <v>0.5</v>
      </c>
      <c r="F55" s="142">
        <v>0.5</v>
      </c>
      <c r="G55" s="142"/>
      <c r="H55" s="142"/>
      <c r="I55" s="142"/>
      <c r="J55" s="142"/>
      <c r="K55" s="142">
        <v>3</v>
      </c>
      <c r="L55" s="142"/>
      <c r="M55" s="142"/>
      <c r="N55" s="144">
        <v>46204</v>
      </c>
    </row>
    <row r="56" spans="1:14" ht="60" x14ac:dyDescent="0.2">
      <c r="A56" s="139"/>
      <c r="B56" s="146">
        <v>40</v>
      </c>
      <c r="C56" s="141" t="s">
        <v>179</v>
      </c>
      <c r="D56" s="142"/>
      <c r="E56" s="142">
        <v>0.5</v>
      </c>
      <c r="F56" s="142">
        <v>1</v>
      </c>
      <c r="G56" s="142"/>
      <c r="H56" s="142"/>
      <c r="I56" s="142">
        <v>5</v>
      </c>
      <c r="J56" s="142"/>
      <c r="K56" s="142"/>
      <c r="L56" s="142"/>
      <c r="M56" s="142"/>
      <c r="N56" s="143">
        <v>46235</v>
      </c>
    </row>
    <row r="57" spans="1:14" ht="20" x14ac:dyDescent="0.2">
      <c r="A57" s="139"/>
      <c r="B57" s="146">
        <v>41</v>
      </c>
      <c r="C57" s="141" t="s">
        <v>180</v>
      </c>
      <c r="D57" s="142"/>
      <c r="E57" s="142">
        <v>0</v>
      </c>
      <c r="F57" s="142">
        <v>0.5</v>
      </c>
      <c r="G57" s="142"/>
      <c r="H57" s="142">
        <v>1</v>
      </c>
      <c r="I57" s="142"/>
      <c r="J57" s="142"/>
      <c r="K57" s="142"/>
      <c r="L57" s="142"/>
      <c r="M57" s="132"/>
      <c r="N57" s="144">
        <v>46204</v>
      </c>
    </row>
    <row r="58" spans="1:14" ht="80" x14ac:dyDescent="0.2">
      <c r="A58" s="139"/>
      <c r="B58" s="146">
        <v>42</v>
      </c>
      <c r="C58" s="141" t="s">
        <v>181</v>
      </c>
      <c r="D58" s="142"/>
      <c r="E58" s="142">
        <v>0.5</v>
      </c>
      <c r="F58" s="142">
        <v>0.5</v>
      </c>
      <c r="G58" s="142"/>
      <c r="H58" s="142"/>
      <c r="I58" s="142"/>
      <c r="J58" s="142"/>
      <c r="K58" s="142"/>
      <c r="L58" s="142">
        <v>1</v>
      </c>
      <c r="M58" s="142"/>
      <c r="N58" s="144">
        <v>46204</v>
      </c>
    </row>
    <row r="59" spans="1:14" ht="60" x14ac:dyDescent="0.2">
      <c r="A59" s="139"/>
      <c r="B59" s="146">
        <v>43</v>
      </c>
      <c r="C59" s="141" t="s">
        <v>182</v>
      </c>
      <c r="D59" s="142"/>
      <c r="E59" s="142">
        <v>0</v>
      </c>
      <c r="F59" s="142">
        <v>0</v>
      </c>
      <c r="G59" s="142"/>
      <c r="H59" s="142"/>
      <c r="I59" s="142"/>
      <c r="J59" s="142"/>
      <c r="K59" s="142"/>
      <c r="L59" s="142"/>
      <c r="M59" s="142"/>
      <c r="N59" s="144">
        <v>46204</v>
      </c>
    </row>
    <row r="60" spans="1:14" ht="40" x14ac:dyDescent="0.2">
      <c r="A60" s="139"/>
      <c r="B60" s="146">
        <v>44</v>
      </c>
      <c r="C60" s="141" t="s">
        <v>183</v>
      </c>
      <c r="D60" s="142"/>
      <c r="E60" s="142">
        <v>0.5</v>
      </c>
      <c r="F60" s="142">
        <v>1.5</v>
      </c>
      <c r="G60" s="142"/>
      <c r="H60" s="142"/>
      <c r="I60" s="142">
        <v>6</v>
      </c>
      <c r="J60" s="142"/>
      <c r="K60" s="142"/>
      <c r="L60" s="142"/>
      <c r="M60" s="142"/>
      <c r="N60" s="144">
        <v>46204</v>
      </c>
    </row>
    <row r="61" spans="1:14" ht="40" x14ac:dyDescent="0.2">
      <c r="A61" s="139"/>
      <c r="B61" s="146">
        <v>45</v>
      </c>
      <c r="C61" s="141" t="s">
        <v>184</v>
      </c>
      <c r="D61" s="142"/>
      <c r="E61" s="142">
        <v>1</v>
      </c>
      <c r="F61" s="142">
        <v>2</v>
      </c>
      <c r="G61" s="142"/>
      <c r="H61" s="142"/>
      <c r="I61" s="142">
        <v>5</v>
      </c>
      <c r="J61" s="142"/>
      <c r="K61" s="142"/>
      <c r="L61" s="142"/>
      <c r="M61" s="142"/>
      <c r="N61" s="144">
        <v>46204</v>
      </c>
    </row>
    <row r="62" spans="1:14" ht="40" x14ac:dyDescent="0.2">
      <c r="A62" s="139"/>
      <c r="B62" s="146">
        <v>46</v>
      </c>
      <c r="C62" s="141" t="s">
        <v>185</v>
      </c>
      <c r="D62" s="142"/>
      <c r="E62" s="142">
        <v>0.5</v>
      </c>
      <c r="F62" s="142">
        <v>1</v>
      </c>
      <c r="G62" s="142"/>
      <c r="H62" s="142">
        <v>2</v>
      </c>
      <c r="I62" s="142"/>
      <c r="J62" s="142"/>
      <c r="K62" s="142"/>
      <c r="L62" s="142"/>
      <c r="M62" s="142"/>
      <c r="N62" s="144">
        <v>46204</v>
      </c>
    </row>
    <row r="63" spans="1:14" ht="20" x14ac:dyDescent="0.2">
      <c r="A63" s="139"/>
      <c r="B63" s="146">
        <v>47</v>
      </c>
      <c r="C63" s="141" t="s">
        <v>157</v>
      </c>
      <c r="D63" s="142"/>
      <c r="E63" s="142">
        <v>0.5</v>
      </c>
      <c r="F63" s="142">
        <v>1</v>
      </c>
      <c r="G63" s="142"/>
      <c r="H63" s="142"/>
      <c r="I63" s="142">
        <v>4</v>
      </c>
      <c r="J63" s="142"/>
      <c r="K63" s="142"/>
      <c r="L63" s="142"/>
      <c r="M63" s="142"/>
      <c r="N63" s="144">
        <v>46204</v>
      </c>
    </row>
    <row r="64" spans="1:14" ht="60" x14ac:dyDescent="0.2">
      <c r="A64" s="139"/>
      <c r="B64" s="146">
        <v>48</v>
      </c>
      <c r="C64" s="141" t="s">
        <v>162</v>
      </c>
      <c r="D64" s="142"/>
      <c r="E64" s="142">
        <v>0</v>
      </c>
      <c r="F64" s="142">
        <v>0</v>
      </c>
      <c r="G64" s="142"/>
      <c r="H64" s="142"/>
      <c r="I64" s="142"/>
      <c r="J64" s="142"/>
      <c r="K64" s="142"/>
      <c r="L64" s="142"/>
      <c r="M64" s="132"/>
      <c r="N64" s="144">
        <v>46204</v>
      </c>
    </row>
    <row r="65" spans="1:14" ht="40" x14ac:dyDescent="0.2">
      <c r="A65" s="139"/>
      <c r="B65" s="146">
        <v>49</v>
      </c>
      <c r="C65" s="141" t="s">
        <v>186</v>
      </c>
      <c r="D65" s="142"/>
      <c r="E65" s="142">
        <v>2</v>
      </c>
      <c r="F65" s="142">
        <v>2</v>
      </c>
      <c r="G65" s="142"/>
      <c r="H65" s="142"/>
      <c r="I65" s="142"/>
      <c r="J65" s="142">
        <v>7</v>
      </c>
      <c r="K65" s="142"/>
      <c r="L65" s="142"/>
      <c r="M65" s="142"/>
      <c r="N65" s="144">
        <v>46204</v>
      </c>
    </row>
    <row r="66" spans="1:14" ht="120" x14ac:dyDescent="0.2">
      <c r="A66" s="139"/>
      <c r="B66" s="147">
        <v>50</v>
      </c>
      <c r="C66" s="141" t="s">
        <v>187</v>
      </c>
      <c r="D66" s="142"/>
      <c r="E66" s="142">
        <v>1.5</v>
      </c>
      <c r="F66" s="142">
        <v>1.5</v>
      </c>
      <c r="G66" s="142"/>
      <c r="H66" s="142">
        <v>6</v>
      </c>
      <c r="I66" s="142"/>
      <c r="J66" s="142"/>
      <c r="K66" s="142"/>
      <c r="L66" s="142"/>
      <c r="M66" s="132"/>
      <c r="N66" s="143">
        <v>46235</v>
      </c>
    </row>
    <row r="67" spans="1:14" ht="100" x14ac:dyDescent="0.2">
      <c r="A67" s="139"/>
      <c r="B67" s="147">
        <v>51</v>
      </c>
      <c r="C67" s="141" t="s">
        <v>188</v>
      </c>
      <c r="D67" s="142"/>
      <c r="E67" s="142">
        <v>1</v>
      </c>
      <c r="F67" s="142">
        <v>2</v>
      </c>
      <c r="G67" s="142">
        <v>7</v>
      </c>
      <c r="H67" s="142">
        <v>7</v>
      </c>
      <c r="I67" s="142"/>
      <c r="J67" s="142"/>
      <c r="K67" s="142"/>
      <c r="L67" s="142"/>
      <c r="M67" s="142"/>
      <c r="N67" s="143">
        <v>46235</v>
      </c>
    </row>
    <row r="68" spans="1:14" ht="60" x14ac:dyDescent="0.2">
      <c r="A68" s="139"/>
      <c r="B68" s="147">
        <v>52</v>
      </c>
      <c r="C68" s="141" t="s">
        <v>189</v>
      </c>
      <c r="D68" s="142"/>
      <c r="E68" s="142">
        <v>0.5</v>
      </c>
      <c r="F68" s="142">
        <v>1</v>
      </c>
      <c r="G68" s="142"/>
      <c r="H68" s="142">
        <v>3</v>
      </c>
      <c r="I68" s="142"/>
      <c r="J68" s="142"/>
      <c r="K68" s="142"/>
      <c r="L68" s="142"/>
      <c r="M68" s="142"/>
      <c r="N68" s="144">
        <v>46204</v>
      </c>
    </row>
    <row r="69" spans="1:14" ht="60" x14ac:dyDescent="0.2">
      <c r="A69" s="139"/>
      <c r="B69" s="147">
        <v>53</v>
      </c>
      <c r="C69" s="141" t="s">
        <v>190</v>
      </c>
      <c r="D69" s="142"/>
      <c r="E69" s="142">
        <v>0.5</v>
      </c>
      <c r="F69" s="142">
        <v>1</v>
      </c>
      <c r="G69" s="142"/>
      <c r="H69" s="142"/>
      <c r="I69" s="142"/>
      <c r="J69" s="142">
        <v>5</v>
      </c>
      <c r="K69" s="142"/>
      <c r="L69" s="142"/>
      <c r="M69" s="142"/>
      <c r="N69" s="144">
        <v>46204</v>
      </c>
    </row>
    <row r="70" spans="1:14" ht="40" x14ac:dyDescent="0.2">
      <c r="A70" s="139"/>
      <c r="B70" s="147">
        <v>54</v>
      </c>
      <c r="C70" s="141" t="s">
        <v>191</v>
      </c>
      <c r="D70" s="142"/>
      <c r="E70" s="142">
        <v>0.5</v>
      </c>
      <c r="F70" s="142">
        <v>1</v>
      </c>
      <c r="G70" s="142"/>
      <c r="H70" s="142"/>
      <c r="I70" s="142"/>
      <c r="J70" s="142">
        <v>3</v>
      </c>
      <c r="K70" s="142"/>
      <c r="L70" s="142"/>
      <c r="M70" s="142"/>
      <c r="N70" s="144">
        <v>46204</v>
      </c>
    </row>
    <row r="71" spans="1:14" ht="60" x14ac:dyDescent="0.2">
      <c r="A71" s="139"/>
      <c r="B71" s="147">
        <v>55</v>
      </c>
      <c r="C71" s="141" t="s">
        <v>192</v>
      </c>
      <c r="D71" s="142"/>
      <c r="E71" s="142">
        <v>0.5</v>
      </c>
      <c r="F71" s="142">
        <v>1</v>
      </c>
      <c r="G71" s="142"/>
      <c r="H71" s="142"/>
      <c r="I71" s="142">
        <v>5</v>
      </c>
      <c r="J71" s="142"/>
      <c r="K71" s="142"/>
      <c r="L71" s="142"/>
      <c r="M71" s="142"/>
      <c r="N71" s="144">
        <v>46204</v>
      </c>
    </row>
    <row r="72" spans="1:14" ht="60" x14ac:dyDescent="0.2">
      <c r="A72" s="139"/>
      <c r="B72" s="147">
        <v>56</v>
      </c>
      <c r="C72" s="141" t="s">
        <v>193</v>
      </c>
      <c r="D72" s="142"/>
      <c r="E72" s="142">
        <v>0</v>
      </c>
      <c r="F72" s="142">
        <v>0</v>
      </c>
      <c r="G72" s="142"/>
      <c r="H72" s="142"/>
      <c r="I72" s="142"/>
      <c r="J72" s="142"/>
      <c r="K72" s="142"/>
      <c r="L72" s="142"/>
      <c r="M72" s="132"/>
      <c r="N72" s="144">
        <v>46204</v>
      </c>
    </row>
    <row r="73" spans="1:14" ht="120" x14ac:dyDescent="0.2">
      <c r="A73" s="139"/>
      <c r="B73" s="147">
        <v>57</v>
      </c>
      <c r="C73" s="145" t="s">
        <v>194</v>
      </c>
      <c r="D73" s="142"/>
      <c r="E73" s="142">
        <v>0.5</v>
      </c>
      <c r="F73" s="142">
        <v>0.5</v>
      </c>
      <c r="G73" s="142"/>
      <c r="H73" s="142"/>
      <c r="I73" s="142"/>
      <c r="J73" s="142"/>
      <c r="K73" s="142"/>
      <c r="L73" s="142">
        <v>2</v>
      </c>
      <c r="M73" s="142"/>
      <c r="N73" s="144">
        <v>46204</v>
      </c>
    </row>
    <row r="74" spans="1:14" ht="60" x14ac:dyDescent="0.2">
      <c r="A74" s="139"/>
      <c r="B74" s="147">
        <v>58</v>
      </c>
      <c r="C74" s="141" t="s">
        <v>195</v>
      </c>
      <c r="D74" s="142"/>
      <c r="E74" s="142">
        <v>0.5</v>
      </c>
      <c r="F74" s="142">
        <v>0.5</v>
      </c>
      <c r="G74" s="142"/>
      <c r="H74" s="142"/>
      <c r="I74" s="142">
        <v>1</v>
      </c>
      <c r="J74" s="142"/>
      <c r="K74" s="142"/>
      <c r="L74" s="142"/>
      <c r="M74" s="142"/>
      <c r="N74" s="144">
        <v>46204</v>
      </c>
    </row>
    <row r="75" spans="1:14" ht="20" x14ac:dyDescent="0.2">
      <c r="A75" s="139"/>
      <c r="B75" s="139"/>
      <c r="C75" s="148" t="s">
        <v>24</v>
      </c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</row>
    <row r="76" spans="1:14" ht="20" x14ac:dyDescent="0.2">
      <c r="A76" s="139"/>
      <c r="B76" s="142"/>
      <c r="C76" s="145" t="s">
        <v>86</v>
      </c>
      <c r="D76" s="142"/>
      <c r="E76" s="142">
        <v>1</v>
      </c>
      <c r="F76" s="142"/>
      <c r="G76" s="142"/>
      <c r="H76" s="142"/>
      <c r="I76" s="142"/>
      <c r="J76" s="142"/>
      <c r="K76" s="142"/>
      <c r="L76" s="142"/>
      <c r="M76" s="142"/>
      <c r="N76" s="142"/>
    </row>
    <row r="77" spans="1:14" ht="20" x14ac:dyDescent="0.2">
      <c r="A77" s="139"/>
      <c r="B77" s="142"/>
      <c r="C77" s="145" t="s">
        <v>87</v>
      </c>
      <c r="D77" s="142"/>
      <c r="E77" s="142">
        <v>1</v>
      </c>
      <c r="F77" s="142">
        <v>0.5</v>
      </c>
      <c r="G77" s="142"/>
      <c r="H77" s="142"/>
      <c r="I77" s="142"/>
      <c r="J77" s="142"/>
      <c r="K77" s="142"/>
      <c r="L77" s="142"/>
      <c r="M77" s="142"/>
      <c r="N77" s="142"/>
    </row>
    <row r="78" spans="1:14" ht="20" x14ac:dyDescent="0.2">
      <c r="A78" s="139"/>
      <c r="B78" s="142"/>
      <c r="C78" s="145" t="s">
        <v>88</v>
      </c>
      <c r="D78" s="142"/>
      <c r="E78" s="142">
        <v>1</v>
      </c>
      <c r="F78" s="142">
        <v>0.5</v>
      </c>
      <c r="G78" s="142"/>
      <c r="H78" s="142"/>
      <c r="I78" s="142"/>
      <c r="J78" s="142"/>
      <c r="K78" s="142"/>
      <c r="L78" s="142"/>
      <c r="M78" s="142"/>
      <c r="N78" s="142"/>
    </row>
    <row r="79" spans="1:14" ht="20" x14ac:dyDescent="0.2">
      <c r="A79" s="139"/>
      <c r="B79" s="142"/>
      <c r="C79" s="145" t="s">
        <v>89</v>
      </c>
      <c r="D79" s="142"/>
      <c r="E79" s="142">
        <v>3</v>
      </c>
      <c r="F79" s="142">
        <v>3</v>
      </c>
      <c r="G79" s="142"/>
      <c r="H79" s="142"/>
      <c r="I79" s="142"/>
      <c r="J79" s="142"/>
      <c r="K79" s="142"/>
      <c r="L79" s="142"/>
      <c r="M79" s="142"/>
      <c r="N79" s="142"/>
    </row>
    <row r="80" spans="1:14" ht="20" x14ac:dyDescent="0.2">
      <c r="A80" s="139"/>
      <c r="B80" s="142"/>
      <c r="C80" s="145" t="s">
        <v>90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</row>
    <row r="81" spans="1:14" ht="20" x14ac:dyDescent="0.2">
      <c r="A81" s="139"/>
      <c r="B81" s="142"/>
      <c r="C81" s="145" t="s">
        <v>91</v>
      </c>
      <c r="D81" s="142"/>
      <c r="E81" s="142">
        <v>1</v>
      </c>
      <c r="F81" s="142"/>
      <c r="G81" s="142"/>
      <c r="H81" s="142"/>
      <c r="I81" s="142"/>
      <c r="J81" s="142"/>
      <c r="K81" s="142"/>
      <c r="L81" s="142"/>
      <c r="M81" s="142"/>
      <c r="N81" s="142"/>
    </row>
    <row r="82" spans="1:14" ht="20" x14ac:dyDescent="0.2">
      <c r="A82" s="139"/>
      <c r="B82" s="142"/>
      <c r="C82" s="148" t="s">
        <v>92</v>
      </c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</row>
    <row r="83" spans="1:14" ht="20" x14ac:dyDescent="0.2">
      <c r="A83" s="139"/>
      <c r="B83" s="142"/>
      <c r="C83" s="145" t="s">
        <v>86</v>
      </c>
      <c r="D83" s="142"/>
      <c r="E83" s="142">
        <v>0.5</v>
      </c>
      <c r="F83" s="142"/>
      <c r="G83" s="142"/>
      <c r="H83" s="142"/>
      <c r="I83" s="142"/>
      <c r="J83" s="142"/>
      <c r="K83" s="142"/>
      <c r="L83" s="142"/>
      <c r="M83" s="142"/>
      <c r="N83" s="142"/>
    </row>
    <row r="84" spans="1:14" ht="20" x14ac:dyDescent="0.2">
      <c r="A84" s="139"/>
      <c r="B84" s="142"/>
      <c r="C84" s="145" t="s">
        <v>87</v>
      </c>
      <c r="D84" s="142"/>
      <c r="E84" s="142">
        <v>0.5</v>
      </c>
      <c r="F84" s="142">
        <v>0.5</v>
      </c>
      <c r="G84" s="142"/>
      <c r="H84" s="142"/>
      <c r="I84" s="142"/>
      <c r="J84" s="142"/>
      <c r="K84" s="142"/>
      <c r="L84" s="142"/>
      <c r="M84" s="142"/>
      <c r="N84" s="142"/>
    </row>
    <row r="85" spans="1:14" ht="20" x14ac:dyDescent="0.2">
      <c r="A85" s="139"/>
      <c r="B85" s="142"/>
      <c r="C85" s="145" t="s">
        <v>88</v>
      </c>
      <c r="D85" s="142"/>
      <c r="E85" s="142">
        <v>0.5</v>
      </c>
      <c r="F85" s="142">
        <v>0.5</v>
      </c>
      <c r="G85" s="142"/>
      <c r="H85" s="142"/>
      <c r="I85" s="142"/>
      <c r="J85" s="142"/>
      <c r="K85" s="142"/>
      <c r="L85" s="142"/>
      <c r="M85" s="142"/>
      <c r="N85" s="142"/>
    </row>
    <row r="86" spans="1:14" ht="20" x14ac:dyDescent="0.2">
      <c r="A86" s="139"/>
      <c r="B86" s="142"/>
      <c r="C86" s="145" t="s">
        <v>89</v>
      </c>
      <c r="D86" s="142"/>
      <c r="E86" s="142">
        <v>1</v>
      </c>
      <c r="F86" s="142">
        <v>1</v>
      </c>
      <c r="G86" s="142"/>
      <c r="H86" s="142"/>
      <c r="I86" s="142"/>
      <c r="J86" s="142"/>
      <c r="K86" s="142"/>
      <c r="L86" s="142"/>
      <c r="M86" s="142"/>
      <c r="N86" s="142"/>
    </row>
    <row r="87" spans="1:14" ht="20" x14ac:dyDescent="0.2">
      <c r="A87" s="139"/>
      <c r="B87" s="142"/>
      <c r="C87" s="145" t="s">
        <v>90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</row>
    <row r="88" spans="1:14" ht="20" x14ac:dyDescent="0.2">
      <c r="A88" s="139"/>
      <c r="B88" s="142"/>
      <c r="C88" s="145" t="s">
        <v>91</v>
      </c>
      <c r="D88" s="142"/>
      <c r="E88" s="142">
        <v>0.5</v>
      </c>
      <c r="F88" s="142"/>
      <c r="G88" s="142"/>
      <c r="H88" s="142"/>
      <c r="I88" s="142"/>
      <c r="J88" s="142"/>
      <c r="K88" s="142"/>
      <c r="L88" s="142"/>
      <c r="M88" s="142"/>
      <c r="N88" s="142"/>
    </row>
    <row r="89" spans="1:14" ht="20" x14ac:dyDescent="0.2">
      <c r="A89" s="139"/>
      <c r="B89" s="142"/>
      <c r="C89" s="148" t="s">
        <v>93</v>
      </c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</row>
    <row r="90" spans="1:14" ht="20" x14ac:dyDescent="0.2">
      <c r="A90" s="139"/>
      <c r="B90" s="142"/>
      <c r="C90" s="145" t="s">
        <v>86</v>
      </c>
      <c r="D90" s="142"/>
      <c r="E90" s="142">
        <v>0.5</v>
      </c>
      <c r="F90" s="142"/>
      <c r="G90" s="142"/>
      <c r="H90" s="142"/>
      <c r="I90" s="142"/>
      <c r="J90" s="142"/>
      <c r="K90" s="142"/>
      <c r="L90" s="142"/>
      <c r="M90" s="142"/>
      <c r="N90" s="142"/>
    </row>
    <row r="91" spans="1:14" ht="20" x14ac:dyDescent="0.2">
      <c r="A91" s="139"/>
      <c r="B91" s="142"/>
      <c r="C91" s="145" t="s">
        <v>87</v>
      </c>
      <c r="D91" s="142"/>
      <c r="E91" s="142">
        <v>0.5</v>
      </c>
      <c r="F91" s="142">
        <v>0.5</v>
      </c>
      <c r="G91" s="142"/>
      <c r="H91" s="142"/>
      <c r="I91" s="142"/>
      <c r="J91" s="142"/>
      <c r="K91" s="142"/>
      <c r="L91" s="142"/>
      <c r="M91" s="142"/>
      <c r="N91" s="142"/>
    </row>
    <row r="92" spans="1:14" ht="20" x14ac:dyDescent="0.2">
      <c r="A92" s="139"/>
      <c r="B92" s="142"/>
      <c r="C92" s="145" t="s">
        <v>88</v>
      </c>
      <c r="D92" s="142"/>
      <c r="E92" s="142">
        <v>0.5</v>
      </c>
      <c r="F92" s="142">
        <v>1</v>
      </c>
      <c r="G92" s="142"/>
      <c r="H92" s="142"/>
      <c r="I92" s="142"/>
      <c r="J92" s="142"/>
      <c r="K92" s="142"/>
      <c r="L92" s="142"/>
      <c r="M92" s="142"/>
      <c r="N92" s="142"/>
    </row>
    <row r="93" spans="1:14" ht="20" x14ac:dyDescent="0.2">
      <c r="A93" s="139"/>
      <c r="B93" s="142"/>
      <c r="C93" s="145" t="s">
        <v>89</v>
      </c>
      <c r="D93" s="142"/>
      <c r="E93" s="142">
        <v>4</v>
      </c>
      <c r="F93" s="142">
        <v>4</v>
      </c>
      <c r="G93" s="142"/>
      <c r="H93" s="142"/>
      <c r="I93" s="142"/>
      <c r="J93" s="142"/>
      <c r="K93" s="142"/>
      <c r="L93" s="142"/>
      <c r="M93" s="142"/>
      <c r="N93" s="142"/>
    </row>
    <row r="94" spans="1:14" ht="20" x14ac:dyDescent="0.2">
      <c r="A94" s="139"/>
      <c r="B94" s="142"/>
      <c r="C94" s="145" t="s">
        <v>90</v>
      </c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</row>
    <row r="95" spans="1:14" ht="20" x14ac:dyDescent="0.2">
      <c r="A95" s="139"/>
      <c r="B95" s="142"/>
      <c r="C95" s="145" t="s">
        <v>91</v>
      </c>
      <c r="D95" s="142"/>
      <c r="E95" s="142">
        <v>1</v>
      </c>
      <c r="F95" s="142"/>
      <c r="G95" s="142"/>
      <c r="H95" s="142"/>
      <c r="I95" s="142"/>
      <c r="J95" s="142"/>
      <c r="K95" s="142"/>
      <c r="L95" s="142"/>
      <c r="M95" s="142"/>
      <c r="N95" s="142"/>
    </row>
    <row r="96" spans="1:14" ht="20" x14ac:dyDescent="0.2">
      <c r="A96" s="139"/>
      <c r="B96" s="142"/>
      <c r="C96" s="148" t="s">
        <v>105</v>
      </c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</row>
    <row r="97" spans="1:14" ht="20" x14ac:dyDescent="0.2">
      <c r="A97" s="139"/>
      <c r="B97" s="142"/>
      <c r="C97" s="145" t="s">
        <v>86</v>
      </c>
      <c r="D97" s="142"/>
      <c r="E97" s="142">
        <v>1</v>
      </c>
      <c r="F97" s="142"/>
      <c r="G97" s="142"/>
      <c r="H97" s="142"/>
      <c r="I97" s="142"/>
      <c r="J97" s="142"/>
      <c r="K97" s="142"/>
      <c r="L97" s="142"/>
      <c r="M97" s="142"/>
      <c r="N97" s="142"/>
    </row>
    <row r="98" spans="1:14" ht="20" x14ac:dyDescent="0.2">
      <c r="A98" s="139"/>
      <c r="B98" s="142"/>
      <c r="C98" s="145" t="s">
        <v>87</v>
      </c>
      <c r="D98" s="142"/>
      <c r="E98" s="142">
        <v>1</v>
      </c>
      <c r="F98" s="142">
        <v>1</v>
      </c>
      <c r="G98" s="142"/>
      <c r="H98" s="142"/>
      <c r="I98" s="142"/>
      <c r="J98" s="142"/>
      <c r="K98" s="142"/>
      <c r="L98" s="142"/>
      <c r="M98" s="142"/>
      <c r="N98" s="142"/>
    </row>
    <row r="99" spans="1:14" ht="20" x14ac:dyDescent="0.2">
      <c r="A99" s="139"/>
      <c r="B99" s="142"/>
      <c r="C99" s="145" t="s">
        <v>88</v>
      </c>
      <c r="D99" s="142"/>
      <c r="E99" s="142">
        <v>1</v>
      </c>
      <c r="F99" s="142">
        <v>1</v>
      </c>
      <c r="G99" s="142"/>
      <c r="H99" s="142"/>
      <c r="I99" s="142"/>
      <c r="J99" s="142"/>
      <c r="K99" s="142"/>
      <c r="L99" s="142"/>
      <c r="M99" s="142"/>
      <c r="N99" s="142"/>
    </row>
    <row r="100" spans="1:14" ht="20" x14ac:dyDescent="0.2">
      <c r="A100" s="139"/>
      <c r="B100" s="142"/>
      <c r="C100" s="145" t="s">
        <v>89</v>
      </c>
      <c r="D100" s="142"/>
      <c r="E100" s="142">
        <v>1</v>
      </c>
      <c r="F100" s="142">
        <v>1</v>
      </c>
      <c r="G100" s="142"/>
      <c r="H100" s="142"/>
      <c r="I100" s="142"/>
      <c r="J100" s="142"/>
      <c r="K100" s="142"/>
      <c r="L100" s="142"/>
      <c r="M100" s="142"/>
      <c r="N100" s="142"/>
    </row>
    <row r="101" spans="1:14" ht="20" x14ac:dyDescent="0.2">
      <c r="A101" s="139"/>
      <c r="B101" s="142"/>
      <c r="C101" s="145" t="s">
        <v>90</v>
      </c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</row>
    <row r="102" spans="1:14" ht="20" x14ac:dyDescent="0.2">
      <c r="A102" s="139"/>
      <c r="B102" s="142"/>
      <c r="C102" s="145" t="s">
        <v>91</v>
      </c>
      <c r="D102" s="142"/>
      <c r="E102" s="142">
        <v>1</v>
      </c>
      <c r="F102" s="142"/>
      <c r="G102" s="142"/>
      <c r="H102" s="142"/>
      <c r="I102" s="142"/>
      <c r="J102" s="142"/>
      <c r="K102" s="142"/>
      <c r="L102" s="142"/>
      <c r="M102" s="142"/>
      <c r="N102" s="142"/>
    </row>
    <row r="103" spans="1:14" ht="20" x14ac:dyDescent="0.2">
      <c r="A103" s="139"/>
      <c r="B103" s="142"/>
      <c r="C103" s="148" t="s">
        <v>94</v>
      </c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</row>
    <row r="104" spans="1:14" ht="20" x14ac:dyDescent="0.2">
      <c r="A104" s="139"/>
      <c r="B104" s="142"/>
      <c r="C104" s="145" t="s">
        <v>86</v>
      </c>
      <c r="D104" s="142"/>
      <c r="E104" s="142"/>
      <c r="F104" s="142">
        <v>1</v>
      </c>
      <c r="G104" s="142"/>
      <c r="H104" s="142"/>
      <c r="I104" s="142"/>
      <c r="J104" s="142"/>
      <c r="K104" s="142"/>
      <c r="L104" s="142"/>
      <c r="M104" s="142"/>
      <c r="N104" s="142"/>
    </row>
    <row r="105" spans="1:14" ht="20" x14ac:dyDescent="0.2">
      <c r="A105" s="139"/>
      <c r="B105" s="142"/>
      <c r="C105" s="145" t="s">
        <v>87</v>
      </c>
      <c r="D105" s="142"/>
      <c r="E105" s="142">
        <v>1</v>
      </c>
      <c r="F105" s="142">
        <v>1</v>
      </c>
      <c r="G105" s="142"/>
      <c r="H105" s="142"/>
      <c r="I105" s="142"/>
      <c r="J105" s="142"/>
      <c r="K105" s="142"/>
      <c r="L105" s="142"/>
      <c r="M105" s="142"/>
      <c r="N105" s="142"/>
    </row>
    <row r="106" spans="1:14" ht="20" x14ac:dyDescent="0.2">
      <c r="A106" s="139"/>
      <c r="B106" s="142"/>
      <c r="C106" s="145" t="s">
        <v>88</v>
      </c>
      <c r="D106" s="142"/>
      <c r="E106" s="142"/>
      <c r="F106" s="142">
        <v>1</v>
      </c>
      <c r="G106" s="142"/>
      <c r="H106" s="142"/>
      <c r="I106" s="142"/>
      <c r="J106" s="142"/>
      <c r="K106" s="142"/>
      <c r="L106" s="142"/>
      <c r="M106" s="142"/>
      <c r="N106" s="142"/>
    </row>
    <row r="107" spans="1:14" ht="20" x14ac:dyDescent="0.2">
      <c r="A107" s="139"/>
      <c r="B107" s="142"/>
      <c r="C107" s="145" t="s">
        <v>89</v>
      </c>
      <c r="D107" s="142"/>
      <c r="E107" s="142"/>
      <c r="F107" s="142">
        <v>1</v>
      </c>
      <c r="G107" s="142"/>
      <c r="H107" s="142"/>
      <c r="I107" s="142"/>
      <c r="J107" s="142"/>
      <c r="K107" s="142"/>
      <c r="L107" s="142">
        <v>3</v>
      </c>
      <c r="M107" s="142"/>
      <c r="N107" s="142"/>
    </row>
    <row r="108" spans="1:14" ht="20" x14ac:dyDescent="0.2">
      <c r="A108" s="139"/>
      <c r="B108" s="142"/>
      <c r="C108" s="145" t="s">
        <v>90</v>
      </c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</row>
    <row r="109" spans="1:14" ht="20" x14ac:dyDescent="0.2">
      <c r="A109" s="139"/>
      <c r="B109" s="142"/>
      <c r="C109" s="145" t="s">
        <v>91</v>
      </c>
      <c r="D109" s="142"/>
      <c r="E109" s="142"/>
      <c r="F109" s="142">
        <v>1</v>
      </c>
      <c r="G109" s="142"/>
      <c r="H109" s="142"/>
      <c r="I109" s="142"/>
      <c r="J109" s="142"/>
      <c r="K109" s="142"/>
      <c r="L109" s="142"/>
      <c r="M109" s="142"/>
      <c r="N109" s="142"/>
    </row>
    <row r="110" spans="1:14" x14ac:dyDescent="0.2">
      <c r="A110" s="136" t="s">
        <v>95</v>
      </c>
      <c r="B110" s="161" t="s">
        <v>96</v>
      </c>
      <c r="C110" s="162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</row>
    <row r="111" spans="1:14" ht="20" x14ac:dyDescent="0.2">
      <c r="A111" s="138"/>
      <c r="B111" s="138"/>
      <c r="C111" s="138" t="s">
        <v>79</v>
      </c>
      <c r="D111" s="142">
        <v>2</v>
      </c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</row>
    <row r="112" spans="1:14" ht="20" x14ac:dyDescent="0.2">
      <c r="A112" s="138"/>
      <c r="B112" s="138"/>
      <c r="C112" s="138" t="s">
        <v>104</v>
      </c>
      <c r="D112" s="142"/>
      <c r="E112" s="142"/>
      <c r="F112" s="142">
        <v>3</v>
      </c>
      <c r="G112" s="142"/>
      <c r="H112" s="142"/>
      <c r="I112" s="142"/>
      <c r="J112" s="142"/>
      <c r="K112" s="142"/>
      <c r="L112" s="142"/>
      <c r="M112" s="142"/>
      <c r="N112" s="142"/>
    </row>
    <row r="113" spans="1:14" x14ac:dyDescent="0.2">
      <c r="A113" s="139"/>
      <c r="B113" s="142"/>
      <c r="C113" s="139" t="s">
        <v>97</v>
      </c>
      <c r="D113" s="142"/>
      <c r="E113" s="142"/>
      <c r="F113" s="142">
        <v>1</v>
      </c>
      <c r="G113" s="142"/>
      <c r="H113" s="142"/>
      <c r="I113" s="142"/>
      <c r="J113" s="142"/>
      <c r="K113" s="142"/>
      <c r="L113" s="142"/>
      <c r="M113" s="142"/>
      <c r="N113" s="142"/>
    </row>
    <row r="114" spans="1:14" ht="20" x14ac:dyDescent="0.2">
      <c r="A114" s="139"/>
      <c r="B114" s="142"/>
      <c r="C114" s="149" t="s">
        <v>200</v>
      </c>
      <c r="D114" s="142"/>
      <c r="E114" s="142"/>
      <c r="F114" s="142"/>
      <c r="G114" s="142"/>
      <c r="H114" s="142"/>
      <c r="I114" s="142"/>
      <c r="J114" s="142"/>
      <c r="K114" s="142"/>
      <c r="L114" s="142"/>
      <c r="M114" s="142">
        <v>3</v>
      </c>
      <c r="N114" s="142"/>
    </row>
    <row r="115" spans="1:14" x14ac:dyDescent="0.2">
      <c r="A115" s="136" t="s">
        <v>98</v>
      </c>
      <c r="B115" s="161" t="s">
        <v>101</v>
      </c>
      <c r="C115" s="162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</row>
    <row r="116" spans="1:14" ht="20" x14ac:dyDescent="0.2">
      <c r="A116" s="138"/>
      <c r="B116" s="138"/>
      <c r="C116" s="138" t="s">
        <v>79</v>
      </c>
      <c r="D116" s="142"/>
      <c r="E116" s="142">
        <v>3</v>
      </c>
      <c r="F116" s="142">
        <v>3</v>
      </c>
      <c r="G116" s="142"/>
      <c r="H116" s="142"/>
      <c r="I116" s="142">
        <v>3</v>
      </c>
      <c r="J116" s="142"/>
      <c r="K116" s="142"/>
      <c r="L116" s="142"/>
      <c r="M116" s="142"/>
      <c r="N116" s="142"/>
    </row>
    <row r="117" spans="1:14" x14ac:dyDescent="0.2">
      <c r="C117" s="134" t="s">
        <v>0</v>
      </c>
      <c r="D117" s="132">
        <f>SUM(D4:D116)</f>
        <v>25</v>
      </c>
      <c r="E117" s="132">
        <f t="shared" ref="E117:M117" si="0">SUM(E4:E116)</f>
        <v>71</v>
      </c>
      <c r="F117" s="132">
        <f t="shared" si="0"/>
        <v>90</v>
      </c>
      <c r="G117" s="132">
        <f t="shared" si="0"/>
        <v>34</v>
      </c>
      <c r="H117" s="132">
        <f t="shared" si="0"/>
        <v>25</v>
      </c>
      <c r="I117" s="132">
        <f t="shared" si="0"/>
        <v>57</v>
      </c>
      <c r="J117" s="132">
        <f t="shared" si="0"/>
        <v>41</v>
      </c>
      <c r="K117" s="132">
        <f t="shared" si="0"/>
        <v>21</v>
      </c>
      <c r="L117" s="132">
        <f t="shared" si="0"/>
        <v>21</v>
      </c>
      <c r="M117" s="132">
        <f t="shared" si="0"/>
        <v>3</v>
      </c>
    </row>
    <row r="120" spans="1:14" ht="20" x14ac:dyDescent="0.2">
      <c r="A120" s="159" t="s">
        <v>74</v>
      </c>
      <c r="B120" s="159"/>
      <c r="C120" s="159" t="s">
        <v>11</v>
      </c>
      <c r="D120" s="133" t="s">
        <v>99</v>
      </c>
      <c r="E120" s="133" t="s">
        <v>13</v>
      </c>
      <c r="F120" s="133" t="s">
        <v>12</v>
      </c>
      <c r="G120" s="156" t="s">
        <v>23</v>
      </c>
      <c r="H120" s="157"/>
      <c r="I120" s="157"/>
      <c r="J120" s="157"/>
      <c r="K120" s="157"/>
      <c r="L120" s="158"/>
      <c r="M120" s="152" t="s">
        <v>103</v>
      </c>
      <c r="N120" s="151"/>
    </row>
    <row r="121" spans="1:14" ht="80" x14ac:dyDescent="0.2">
      <c r="A121" s="160"/>
      <c r="B121" s="160"/>
      <c r="C121" s="160"/>
      <c r="D121" s="152" t="s">
        <v>69</v>
      </c>
      <c r="E121" s="152" t="s">
        <v>70</v>
      </c>
      <c r="F121" s="152" t="s">
        <v>71</v>
      </c>
      <c r="G121" s="152" t="s">
        <v>66</v>
      </c>
      <c r="H121" s="152" t="s">
        <v>67</v>
      </c>
      <c r="I121" s="152" t="s">
        <v>68</v>
      </c>
      <c r="J121" s="152" t="s">
        <v>26</v>
      </c>
      <c r="K121" s="152" t="s">
        <v>27</v>
      </c>
      <c r="L121" s="152" t="s">
        <v>28</v>
      </c>
      <c r="M121" s="152" t="s">
        <v>202</v>
      </c>
      <c r="N121" s="135" t="s">
        <v>14</v>
      </c>
    </row>
    <row r="122" spans="1:14" ht="26" customHeight="1" x14ac:dyDescent="0.2">
      <c r="A122" s="136" t="s">
        <v>75</v>
      </c>
      <c r="B122" s="154" t="s">
        <v>76</v>
      </c>
      <c r="C122" s="15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7"/>
    </row>
    <row r="123" spans="1:14" ht="20" x14ac:dyDescent="0.2">
      <c r="A123" s="138"/>
      <c r="B123" s="138"/>
      <c r="C123" s="138" t="s">
        <v>79</v>
      </c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</row>
    <row r="124" spans="1:14" ht="20" x14ac:dyDescent="0.2">
      <c r="A124" s="139"/>
      <c r="B124" s="139"/>
      <c r="C124" s="138" t="s">
        <v>72</v>
      </c>
      <c r="D124" s="142">
        <v>0.5</v>
      </c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</row>
    <row r="125" spans="1:14" ht="20" x14ac:dyDescent="0.2">
      <c r="A125" s="139"/>
      <c r="B125" s="139"/>
      <c r="C125" s="138" t="s">
        <v>100</v>
      </c>
      <c r="D125" s="142">
        <v>0.5</v>
      </c>
      <c r="E125" s="142">
        <v>0.5</v>
      </c>
      <c r="F125" s="142">
        <v>0.5</v>
      </c>
      <c r="G125" s="142"/>
      <c r="H125" s="142"/>
      <c r="I125" s="142"/>
      <c r="J125" s="142"/>
      <c r="K125" s="142"/>
      <c r="L125" s="142"/>
      <c r="M125" s="142"/>
      <c r="N125" s="142"/>
    </row>
    <row r="126" spans="1:14" ht="20" x14ac:dyDescent="0.2">
      <c r="A126" s="139"/>
      <c r="B126" s="139"/>
      <c r="C126" s="138" t="s">
        <v>73</v>
      </c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</row>
    <row r="127" spans="1:14" x14ac:dyDescent="0.2">
      <c r="A127" s="136" t="s">
        <v>77</v>
      </c>
      <c r="B127" s="154" t="s">
        <v>78</v>
      </c>
      <c r="C127" s="155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</row>
    <row r="128" spans="1:14" ht="20" x14ac:dyDescent="0.2">
      <c r="A128" s="138"/>
      <c r="B128" s="138"/>
      <c r="C128" s="138" t="s">
        <v>79</v>
      </c>
      <c r="D128" s="142">
        <v>2</v>
      </c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</row>
    <row r="129" spans="1:14" ht="20" x14ac:dyDescent="0.2">
      <c r="A129" s="139"/>
      <c r="B129" s="138"/>
      <c r="C129" s="138" t="s">
        <v>80</v>
      </c>
      <c r="D129" s="142"/>
      <c r="E129" s="142">
        <v>2</v>
      </c>
      <c r="F129" s="142">
        <v>0.5</v>
      </c>
      <c r="G129" s="142"/>
      <c r="H129" s="142"/>
      <c r="I129" s="142"/>
      <c r="J129" s="142"/>
      <c r="K129" s="142"/>
      <c r="L129" s="142"/>
      <c r="M129" s="142"/>
      <c r="N129" s="142"/>
    </row>
    <row r="130" spans="1:14" ht="20" x14ac:dyDescent="0.2">
      <c r="A130" s="139"/>
      <c r="B130" s="138"/>
      <c r="C130" s="138" t="s">
        <v>81</v>
      </c>
      <c r="D130" s="142"/>
      <c r="E130" s="142">
        <v>2</v>
      </c>
      <c r="F130" s="142">
        <v>0.5</v>
      </c>
      <c r="G130" s="142"/>
      <c r="H130" s="142"/>
      <c r="I130" s="142"/>
      <c r="J130" s="142"/>
      <c r="K130" s="142"/>
      <c r="L130" s="142"/>
      <c r="M130" s="142"/>
      <c r="N130" s="142"/>
    </row>
    <row r="131" spans="1:14" ht="20" x14ac:dyDescent="0.2">
      <c r="A131" s="139"/>
      <c r="B131" s="138"/>
      <c r="C131" s="138" t="s">
        <v>82</v>
      </c>
      <c r="D131" s="142"/>
      <c r="E131" s="142">
        <v>0.5</v>
      </c>
      <c r="F131" s="142">
        <v>4</v>
      </c>
      <c r="G131" s="142"/>
      <c r="H131" s="142"/>
      <c r="I131" s="142"/>
      <c r="J131" s="142"/>
      <c r="K131" s="142"/>
      <c r="L131" s="142"/>
      <c r="M131" s="142"/>
      <c r="N131" s="142"/>
    </row>
    <row r="132" spans="1:14" ht="20" x14ac:dyDescent="0.2">
      <c r="A132" s="139"/>
      <c r="B132" s="138"/>
      <c r="C132" s="138" t="s">
        <v>83</v>
      </c>
      <c r="D132" s="142"/>
      <c r="E132" s="142">
        <v>0.5</v>
      </c>
      <c r="F132" s="142">
        <v>1</v>
      </c>
      <c r="G132" s="142"/>
      <c r="H132" s="142"/>
      <c r="I132" s="142"/>
      <c r="J132" s="142"/>
      <c r="K132" s="142"/>
      <c r="L132" s="142"/>
      <c r="M132" s="142"/>
      <c r="N132" s="142"/>
    </row>
    <row r="133" spans="1:14" x14ac:dyDescent="0.2">
      <c r="A133" s="136" t="s">
        <v>84</v>
      </c>
      <c r="B133" s="154" t="s">
        <v>85</v>
      </c>
      <c r="C133" s="155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</row>
    <row r="134" spans="1:14" ht="20" x14ac:dyDescent="0.2">
      <c r="A134" s="138"/>
      <c r="B134" s="138"/>
      <c r="C134" s="138" t="s">
        <v>79</v>
      </c>
      <c r="D134" s="142">
        <v>5</v>
      </c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</row>
    <row r="135" spans="1:14" ht="20" x14ac:dyDescent="0.2">
      <c r="A135" s="139"/>
      <c r="B135" s="139"/>
      <c r="C135" s="138" t="s">
        <v>23</v>
      </c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</row>
    <row r="136" spans="1:14" ht="120" x14ac:dyDescent="0.2">
      <c r="A136" s="139"/>
      <c r="B136" s="142">
        <v>1</v>
      </c>
      <c r="C136" s="141" t="s">
        <v>102</v>
      </c>
      <c r="D136" s="142"/>
      <c r="E136" s="142">
        <v>5</v>
      </c>
      <c r="F136" s="142">
        <v>9</v>
      </c>
      <c r="G136" s="142">
        <v>5</v>
      </c>
      <c r="H136" s="142">
        <v>5</v>
      </c>
      <c r="I136" s="142">
        <v>15</v>
      </c>
      <c r="J136" s="142">
        <v>11</v>
      </c>
      <c r="K136" s="142"/>
      <c r="L136" s="142"/>
      <c r="M136" s="142"/>
      <c r="N136" s="142"/>
    </row>
    <row r="137" spans="1:14" ht="20" x14ac:dyDescent="0.2">
      <c r="A137" s="139"/>
      <c r="B137" s="139"/>
      <c r="C137" s="148" t="s">
        <v>24</v>
      </c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</row>
    <row r="138" spans="1:14" ht="20" x14ac:dyDescent="0.2">
      <c r="A138" s="139"/>
      <c r="B138" s="142"/>
      <c r="C138" s="145" t="s">
        <v>86</v>
      </c>
      <c r="D138" s="142"/>
      <c r="E138" s="142">
        <v>0.5</v>
      </c>
      <c r="F138" s="142"/>
      <c r="G138" s="142"/>
      <c r="H138" s="142"/>
      <c r="I138" s="142"/>
      <c r="J138" s="142"/>
      <c r="K138" s="142"/>
      <c r="L138" s="142"/>
      <c r="M138" s="142"/>
      <c r="N138" s="142"/>
    </row>
    <row r="139" spans="1:14" ht="20" x14ac:dyDescent="0.2">
      <c r="A139" s="139"/>
      <c r="B139" s="142"/>
      <c r="C139" s="145" t="s">
        <v>87</v>
      </c>
      <c r="D139" s="142"/>
      <c r="E139" s="142">
        <v>0.5</v>
      </c>
      <c r="F139" s="142"/>
      <c r="G139" s="142"/>
      <c r="H139" s="142"/>
      <c r="I139" s="142"/>
      <c r="J139" s="142"/>
      <c r="K139" s="142"/>
      <c r="L139" s="142"/>
      <c r="M139" s="142"/>
      <c r="N139" s="142"/>
    </row>
    <row r="140" spans="1:14" ht="20" x14ac:dyDescent="0.2">
      <c r="A140" s="139"/>
      <c r="B140" s="142"/>
      <c r="C140" s="145" t="s">
        <v>88</v>
      </c>
      <c r="D140" s="142"/>
      <c r="E140" s="142">
        <v>0.5</v>
      </c>
      <c r="F140" s="142"/>
      <c r="G140" s="142"/>
      <c r="H140" s="142"/>
      <c r="I140" s="142"/>
      <c r="J140" s="142"/>
      <c r="K140" s="142"/>
      <c r="L140" s="142"/>
      <c r="M140" s="142"/>
      <c r="N140" s="142"/>
    </row>
    <row r="141" spans="1:14" ht="20" x14ac:dyDescent="0.2">
      <c r="A141" s="139"/>
      <c r="B141" s="142"/>
      <c r="C141" s="145" t="s">
        <v>89</v>
      </c>
      <c r="D141" s="142"/>
      <c r="E141" s="142">
        <v>2</v>
      </c>
      <c r="F141" s="142">
        <v>2</v>
      </c>
      <c r="G141" s="142"/>
      <c r="H141" s="142"/>
      <c r="I141" s="142"/>
      <c r="J141" s="142"/>
      <c r="K141" s="142"/>
      <c r="L141" s="142"/>
      <c r="M141" s="142"/>
      <c r="N141" s="142"/>
    </row>
    <row r="142" spans="1:14" ht="20" x14ac:dyDescent="0.2">
      <c r="A142" s="139"/>
      <c r="B142" s="142"/>
      <c r="C142" s="145" t="s">
        <v>90</v>
      </c>
      <c r="D142" s="142"/>
      <c r="E142" s="142"/>
      <c r="F142" s="142"/>
      <c r="G142" s="142"/>
      <c r="H142" s="142"/>
      <c r="I142" s="142"/>
      <c r="J142" s="142"/>
      <c r="K142" s="142"/>
      <c r="L142" s="142">
        <v>1</v>
      </c>
      <c r="M142" s="142"/>
      <c r="N142" s="142"/>
    </row>
    <row r="143" spans="1:14" ht="20" x14ac:dyDescent="0.2">
      <c r="A143" s="139"/>
      <c r="B143" s="142"/>
      <c r="C143" s="145" t="s">
        <v>91</v>
      </c>
      <c r="D143" s="142"/>
      <c r="E143" s="142">
        <v>1</v>
      </c>
      <c r="F143" s="142"/>
      <c r="G143" s="142"/>
      <c r="H143" s="142"/>
      <c r="I143" s="142"/>
      <c r="J143" s="142"/>
      <c r="K143" s="142"/>
      <c r="L143" s="142"/>
      <c r="M143" s="142"/>
      <c r="N143" s="142"/>
    </row>
    <row r="144" spans="1:14" ht="20" x14ac:dyDescent="0.2">
      <c r="A144" s="139"/>
      <c r="B144" s="142"/>
      <c r="C144" s="148" t="s">
        <v>92</v>
      </c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</row>
    <row r="145" spans="1:14" ht="20" x14ac:dyDescent="0.2">
      <c r="A145" s="139"/>
      <c r="B145" s="142"/>
      <c r="C145" s="145" t="s">
        <v>86</v>
      </c>
      <c r="D145" s="142"/>
      <c r="E145" s="142">
        <v>0.5</v>
      </c>
      <c r="F145" s="142"/>
      <c r="G145" s="142"/>
      <c r="H145" s="142"/>
      <c r="I145" s="142"/>
      <c r="J145" s="142"/>
      <c r="K145" s="142"/>
      <c r="L145" s="142"/>
      <c r="M145" s="142"/>
      <c r="N145" s="142"/>
    </row>
    <row r="146" spans="1:14" ht="20" x14ac:dyDescent="0.2">
      <c r="A146" s="139"/>
      <c r="B146" s="142"/>
      <c r="C146" s="145" t="s">
        <v>87</v>
      </c>
      <c r="D146" s="142"/>
      <c r="E146" s="142">
        <v>0.5</v>
      </c>
      <c r="F146" s="142"/>
      <c r="G146" s="142"/>
      <c r="H146" s="142"/>
      <c r="I146" s="142"/>
      <c r="J146" s="142"/>
      <c r="K146" s="142"/>
      <c r="L146" s="142"/>
      <c r="M146" s="142"/>
      <c r="N146" s="142"/>
    </row>
    <row r="147" spans="1:14" ht="20" x14ac:dyDescent="0.2">
      <c r="A147" s="139"/>
      <c r="B147" s="142"/>
      <c r="C147" s="145" t="s">
        <v>88</v>
      </c>
      <c r="D147" s="142"/>
      <c r="E147" s="142">
        <v>0.5</v>
      </c>
      <c r="F147" s="142"/>
      <c r="G147" s="142"/>
      <c r="H147" s="142"/>
      <c r="I147" s="142"/>
      <c r="J147" s="142"/>
      <c r="K147" s="142"/>
      <c r="L147" s="142"/>
      <c r="M147" s="142"/>
      <c r="N147" s="142"/>
    </row>
    <row r="148" spans="1:14" ht="20" x14ac:dyDescent="0.2">
      <c r="A148" s="139"/>
      <c r="B148" s="142"/>
      <c r="C148" s="145" t="s">
        <v>89</v>
      </c>
      <c r="D148" s="142"/>
      <c r="E148" s="142">
        <v>1</v>
      </c>
      <c r="F148" s="142">
        <v>1</v>
      </c>
      <c r="G148" s="142"/>
      <c r="H148" s="142"/>
      <c r="I148" s="142"/>
      <c r="J148" s="142"/>
      <c r="K148" s="142"/>
      <c r="L148" s="142"/>
      <c r="M148" s="142"/>
      <c r="N148" s="142"/>
    </row>
    <row r="149" spans="1:14" ht="20" x14ac:dyDescent="0.2">
      <c r="A149" s="139"/>
      <c r="B149" s="142"/>
      <c r="C149" s="145" t="s">
        <v>90</v>
      </c>
      <c r="D149" s="142"/>
      <c r="E149" s="142"/>
      <c r="F149" s="142"/>
      <c r="G149" s="142"/>
      <c r="H149" s="142"/>
      <c r="I149" s="142"/>
      <c r="J149" s="142"/>
      <c r="K149" s="142"/>
      <c r="L149" s="142">
        <v>1</v>
      </c>
      <c r="M149" s="142"/>
      <c r="N149" s="142"/>
    </row>
    <row r="150" spans="1:14" ht="20" x14ac:dyDescent="0.2">
      <c r="A150" s="139"/>
      <c r="B150" s="142"/>
      <c r="C150" s="145" t="s">
        <v>91</v>
      </c>
      <c r="D150" s="142"/>
      <c r="E150" s="142">
        <v>0.5</v>
      </c>
      <c r="F150" s="142"/>
      <c r="G150" s="142"/>
      <c r="H150" s="142"/>
      <c r="I150" s="142"/>
      <c r="J150" s="142"/>
      <c r="K150" s="142"/>
      <c r="L150" s="142"/>
      <c r="M150" s="142"/>
      <c r="N150" s="142"/>
    </row>
    <row r="151" spans="1:14" ht="20" x14ac:dyDescent="0.2">
      <c r="A151" s="139"/>
      <c r="B151" s="142"/>
      <c r="C151" s="148" t="s">
        <v>93</v>
      </c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</row>
    <row r="152" spans="1:14" ht="20" x14ac:dyDescent="0.2">
      <c r="A152" s="139"/>
      <c r="B152" s="142"/>
      <c r="C152" s="145" t="s">
        <v>86</v>
      </c>
      <c r="D152" s="142"/>
      <c r="E152" s="142">
        <v>0.5</v>
      </c>
      <c r="F152" s="142"/>
      <c r="G152" s="142"/>
      <c r="H152" s="142"/>
      <c r="I152" s="142"/>
      <c r="J152" s="142"/>
      <c r="K152" s="142"/>
      <c r="L152" s="142"/>
      <c r="M152" s="142"/>
      <c r="N152" s="142"/>
    </row>
    <row r="153" spans="1:14" ht="20" x14ac:dyDescent="0.2">
      <c r="A153" s="139"/>
      <c r="B153" s="142"/>
      <c r="C153" s="145" t="s">
        <v>87</v>
      </c>
      <c r="D153" s="142"/>
      <c r="E153" s="142">
        <v>0.5</v>
      </c>
      <c r="F153" s="142"/>
      <c r="G153" s="142"/>
      <c r="H153" s="142"/>
      <c r="I153" s="142"/>
      <c r="J153" s="142"/>
      <c r="K153" s="142"/>
      <c r="L153" s="142"/>
      <c r="M153" s="142"/>
      <c r="N153" s="142"/>
    </row>
    <row r="154" spans="1:14" ht="20" x14ac:dyDescent="0.2">
      <c r="A154" s="139"/>
      <c r="B154" s="142"/>
      <c r="C154" s="145" t="s">
        <v>88</v>
      </c>
      <c r="D154" s="142"/>
      <c r="E154" s="142">
        <v>0.5</v>
      </c>
      <c r="F154" s="142"/>
      <c r="G154" s="142"/>
      <c r="H154" s="142"/>
      <c r="I154" s="142"/>
      <c r="J154" s="142"/>
      <c r="K154" s="142"/>
      <c r="L154" s="142"/>
      <c r="M154" s="142"/>
      <c r="N154" s="142"/>
    </row>
    <row r="155" spans="1:14" ht="20" x14ac:dyDescent="0.2">
      <c r="A155" s="139"/>
      <c r="B155" s="142"/>
      <c r="C155" s="145" t="s">
        <v>89</v>
      </c>
      <c r="D155" s="142"/>
      <c r="E155" s="142">
        <v>2</v>
      </c>
      <c r="F155" s="142">
        <v>2</v>
      </c>
      <c r="G155" s="142"/>
      <c r="H155" s="142"/>
      <c r="I155" s="142"/>
      <c r="J155" s="142"/>
      <c r="K155" s="142"/>
      <c r="L155" s="142"/>
      <c r="M155" s="142"/>
      <c r="N155" s="142"/>
    </row>
    <row r="156" spans="1:14" ht="20" x14ac:dyDescent="0.2">
      <c r="A156" s="139"/>
      <c r="B156" s="142"/>
      <c r="C156" s="145" t="s">
        <v>90</v>
      </c>
      <c r="D156" s="142"/>
      <c r="E156" s="142"/>
      <c r="F156" s="142"/>
      <c r="G156" s="142"/>
      <c r="H156" s="142"/>
      <c r="I156" s="142"/>
      <c r="J156" s="142"/>
      <c r="K156" s="142"/>
      <c r="L156" s="142">
        <v>1</v>
      </c>
      <c r="M156" s="142"/>
      <c r="N156" s="142"/>
    </row>
    <row r="157" spans="1:14" ht="20" x14ac:dyDescent="0.2">
      <c r="A157" s="139"/>
      <c r="B157" s="142"/>
      <c r="C157" s="145" t="s">
        <v>91</v>
      </c>
      <c r="D157" s="142"/>
      <c r="E157" s="142">
        <v>0.5</v>
      </c>
      <c r="F157" s="142"/>
      <c r="G157" s="142"/>
      <c r="H157" s="142"/>
      <c r="I157" s="142"/>
      <c r="J157" s="142"/>
      <c r="K157" s="142"/>
      <c r="L157" s="142"/>
      <c r="M157" s="142"/>
      <c r="N157" s="142"/>
    </row>
    <row r="158" spans="1:14" ht="20" x14ac:dyDescent="0.2">
      <c r="A158" s="139"/>
      <c r="B158" s="142"/>
      <c r="C158" s="148" t="s">
        <v>94</v>
      </c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</row>
    <row r="159" spans="1:14" ht="20" x14ac:dyDescent="0.2">
      <c r="A159" s="139"/>
      <c r="B159" s="142"/>
      <c r="C159" s="145" t="s">
        <v>86</v>
      </c>
      <c r="D159" s="142"/>
      <c r="E159" s="142"/>
      <c r="F159" s="142">
        <v>0.5</v>
      </c>
      <c r="G159" s="142"/>
      <c r="H159" s="142"/>
      <c r="I159" s="142"/>
      <c r="J159" s="142"/>
      <c r="K159" s="142"/>
      <c r="L159" s="142"/>
      <c r="M159" s="142"/>
      <c r="N159" s="142"/>
    </row>
    <row r="160" spans="1:14" ht="20" x14ac:dyDescent="0.2">
      <c r="A160" s="139"/>
      <c r="B160" s="142"/>
      <c r="C160" s="145" t="s">
        <v>87</v>
      </c>
      <c r="D160" s="142"/>
      <c r="E160" s="142">
        <v>0.5</v>
      </c>
      <c r="F160" s="142">
        <v>0.5</v>
      </c>
      <c r="G160" s="142"/>
      <c r="H160" s="142"/>
      <c r="I160" s="142"/>
      <c r="J160" s="142"/>
      <c r="K160" s="142"/>
      <c r="L160" s="142"/>
      <c r="M160" s="142"/>
      <c r="N160" s="142"/>
    </row>
    <row r="161" spans="1:14" ht="20" x14ac:dyDescent="0.2">
      <c r="A161" s="139"/>
      <c r="B161" s="142"/>
      <c r="C161" s="145" t="s">
        <v>88</v>
      </c>
      <c r="D161" s="142"/>
      <c r="E161" s="142"/>
      <c r="F161" s="142">
        <v>0.5</v>
      </c>
      <c r="G161" s="142"/>
      <c r="H161" s="142"/>
      <c r="I161" s="142"/>
      <c r="J161" s="142"/>
      <c r="K161" s="142"/>
      <c r="L161" s="142"/>
      <c r="M161" s="142"/>
      <c r="N161" s="142"/>
    </row>
    <row r="162" spans="1:14" ht="20" x14ac:dyDescent="0.2">
      <c r="A162" s="139"/>
      <c r="B162" s="142"/>
      <c r="C162" s="145" t="s">
        <v>89</v>
      </c>
      <c r="D162" s="142"/>
      <c r="E162" s="142"/>
      <c r="F162" s="142">
        <v>0.5</v>
      </c>
      <c r="G162" s="142"/>
      <c r="H162" s="142"/>
      <c r="I162" s="142"/>
      <c r="J162" s="142"/>
      <c r="K162" s="142"/>
      <c r="L162" s="142">
        <v>1</v>
      </c>
      <c r="M162" s="142"/>
      <c r="N162" s="142"/>
    </row>
    <row r="163" spans="1:14" ht="20" x14ac:dyDescent="0.2">
      <c r="A163" s="139"/>
      <c r="B163" s="142"/>
      <c r="C163" s="145" t="s">
        <v>90</v>
      </c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</row>
    <row r="164" spans="1:14" ht="20" x14ac:dyDescent="0.2">
      <c r="A164" s="139"/>
      <c r="B164" s="142"/>
      <c r="C164" s="145" t="s">
        <v>91</v>
      </c>
      <c r="D164" s="142"/>
      <c r="E164" s="142"/>
      <c r="F164" s="142">
        <v>1</v>
      </c>
      <c r="G164" s="142"/>
      <c r="H164" s="142"/>
      <c r="I164" s="142"/>
      <c r="J164" s="142"/>
      <c r="K164" s="142"/>
      <c r="L164" s="142"/>
      <c r="M164" s="142"/>
      <c r="N164" s="142"/>
    </row>
    <row r="165" spans="1:14" x14ac:dyDescent="0.2">
      <c r="A165" s="136" t="s">
        <v>95</v>
      </c>
      <c r="B165" s="154" t="s">
        <v>96</v>
      </c>
      <c r="C165" s="155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</row>
    <row r="166" spans="1:14" ht="20" x14ac:dyDescent="0.2">
      <c r="A166" s="138"/>
      <c r="B166" s="138"/>
      <c r="C166" s="138" t="s">
        <v>79</v>
      </c>
      <c r="D166" s="142">
        <v>2</v>
      </c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</row>
    <row r="167" spans="1:14" ht="20" x14ac:dyDescent="0.2">
      <c r="A167" s="138"/>
      <c r="B167" s="138"/>
      <c r="C167" s="138" t="s">
        <v>201</v>
      </c>
      <c r="D167" s="142"/>
      <c r="E167" s="142"/>
      <c r="F167" s="142">
        <v>3</v>
      </c>
      <c r="G167" s="142"/>
      <c r="H167" s="142"/>
      <c r="I167" s="142"/>
      <c r="J167" s="142"/>
      <c r="K167" s="142"/>
      <c r="L167" s="142"/>
      <c r="M167" s="142"/>
      <c r="N167" s="142"/>
    </row>
    <row r="168" spans="1:14" x14ac:dyDescent="0.2">
      <c r="A168" s="139"/>
      <c r="B168" s="142"/>
      <c r="C168" s="139" t="s">
        <v>97</v>
      </c>
      <c r="D168" s="142"/>
      <c r="E168" s="142"/>
      <c r="F168" s="142">
        <v>1</v>
      </c>
      <c r="G168" s="142"/>
      <c r="H168" s="142"/>
      <c r="I168" s="142"/>
      <c r="J168" s="142"/>
      <c r="K168" s="142"/>
      <c r="L168" s="142"/>
      <c r="M168" s="142"/>
      <c r="N168" s="142"/>
    </row>
    <row r="169" spans="1:14" ht="20" x14ac:dyDescent="0.2">
      <c r="A169" s="139"/>
      <c r="B169" s="142"/>
      <c r="C169" s="149" t="s">
        <v>200</v>
      </c>
      <c r="D169" s="142"/>
      <c r="E169" s="142"/>
      <c r="F169" s="142"/>
      <c r="G169" s="142"/>
      <c r="H169" s="142"/>
      <c r="I169" s="142"/>
      <c r="J169" s="142"/>
      <c r="K169" s="142"/>
      <c r="L169" s="142"/>
      <c r="M169" s="142">
        <v>3</v>
      </c>
      <c r="N169" s="142"/>
    </row>
    <row r="170" spans="1:14" x14ac:dyDescent="0.2">
      <c r="A170" s="136" t="s">
        <v>98</v>
      </c>
      <c r="B170" s="154" t="s">
        <v>101</v>
      </c>
      <c r="C170" s="155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</row>
    <row r="171" spans="1:14" ht="20" x14ac:dyDescent="0.2">
      <c r="A171" s="138"/>
      <c r="B171" s="138"/>
      <c r="C171" s="138" t="s">
        <v>79</v>
      </c>
      <c r="D171" s="142"/>
      <c r="E171" s="142">
        <v>2</v>
      </c>
      <c r="F171" s="142">
        <v>2</v>
      </c>
      <c r="G171" s="142"/>
      <c r="H171" s="142"/>
      <c r="I171" s="142"/>
      <c r="J171" s="142">
        <v>2</v>
      </c>
      <c r="K171" s="142"/>
      <c r="L171" s="142"/>
      <c r="M171" s="142"/>
      <c r="N171" s="142"/>
    </row>
    <row r="172" spans="1:14" x14ac:dyDescent="0.2">
      <c r="C172" s="150" t="s">
        <v>0</v>
      </c>
      <c r="D172" s="151">
        <f>SUM(D123:D171)</f>
        <v>10</v>
      </c>
      <c r="E172" s="151">
        <f t="shared" ref="E172:M172" si="1">SUM(E134:E171)</f>
        <v>19</v>
      </c>
      <c r="F172" s="151">
        <f t="shared" si="1"/>
        <v>23</v>
      </c>
      <c r="G172" s="151">
        <f t="shared" si="1"/>
        <v>5</v>
      </c>
      <c r="H172" s="151">
        <f t="shared" si="1"/>
        <v>5</v>
      </c>
      <c r="I172" s="151">
        <f t="shared" si="1"/>
        <v>15</v>
      </c>
      <c r="J172" s="151">
        <f t="shared" si="1"/>
        <v>13</v>
      </c>
      <c r="K172" s="151">
        <f t="shared" si="1"/>
        <v>0</v>
      </c>
      <c r="L172" s="151">
        <f t="shared" si="1"/>
        <v>4</v>
      </c>
      <c r="M172" s="151">
        <f t="shared" si="1"/>
        <v>3</v>
      </c>
      <c r="N172" s="151"/>
    </row>
    <row r="173" spans="1:14" x14ac:dyDescent="0.2">
      <c r="C173" s="134" t="s">
        <v>196</v>
      </c>
      <c r="D173" s="132">
        <f>D172+D117</f>
        <v>35</v>
      </c>
      <c r="E173" s="132">
        <f t="shared" ref="E173:M173" si="2">E172+E117</f>
        <v>90</v>
      </c>
      <c r="F173" s="132">
        <f t="shared" si="2"/>
        <v>113</v>
      </c>
      <c r="G173" s="132">
        <f t="shared" si="2"/>
        <v>39</v>
      </c>
      <c r="H173" s="132">
        <f t="shared" si="2"/>
        <v>30</v>
      </c>
      <c r="I173" s="132">
        <f t="shared" si="2"/>
        <v>72</v>
      </c>
      <c r="J173" s="132">
        <f t="shared" si="2"/>
        <v>54</v>
      </c>
      <c r="K173" s="132">
        <f t="shared" si="2"/>
        <v>21</v>
      </c>
      <c r="L173" s="132">
        <f t="shared" si="2"/>
        <v>25</v>
      </c>
      <c r="M173" s="132">
        <f t="shared" si="2"/>
        <v>6</v>
      </c>
    </row>
  </sheetData>
  <mergeCells count="18">
    <mergeCell ref="G1:L1"/>
    <mergeCell ref="C1:C2"/>
    <mergeCell ref="B1:B2"/>
    <mergeCell ref="A1:A2"/>
    <mergeCell ref="A120:A121"/>
    <mergeCell ref="B120:B121"/>
    <mergeCell ref="C120:C121"/>
    <mergeCell ref="G120:L120"/>
    <mergeCell ref="B3:C3"/>
    <mergeCell ref="B8:C8"/>
    <mergeCell ref="B14:C14"/>
    <mergeCell ref="B110:C110"/>
    <mergeCell ref="B115:C115"/>
    <mergeCell ref="B122:C122"/>
    <mergeCell ref="B127:C127"/>
    <mergeCell ref="B133:C133"/>
    <mergeCell ref="B165:C165"/>
    <mergeCell ref="B170:C17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2D2E-F032-2E4C-B6DC-92013BD85693}">
  <dimension ref="A1:CN959"/>
  <sheetViews>
    <sheetView topLeftCell="A23" zoomScale="90" zoomScaleNormal="90" workbookViewId="0">
      <selection activeCell="O2" sqref="O2:R2"/>
    </sheetView>
  </sheetViews>
  <sheetFormatPr baseColWidth="10" defaultColWidth="11" defaultRowHeight="16" x14ac:dyDescent="0.2"/>
  <cols>
    <col min="1" max="1" width="5" customWidth="1"/>
    <col min="2" max="2" width="30.33203125" bestFit="1" customWidth="1"/>
    <col min="3" max="38" width="4.83203125" customWidth="1"/>
  </cols>
  <sheetData>
    <row r="1" spans="1:92" ht="17" thickBo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x14ac:dyDescent="0.2">
      <c r="A2" s="2"/>
      <c r="B2" s="176" t="s">
        <v>29</v>
      </c>
      <c r="C2" s="173" t="s">
        <v>58</v>
      </c>
      <c r="D2" s="174"/>
      <c r="E2" s="174"/>
      <c r="F2" s="174"/>
      <c r="G2" s="173" t="s">
        <v>59</v>
      </c>
      <c r="H2" s="174"/>
      <c r="I2" s="174"/>
      <c r="J2" s="174"/>
      <c r="K2" s="173" t="s">
        <v>60</v>
      </c>
      <c r="L2" s="174"/>
      <c r="M2" s="174"/>
      <c r="N2" s="174"/>
      <c r="O2" s="173" t="s">
        <v>61</v>
      </c>
      <c r="P2" s="174"/>
      <c r="Q2" s="174"/>
      <c r="R2" s="174"/>
      <c r="S2" s="173" t="s">
        <v>62</v>
      </c>
      <c r="T2" s="174"/>
      <c r="U2" s="174"/>
      <c r="V2" s="174"/>
      <c r="W2" s="173" t="s">
        <v>63</v>
      </c>
      <c r="X2" s="174"/>
      <c r="Y2" s="174"/>
      <c r="Z2" s="175"/>
      <c r="AA2" s="173" t="s">
        <v>64</v>
      </c>
      <c r="AB2" s="174"/>
      <c r="AC2" s="174"/>
      <c r="AD2" s="175"/>
      <c r="AE2" s="173" t="s">
        <v>65</v>
      </c>
      <c r="AF2" s="174"/>
      <c r="AG2" s="174"/>
      <c r="AH2" s="175"/>
      <c r="AI2" s="173" t="s">
        <v>148</v>
      </c>
      <c r="AJ2" s="174"/>
      <c r="AK2" s="174"/>
      <c r="AL2" s="175"/>
    </row>
    <row r="3" spans="1:92" x14ac:dyDescent="0.2">
      <c r="A3" s="2"/>
      <c r="B3" s="176"/>
      <c r="C3" s="13" t="s">
        <v>30</v>
      </c>
      <c r="D3" s="13" t="s">
        <v>31</v>
      </c>
      <c r="E3" s="13" t="s">
        <v>32</v>
      </c>
      <c r="F3" s="13" t="s">
        <v>33</v>
      </c>
      <c r="G3" s="13" t="s">
        <v>30</v>
      </c>
      <c r="H3" s="13" t="s">
        <v>31</v>
      </c>
      <c r="I3" s="13" t="s">
        <v>32</v>
      </c>
      <c r="J3" s="13" t="s">
        <v>33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30</v>
      </c>
      <c r="P3" s="13" t="s">
        <v>31</v>
      </c>
      <c r="Q3" s="13" t="s">
        <v>32</v>
      </c>
      <c r="R3" s="13" t="s">
        <v>33</v>
      </c>
      <c r="S3" s="13" t="s">
        <v>30</v>
      </c>
      <c r="T3" s="13" t="s">
        <v>31</v>
      </c>
      <c r="U3" s="13" t="s">
        <v>32</v>
      </c>
      <c r="V3" s="13" t="s">
        <v>33</v>
      </c>
      <c r="W3" s="13" t="s">
        <v>30</v>
      </c>
      <c r="X3" s="13" t="s">
        <v>31</v>
      </c>
      <c r="Y3" s="13" t="s">
        <v>32</v>
      </c>
      <c r="Z3" s="13" t="s">
        <v>33</v>
      </c>
      <c r="AA3" s="13" t="s">
        <v>30</v>
      </c>
      <c r="AB3" s="13" t="s">
        <v>31</v>
      </c>
      <c r="AC3" s="13" t="s">
        <v>32</v>
      </c>
      <c r="AD3" s="13" t="s">
        <v>33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30</v>
      </c>
      <c r="AJ3" s="13" t="s">
        <v>31</v>
      </c>
      <c r="AK3" s="13" t="s">
        <v>32</v>
      </c>
      <c r="AL3" s="13" t="s">
        <v>33</v>
      </c>
      <c r="AM3" s="2"/>
      <c r="AN3" s="2"/>
      <c r="AO3" s="2"/>
      <c r="AP3" s="2"/>
    </row>
    <row r="4" spans="1:92" ht="14.25" customHeight="1" x14ac:dyDescent="0.25">
      <c r="A4" s="2"/>
      <c r="B4" s="58" t="s">
        <v>34</v>
      </c>
      <c r="C4" s="177" t="s">
        <v>35</v>
      </c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59"/>
      <c r="AJ4" s="59"/>
      <c r="AK4" s="59"/>
      <c r="AL4" s="59"/>
    </row>
    <row r="5" spans="1:92" ht="14.25" customHeight="1" x14ac:dyDescent="0.2">
      <c r="A5" s="2"/>
      <c r="B5" s="14" t="s">
        <v>36</v>
      </c>
      <c r="C5" s="6"/>
      <c r="D5" s="4"/>
      <c r="E5" s="4"/>
      <c r="F5" s="7"/>
      <c r="G5" s="6"/>
      <c r="H5" s="4"/>
      <c r="I5" s="4"/>
      <c r="J5" s="7"/>
      <c r="K5" s="6"/>
      <c r="L5" s="4"/>
      <c r="M5" s="4"/>
      <c r="N5" s="7"/>
      <c r="O5" s="6"/>
      <c r="P5" s="4"/>
      <c r="Q5" s="4"/>
      <c r="R5" s="7"/>
      <c r="S5" s="6"/>
      <c r="T5" s="4"/>
      <c r="U5" s="4"/>
      <c r="V5" s="12"/>
      <c r="W5" s="11"/>
      <c r="X5" s="4"/>
      <c r="Y5" s="4"/>
      <c r="Z5" s="12"/>
      <c r="AA5" s="11"/>
      <c r="AB5" s="4"/>
      <c r="AC5" s="4"/>
      <c r="AD5" s="12"/>
      <c r="AE5" s="11"/>
      <c r="AF5" s="4"/>
      <c r="AG5" s="4"/>
      <c r="AH5" s="12"/>
      <c r="AI5" s="11"/>
      <c r="AJ5" s="4"/>
      <c r="AK5" s="11"/>
      <c r="AL5" s="4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</row>
    <row r="6" spans="1:92" ht="14.25" customHeight="1" x14ac:dyDescent="0.2">
      <c r="A6" s="2"/>
      <c r="B6" s="5" t="s">
        <v>37</v>
      </c>
      <c r="C6" s="15"/>
      <c r="D6" s="16"/>
      <c r="E6" s="4"/>
      <c r="F6" s="7"/>
      <c r="G6" s="6"/>
      <c r="H6" s="4"/>
      <c r="I6" s="4"/>
      <c r="J6" s="7"/>
      <c r="K6" s="6"/>
      <c r="L6" s="4"/>
      <c r="M6" s="4"/>
      <c r="N6" s="7"/>
      <c r="O6" s="6"/>
      <c r="P6" s="4"/>
      <c r="Q6" s="4"/>
      <c r="R6" s="7"/>
      <c r="S6" s="6"/>
      <c r="T6" s="4"/>
      <c r="U6" s="4"/>
      <c r="V6" s="12"/>
      <c r="W6" s="11"/>
      <c r="X6" s="4"/>
      <c r="Y6" s="4"/>
      <c r="Z6" s="12"/>
      <c r="AA6" s="11"/>
      <c r="AB6" s="4"/>
      <c r="AC6" s="4"/>
      <c r="AD6" s="12"/>
      <c r="AE6" s="11"/>
      <c r="AF6" s="4"/>
      <c r="AG6" s="4"/>
      <c r="AH6" s="12"/>
      <c r="AI6" s="11"/>
      <c r="AJ6" s="4"/>
      <c r="AK6" s="11"/>
      <c r="AL6" s="4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</row>
    <row r="7" spans="1:92" ht="14.25" customHeight="1" x14ac:dyDescent="0.2">
      <c r="A7" s="2"/>
      <c r="B7" s="5" t="s">
        <v>38</v>
      </c>
      <c r="C7" s="17"/>
      <c r="D7" s="18"/>
      <c r="E7" s="4"/>
      <c r="F7" s="7"/>
      <c r="G7" s="6"/>
      <c r="H7" s="4"/>
      <c r="I7" s="4"/>
      <c r="J7" s="7"/>
      <c r="K7" s="6"/>
      <c r="L7" s="4"/>
      <c r="M7" s="4"/>
      <c r="N7" s="7"/>
      <c r="O7" s="6"/>
      <c r="P7" s="4"/>
      <c r="Q7" s="4"/>
      <c r="R7" s="7"/>
      <c r="S7" s="6"/>
      <c r="T7" s="4"/>
      <c r="U7" s="4"/>
      <c r="V7" s="12"/>
      <c r="W7" s="11"/>
      <c r="X7" s="4"/>
      <c r="Y7" s="4"/>
      <c r="Z7" s="12"/>
      <c r="AA7" s="11"/>
      <c r="AB7" s="4"/>
      <c r="AC7" s="4"/>
      <c r="AD7" s="12"/>
      <c r="AE7" s="11"/>
      <c r="AF7" s="4"/>
      <c r="AG7" s="4"/>
      <c r="AH7" s="12"/>
      <c r="AI7" s="11"/>
      <c r="AJ7" s="4"/>
      <c r="AK7" s="11"/>
      <c r="AL7" s="4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</row>
    <row r="8" spans="1:92" ht="14.25" customHeight="1" x14ac:dyDescent="0.2">
      <c r="A8" s="2"/>
      <c r="B8" s="14" t="s">
        <v>39</v>
      </c>
      <c r="C8" s="23"/>
      <c r="D8" s="19"/>
      <c r="E8" s="19"/>
      <c r="F8" s="20"/>
      <c r="G8" s="26"/>
      <c r="H8" s="4"/>
      <c r="I8" s="1"/>
      <c r="J8" s="8"/>
      <c r="K8" s="9"/>
      <c r="L8" s="1"/>
      <c r="M8" s="4"/>
      <c r="N8" s="7"/>
      <c r="O8" s="6"/>
      <c r="P8" s="4"/>
      <c r="Q8" s="4"/>
      <c r="R8" s="7"/>
      <c r="S8" s="6"/>
      <c r="T8" s="4"/>
      <c r="U8" s="4"/>
      <c r="V8" s="12"/>
      <c r="W8" s="11"/>
      <c r="X8" s="4"/>
      <c r="Y8" s="4"/>
      <c r="Z8" s="12"/>
      <c r="AA8" s="11"/>
      <c r="AB8" s="4"/>
      <c r="AC8" s="4"/>
      <c r="AD8" s="12"/>
      <c r="AE8" s="11"/>
      <c r="AF8" s="4"/>
      <c r="AG8" s="4"/>
      <c r="AH8" s="12"/>
      <c r="AI8" s="11"/>
      <c r="AJ8" s="4"/>
      <c r="AK8" s="11"/>
      <c r="AL8" s="4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</row>
    <row r="9" spans="1:92" ht="14.25" customHeight="1" x14ac:dyDescent="0.2">
      <c r="A9" s="2"/>
      <c r="B9" s="5" t="s">
        <v>40</v>
      </c>
      <c r="C9" s="24"/>
      <c r="D9" s="21"/>
      <c r="E9" s="21"/>
      <c r="F9" s="27"/>
      <c r="G9" s="26"/>
      <c r="H9" s="4"/>
      <c r="I9" s="4"/>
      <c r="J9" s="7"/>
      <c r="K9" s="10"/>
      <c r="L9" s="4"/>
      <c r="M9" s="4"/>
      <c r="N9" s="7"/>
      <c r="O9" s="6"/>
      <c r="P9" s="4"/>
      <c r="Q9" s="4"/>
      <c r="R9" s="7"/>
      <c r="S9" s="6"/>
      <c r="T9" s="4"/>
      <c r="U9" s="4"/>
      <c r="V9" s="12"/>
      <c r="W9" s="11"/>
      <c r="X9" s="4"/>
      <c r="Y9" s="4"/>
      <c r="Z9" s="12"/>
      <c r="AA9" s="11"/>
      <c r="AB9" s="4"/>
      <c r="AC9" s="4"/>
      <c r="AD9" s="12"/>
      <c r="AE9" s="11"/>
      <c r="AF9" s="4"/>
      <c r="AG9" s="4"/>
      <c r="AH9" s="12"/>
      <c r="AI9" s="11"/>
      <c r="AJ9" s="4"/>
      <c r="AK9" s="11"/>
      <c r="AL9" s="4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spans="1:92" ht="14.25" customHeight="1" x14ac:dyDescent="0.2">
      <c r="A10" s="2"/>
      <c r="B10" s="5" t="s">
        <v>41</v>
      </c>
      <c r="C10" s="6"/>
      <c r="D10" s="25"/>
      <c r="E10" s="21"/>
      <c r="F10" s="22"/>
      <c r="G10" s="26"/>
      <c r="H10" s="4"/>
      <c r="I10" s="4"/>
      <c r="J10" s="7"/>
      <c r="K10" s="10"/>
      <c r="L10" s="4"/>
      <c r="M10" s="4"/>
      <c r="N10" s="7"/>
      <c r="O10" s="6"/>
      <c r="P10" s="4"/>
      <c r="Q10" s="4"/>
      <c r="R10" s="7"/>
      <c r="S10" s="6"/>
      <c r="T10" s="4"/>
      <c r="U10" s="4"/>
      <c r="V10" s="12"/>
      <c r="W10" s="11"/>
      <c r="X10" s="4"/>
      <c r="Y10" s="4"/>
      <c r="Z10" s="12"/>
      <c r="AA10" s="11"/>
      <c r="AB10" s="4"/>
      <c r="AC10" s="4"/>
      <c r="AD10" s="12"/>
      <c r="AE10" s="11"/>
      <c r="AF10" s="4"/>
      <c r="AG10" s="4"/>
      <c r="AH10" s="12"/>
      <c r="AI10" s="11"/>
      <c r="AJ10" s="4"/>
      <c r="AK10" s="11"/>
      <c r="AL10" s="4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</row>
    <row r="11" spans="1:92" ht="14.25" customHeight="1" x14ac:dyDescent="0.2">
      <c r="A11" s="2"/>
      <c r="B11" s="5" t="s">
        <v>42</v>
      </c>
      <c r="C11" s="6"/>
      <c r="D11" s="4"/>
      <c r="E11" s="4"/>
      <c r="F11" s="22"/>
      <c r="G11" s="26"/>
      <c r="H11" s="4"/>
      <c r="I11" s="4"/>
      <c r="J11" s="7"/>
      <c r="K11" s="6"/>
      <c r="L11" s="4"/>
      <c r="M11" s="4"/>
      <c r="N11" s="7"/>
      <c r="O11" s="6"/>
      <c r="P11" s="4"/>
      <c r="Q11" s="4"/>
      <c r="R11" s="7"/>
      <c r="S11" s="6"/>
      <c r="T11" s="4"/>
      <c r="U11" s="4"/>
      <c r="V11" s="12"/>
      <c r="W11" s="11"/>
      <c r="X11" s="4"/>
      <c r="Y11" s="4"/>
      <c r="Z11" s="12"/>
      <c r="AA11" s="11"/>
      <c r="AB11" s="4"/>
      <c r="AC11" s="4"/>
      <c r="AD11" s="12"/>
      <c r="AE11" s="11"/>
      <c r="AF11" s="4"/>
      <c r="AG11" s="4"/>
      <c r="AH11" s="12"/>
      <c r="AI11" s="11"/>
      <c r="AJ11" s="4"/>
      <c r="AK11" s="11"/>
      <c r="AL11" s="4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</row>
    <row r="12" spans="1:92" ht="14.25" customHeight="1" x14ac:dyDescent="0.2">
      <c r="A12" s="2"/>
      <c r="B12" s="14" t="s">
        <v>43</v>
      </c>
      <c r="C12" s="39"/>
      <c r="D12" s="37"/>
      <c r="E12" s="37"/>
      <c r="F12" s="38"/>
      <c r="G12" s="39"/>
      <c r="H12" s="37"/>
      <c r="I12" s="37"/>
      <c r="J12" s="38"/>
      <c r="K12" s="39"/>
      <c r="L12" s="4"/>
      <c r="M12" s="4"/>
      <c r="N12" s="7"/>
      <c r="O12" s="6"/>
      <c r="P12" s="4"/>
      <c r="Q12" s="4"/>
      <c r="R12" s="7"/>
      <c r="S12" s="6"/>
      <c r="T12" s="4"/>
      <c r="U12" s="4"/>
      <c r="V12" s="12"/>
      <c r="W12" s="11"/>
      <c r="X12" s="4"/>
      <c r="Y12" s="4"/>
      <c r="Z12" s="12"/>
      <c r="AA12" s="11"/>
      <c r="AB12" s="4"/>
      <c r="AC12" s="4"/>
      <c r="AD12" s="12"/>
      <c r="AE12" s="11"/>
      <c r="AF12" s="4"/>
      <c r="AG12" s="4"/>
      <c r="AH12" s="12"/>
      <c r="AI12" s="11"/>
      <c r="AJ12" s="4"/>
      <c r="AK12" s="11"/>
      <c r="AL12" s="4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</row>
    <row r="13" spans="1:92" ht="14.25" customHeight="1" x14ac:dyDescent="0.2">
      <c r="A13" s="2"/>
      <c r="B13" s="5" t="s">
        <v>44</v>
      </c>
      <c r="C13" s="42"/>
      <c r="D13" s="40"/>
      <c r="E13" s="40"/>
      <c r="F13" s="41"/>
      <c r="G13" s="42"/>
      <c r="H13" s="40"/>
      <c r="I13" s="40"/>
      <c r="J13" s="41"/>
      <c r="K13" s="6"/>
      <c r="L13" s="4"/>
      <c r="M13" s="4"/>
      <c r="N13" s="7"/>
      <c r="O13" s="6"/>
      <c r="P13" s="4"/>
      <c r="Q13" s="4"/>
      <c r="R13" s="7"/>
      <c r="S13" s="6"/>
      <c r="T13" s="4"/>
      <c r="U13" s="4"/>
      <c r="V13" s="12"/>
      <c r="W13" s="11"/>
      <c r="X13" s="4"/>
      <c r="Y13" s="4"/>
      <c r="Z13" s="12"/>
      <c r="AA13" s="11"/>
      <c r="AB13" s="4"/>
      <c r="AC13" s="4"/>
      <c r="AD13" s="12"/>
      <c r="AE13" s="11"/>
      <c r="AF13" s="4"/>
      <c r="AG13" s="4"/>
      <c r="AH13" s="12"/>
      <c r="AI13" s="11"/>
      <c r="AJ13" s="4"/>
      <c r="AK13" s="11"/>
      <c r="AL13" s="4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</row>
    <row r="14" spans="1:92" ht="14.25" customHeight="1" x14ac:dyDescent="0.2">
      <c r="A14" s="2"/>
      <c r="B14" s="5" t="s">
        <v>45</v>
      </c>
      <c r="C14" s="6"/>
      <c r="D14" s="4"/>
      <c r="E14" s="4"/>
      <c r="F14" s="7"/>
      <c r="G14" s="6"/>
      <c r="H14" s="4"/>
      <c r="I14" s="40"/>
      <c r="J14" s="41"/>
      <c r="K14" s="42"/>
      <c r="L14" s="4"/>
      <c r="M14" s="4"/>
      <c r="N14" s="7"/>
      <c r="O14" s="6"/>
      <c r="P14" s="4"/>
      <c r="Q14" s="4"/>
      <c r="R14" s="7"/>
      <c r="S14" s="6"/>
      <c r="T14" s="4"/>
      <c r="U14" s="4"/>
      <c r="V14" s="12"/>
      <c r="W14" s="11"/>
      <c r="X14" s="4"/>
      <c r="Y14" s="4"/>
      <c r="Z14" s="12"/>
      <c r="AA14" s="11"/>
      <c r="AB14" s="4"/>
      <c r="AC14" s="4"/>
      <c r="AD14" s="12"/>
      <c r="AE14" s="11"/>
      <c r="AF14" s="4"/>
      <c r="AG14" s="4"/>
      <c r="AH14" s="12"/>
      <c r="AI14" s="11"/>
      <c r="AJ14" s="4"/>
      <c r="AK14" s="11"/>
      <c r="AL14" s="4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</row>
    <row r="15" spans="1:92" ht="14.25" customHeight="1" x14ac:dyDescent="0.2">
      <c r="A15" s="2"/>
      <c r="B15" s="14" t="s">
        <v>46</v>
      </c>
      <c r="C15" s="6"/>
      <c r="D15" s="4"/>
      <c r="E15" s="4"/>
      <c r="F15" s="7"/>
      <c r="G15" s="6"/>
      <c r="H15" s="4"/>
      <c r="I15" s="4"/>
      <c r="J15" s="7"/>
      <c r="K15" s="35"/>
      <c r="L15" s="36"/>
      <c r="M15" s="36"/>
      <c r="N15" s="7"/>
      <c r="O15" s="6"/>
      <c r="P15" s="4"/>
      <c r="Q15" s="4"/>
      <c r="R15" s="7"/>
      <c r="S15" s="6"/>
      <c r="T15" s="4"/>
      <c r="U15" s="4"/>
      <c r="V15" s="12"/>
      <c r="W15" s="11"/>
      <c r="X15" s="4"/>
      <c r="Y15" s="4"/>
      <c r="Z15" s="12"/>
      <c r="AA15" s="11"/>
      <c r="AB15" s="4"/>
      <c r="AC15" s="4"/>
      <c r="AD15" s="12"/>
      <c r="AE15" s="11"/>
      <c r="AF15" s="4"/>
      <c r="AG15" s="4"/>
      <c r="AH15" s="12"/>
      <c r="AI15" s="11"/>
      <c r="AJ15" s="4"/>
      <c r="AK15" s="11"/>
      <c r="AL15" s="4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</row>
    <row r="16" spans="1:92" ht="14.25" customHeight="1" x14ac:dyDescent="0.2">
      <c r="A16" s="2"/>
      <c r="B16" s="5" t="s">
        <v>47</v>
      </c>
      <c r="C16" s="6"/>
      <c r="D16" s="4"/>
      <c r="E16" s="4"/>
      <c r="F16" s="7"/>
      <c r="G16" s="6"/>
      <c r="H16" s="4"/>
      <c r="I16" s="4"/>
      <c r="J16" s="7"/>
      <c r="K16" s="43"/>
      <c r="L16" s="4"/>
      <c r="M16" s="4"/>
      <c r="N16" s="7"/>
      <c r="O16" s="6"/>
      <c r="P16" s="4"/>
      <c r="Q16" s="4"/>
      <c r="R16" s="7"/>
      <c r="S16" s="6"/>
      <c r="T16" s="4"/>
      <c r="U16" s="4"/>
      <c r="V16" s="12"/>
      <c r="W16" s="11"/>
      <c r="X16" s="4"/>
      <c r="Y16" s="4"/>
      <c r="Z16" s="12"/>
      <c r="AA16" s="11"/>
      <c r="AB16" s="4"/>
      <c r="AC16" s="4"/>
      <c r="AD16" s="12"/>
      <c r="AE16" s="11"/>
      <c r="AF16" s="4"/>
      <c r="AG16" s="4"/>
      <c r="AH16" s="12"/>
      <c r="AI16" s="11"/>
      <c r="AJ16" s="4"/>
      <c r="AK16" s="11"/>
      <c r="AL16" s="4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</row>
    <row r="17" spans="1:92" ht="14.25" customHeight="1" x14ac:dyDescent="0.2">
      <c r="A17" s="2"/>
      <c r="B17" s="5" t="s">
        <v>48</v>
      </c>
      <c r="C17" s="6"/>
      <c r="D17" s="4"/>
      <c r="E17" s="4"/>
      <c r="F17" s="7"/>
      <c r="G17" s="6"/>
      <c r="H17" s="4"/>
      <c r="I17" s="4"/>
      <c r="J17" s="7"/>
      <c r="K17" s="43"/>
      <c r="L17" s="34"/>
      <c r="M17" s="4"/>
      <c r="N17" s="7"/>
      <c r="O17" s="6"/>
      <c r="P17" s="4"/>
      <c r="Q17" s="4"/>
      <c r="R17" s="7"/>
      <c r="S17" s="6"/>
      <c r="T17" s="4"/>
      <c r="U17" s="4"/>
      <c r="V17" s="12"/>
      <c r="W17" s="11"/>
      <c r="X17" s="4"/>
      <c r="Y17" s="4"/>
      <c r="Z17" s="12"/>
      <c r="AA17" s="11"/>
      <c r="AB17" s="4"/>
      <c r="AC17" s="4"/>
      <c r="AD17" s="12"/>
      <c r="AE17" s="11"/>
      <c r="AF17" s="4"/>
      <c r="AG17" s="4"/>
      <c r="AH17" s="12"/>
      <c r="AI17" s="11"/>
      <c r="AJ17" s="4"/>
      <c r="AK17" s="11"/>
      <c r="AL17" s="4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</row>
    <row r="18" spans="1:92" ht="14.25" customHeight="1" x14ac:dyDescent="0.2">
      <c r="A18" s="2"/>
      <c r="B18" s="5" t="s">
        <v>49</v>
      </c>
      <c r="C18" s="6"/>
      <c r="D18" s="4"/>
      <c r="E18" s="4"/>
      <c r="F18" s="7"/>
      <c r="G18" s="6"/>
      <c r="H18" s="4"/>
      <c r="I18" s="4"/>
      <c r="J18" s="7"/>
      <c r="K18" s="6"/>
      <c r="L18" s="34"/>
      <c r="M18" s="4"/>
      <c r="N18" s="7"/>
      <c r="O18" s="6"/>
      <c r="P18" s="4"/>
      <c r="Q18" s="4"/>
      <c r="R18" s="7"/>
      <c r="S18" s="6"/>
      <c r="T18" s="4"/>
      <c r="U18" s="4"/>
      <c r="V18" s="12"/>
      <c r="W18" s="11"/>
      <c r="X18" s="4"/>
      <c r="Y18" s="4"/>
      <c r="Z18" s="12"/>
      <c r="AA18" s="11"/>
      <c r="AB18" s="4"/>
      <c r="AC18" s="4"/>
      <c r="AD18" s="12"/>
      <c r="AE18" s="11"/>
      <c r="AF18" s="4"/>
      <c r="AG18" s="4"/>
      <c r="AH18" s="12"/>
      <c r="AI18" s="11"/>
      <c r="AJ18" s="4"/>
      <c r="AK18" s="11"/>
      <c r="AL18" s="4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</row>
    <row r="19" spans="1:92" ht="14.25" customHeight="1" x14ac:dyDescent="0.2">
      <c r="A19" s="2"/>
      <c r="B19" s="5" t="s">
        <v>50</v>
      </c>
      <c r="C19" s="6"/>
      <c r="D19" s="4"/>
      <c r="E19" s="4"/>
      <c r="F19" s="7"/>
      <c r="G19" s="6"/>
      <c r="H19" s="4"/>
      <c r="I19" s="4"/>
      <c r="J19" s="7"/>
      <c r="K19" s="6"/>
      <c r="L19" s="4"/>
      <c r="M19" s="34"/>
      <c r="N19" s="7"/>
      <c r="O19" s="6"/>
      <c r="P19" s="4"/>
      <c r="Q19" s="4"/>
      <c r="R19" s="7"/>
      <c r="S19" s="6"/>
      <c r="T19" s="4"/>
      <c r="U19" s="4"/>
      <c r="V19" s="12"/>
      <c r="W19" s="11"/>
      <c r="X19" s="4"/>
      <c r="Y19" s="4"/>
      <c r="Z19" s="12"/>
      <c r="AA19" s="11"/>
      <c r="AB19" s="4"/>
      <c r="AC19" s="4"/>
      <c r="AD19" s="12"/>
      <c r="AE19" s="11"/>
      <c r="AF19" s="4"/>
      <c r="AG19" s="4"/>
      <c r="AH19" s="12"/>
      <c r="AI19" s="11"/>
      <c r="AJ19" s="4"/>
      <c r="AK19" s="11"/>
      <c r="AL19" s="4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</row>
    <row r="20" spans="1:92" ht="14.25" customHeight="1" x14ac:dyDescent="0.2">
      <c r="A20" s="2"/>
      <c r="B20" s="14" t="s">
        <v>51</v>
      </c>
      <c r="C20" s="6"/>
      <c r="D20" s="4"/>
      <c r="E20" s="4"/>
      <c r="F20" s="7"/>
      <c r="G20" s="6"/>
      <c r="H20" s="4"/>
      <c r="I20" s="4"/>
      <c r="J20" s="7"/>
      <c r="K20" s="6"/>
      <c r="L20" s="4"/>
      <c r="M20" s="4"/>
      <c r="N20" s="32"/>
      <c r="O20" s="6"/>
      <c r="P20" s="4"/>
      <c r="Q20" s="4"/>
      <c r="R20" s="7"/>
      <c r="S20" s="6"/>
      <c r="T20" s="4"/>
      <c r="U20" s="4"/>
      <c r="V20" s="12"/>
      <c r="W20" s="11"/>
      <c r="X20" s="4"/>
      <c r="Y20" s="4"/>
      <c r="Z20" s="12"/>
      <c r="AA20" s="11"/>
      <c r="AB20" s="4"/>
      <c r="AC20" s="4"/>
      <c r="AD20" s="12"/>
      <c r="AE20" s="11"/>
      <c r="AF20" s="4"/>
      <c r="AG20" s="4"/>
      <c r="AH20" s="12"/>
      <c r="AI20" s="11"/>
      <c r="AJ20" s="4"/>
      <c r="AK20" s="11"/>
      <c r="AL20" s="4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</row>
    <row r="21" spans="1:92" ht="14.25" customHeight="1" x14ac:dyDescent="0.2">
      <c r="A21" s="2"/>
      <c r="B21" s="5" t="s">
        <v>52</v>
      </c>
      <c r="C21" s="6"/>
      <c r="D21" s="3"/>
      <c r="E21" s="4"/>
      <c r="F21" s="7"/>
      <c r="G21" s="6"/>
      <c r="H21" s="4"/>
      <c r="I21" s="4"/>
      <c r="J21" s="7"/>
      <c r="K21" s="6"/>
      <c r="L21" s="4"/>
      <c r="M21" s="4"/>
      <c r="N21" s="33"/>
      <c r="O21" s="6"/>
      <c r="P21" s="4"/>
      <c r="Q21" s="4"/>
      <c r="R21" s="7"/>
      <c r="S21" s="6"/>
      <c r="T21" s="4"/>
      <c r="U21" s="4"/>
      <c r="V21" s="12"/>
      <c r="W21" s="11"/>
      <c r="X21" s="4"/>
      <c r="Y21" s="4"/>
      <c r="Z21" s="12"/>
      <c r="AA21" s="11"/>
      <c r="AB21" s="4"/>
      <c r="AC21" s="4"/>
      <c r="AD21" s="12"/>
      <c r="AE21" s="11"/>
      <c r="AF21" s="4"/>
      <c r="AG21" s="4"/>
      <c r="AH21" s="12"/>
      <c r="AI21" s="11"/>
      <c r="AJ21" s="4"/>
      <c r="AK21" s="11"/>
      <c r="AL21" s="4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</row>
    <row r="22" spans="1:92" ht="14.25" customHeight="1" x14ac:dyDescent="0.2">
      <c r="A22" s="2"/>
      <c r="B22" s="14" t="s">
        <v>53</v>
      </c>
      <c r="C22" s="6"/>
      <c r="D22" s="4"/>
      <c r="E22" s="4"/>
      <c r="F22" s="7"/>
      <c r="G22" s="6"/>
      <c r="H22" s="4"/>
      <c r="I22" s="4"/>
      <c r="J22" s="7"/>
      <c r="K22" s="6"/>
      <c r="L22" s="4"/>
      <c r="M22" s="4"/>
      <c r="N22" s="7"/>
      <c r="O22" s="28"/>
      <c r="P22" s="30"/>
      <c r="Q22" s="30"/>
      <c r="R22" s="31"/>
      <c r="S22" s="6"/>
      <c r="T22" s="4"/>
      <c r="U22" s="4"/>
      <c r="V22" s="12"/>
      <c r="W22" s="11"/>
      <c r="X22" s="4"/>
      <c r="Y22" s="4"/>
      <c r="Z22" s="12"/>
      <c r="AA22" s="11"/>
      <c r="AB22" s="4"/>
      <c r="AC22" s="4"/>
      <c r="AD22" s="12"/>
      <c r="AE22" s="11"/>
      <c r="AF22" s="4"/>
      <c r="AG22" s="4"/>
      <c r="AH22" s="12"/>
      <c r="AI22" s="11"/>
      <c r="AJ22" s="4"/>
      <c r="AK22" s="11"/>
      <c r="AL22" s="4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</row>
    <row r="23" spans="1:92" ht="14.25" customHeight="1" x14ac:dyDescent="0.2">
      <c r="A23" s="2"/>
      <c r="B23" s="5" t="s">
        <v>54</v>
      </c>
      <c r="C23" s="6"/>
      <c r="D23" s="4"/>
      <c r="E23" s="4"/>
      <c r="F23" s="7"/>
      <c r="G23" s="6"/>
      <c r="H23" s="4"/>
      <c r="I23" s="4"/>
      <c r="J23" s="7"/>
      <c r="K23" s="6"/>
      <c r="L23" s="4"/>
      <c r="M23" s="4"/>
      <c r="N23" s="7"/>
      <c r="O23" s="29"/>
      <c r="P23" s="4"/>
      <c r="Q23" s="4"/>
      <c r="R23" s="7"/>
      <c r="S23" s="6"/>
      <c r="T23" s="4"/>
      <c r="U23" s="4"/>
      <c r="V23" s="12"/>
      <c r="W23" s="11"/>
      <c r="X23" s="4"/>
      <c r="Y23" s="4"/>
      <c r="Z23" s="12"/>
      <c r="AA23" s="11"/>
      <c r="AB23" s="4"/>
      <c r="AC23" s="4"/>
      <c r="AD23" s="12"/>
      <c r="AE23" s="11"/>
      <c r="AF23" s="4"/>
      <c r="AG23" s="4"/>
      <c r="AH23" s="12"/>
      <c r="AI23" s="11"/>
      <c r="AJ23" s="4"/>
      <c r="AK23" s="11"/>
      <c r="AL23" s="4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</row>
    <row r="24" spans="1:92" ht="14.25" customHeight="1" x14ac:dyDescent="0.2">
      <c r="A24" s="2"/>
      <c r="B24" s="5" t="s">
        <v>55</v>
      </c>
      <c r="C24" s="6"/>
      <c r="D24" s="4"/>
      <c r="E24" s="4"/>
      <c r="F24" s="7"/>
      <c r="G24" s="6"/>
      <c r="H24" s="4"/>
      <c r="I24" s="4"/>
      <c r="J24" s="7"/>
      <c r="K24" s="6"/>
      <c r="L24" s="4"/>
      <c r="M24" s="4"/>
      <c r="N24" s="7"/>
      <c r="O24" s="44"/>
      <c r="P24" s="46"/>
      <c r="Q24" s="46"/>
      <c r="R24" s="45"/>
      <c r="S24" s="6"/>
      <c r="T24" s="4"/>
      <c r="U24" s="4"/>
      <c r="V24" s="12"/>
      <c r="W24" s="11"/>
      <c r="X24" s="4"/>
      <c r="Y24" s="4"/>
      <c r="Z24" s="12"/>
      <c r="AA24" s="11"/>
      <c r="AB24" s="4"/>
      <c r="AC24" s="4"/>
      <c r="AD24" s="12"/>
      <c r="AE24" s="11"/>
      <c r="AF24" s="4"/>
      <c r="AG24" s="4"/>
      <c r="AH24" s="12"/>
      <c r="AI24" s="11"/>
      <c r="AJ24" s="4"/>
      <c r="AK24" s="11"/>
      <c r="AL24" s="4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</row>
    <row r="25" spans="1:92" ht="14.25" customHeight="1" x14ac:dyDescent="0.25">
      <c r="A25" s="2"/>
      <c r="B25" s="58" t="s">
        <v>56</v>
      </c>
      <c r="C25" s="26"/>
      <c r="D25" s="25"/>
      <c r="E25" s="25"/>
      <c r="F25" s="7"/>
      <c r="G25" s="6"/>
      <c r="H25" s="4"/>
      <c r="I25" s="4"/>
      <c r="J25" s="7"/>
      <c r="K25" s="6"/>
      <c r="L25" s="4"/>
      <c r="M25" s="4"/>
      <c r="N25" s="7"/>
      <c r="O25" s="44"/>
      <c r="P25" s="46"/>
      <c r="Q25" s="46"/>
      <c r="R25" s="57"/>
      <c r="S25" s="6"/>
      <c r="T25" s="4"/>
      <c r="U25" s="4"/>
      <c r="V25" s="12"/>
      <c r="W25" s="11"/>
      <c r="X25" s="4"/>
      <c r="Y25" s="4"/>
      <c r="Z25" s="12"/>
      <c r="AA25" s="11"/>
      <c r="AB25" s="4"/>
      <c r="AC25" s="4"/>
      <c r="AD25" s="12"/>
      <c r="AE25" s="11"/>
      <c r="AF25" s="4"/>
      <c r="AG25" s="4"/>
      <c r="AH25" s="12"/>
      <c r="AI25" s="11"/>
      <c r="AJ25" s="4"/>
      <c r="AK25" s="11"/>
      <c r="AL25" s="4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</row>
    <row r="26" spans="1:92" ht="14.25" customHeight="1" x14ac:dyDescent="0.2">
      <c r="A26" s="2"/>
      <c r="B26" s="14" t="s">
        <v>43</v>
      </c>
      <c r="C26" s="26"/>
      <c r="D26" s="25"/>
      <c r="E26" s="25"/>
      <c r="F26" s="7"/>
      <c r="G26" s="6"/>
      <c r="H26" s="4"/>
      <c r="I26" s="4"/>
      <c r="J26" s="7"/>
      <c r="K26" s="39"/>
      <c r="L26" s="37"/>
      <c r="M26" s="37"/>
      <c r="N26" s="38"/>
      <c r="O26" s="39"/>
      <c r="P26" s="4"/>
      <c r="Q26" s="4"/>
      <c r="R26" s="7"/>
      <c r="S26" s="6"/>
      <c r="T26" s="4"/>
      <c r="U26" s="4"/>
      <c r="V26" s="12"/>
      <c r="W26" s="11"/>
      <c r="X26" s="4"/>
      <c r="Y26" s="4"/>
      <c r="Z26" s="12"/>
      <c r="AA26" s="11"/>
      <c r="AB26" s="4"/>
      <c r="AC26" s="4"/>
      <c r="AD26" s="12"/>
      <c r="AE26" s="11"/>
      <c r="AF26" s="4"/>
      <c r="AG26" s="4"/>
      <c r="AH26" s="12"/>
      <c r="AI26" s="11"/>
      <c r="AJ26" s="4"/>
      <c r="AK26" s="11"/>
      <c r="AL26" s="4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</row>
    <row r="27" spans="1:92" ht="14.25" customHeight="1" x14ac:dyDescent="0.2">
      <c r="A27" s="2"/>
      <c r="B27" s="5" t="s">
        <v>44</v>
      </c>
      <c r="C27" s="26"/>
      <c r="D27" s="25"/>
      <c r="E27" s="25"/>
      <c r="F27" s="7"/>
      <c r="G27" s="6"/>
      <c r="H27" s="4"/>
      <c r="I27" s="4"/>
      <c r="J27" s="7"/>
      <c r="K27" s="42"/>
      <c r="L27" s="40"/>
      <c r="M27" s="40"/>
      <c r="N27" s="41"/>
      <c r="O27" s="6"/>
      <c r="P27" s="4"/>
      <c r="Q27" s="4"/>
      <c r="R27" s="7"/>
      <c r="S27" s="6"/>
      <c r="T27" s="4"/>
      <c r="U27" s="4"/>
      <c r="V27" s="12"/>
      <c r="W27" s="11"/>
      <c r="X27" s="4"/>
      <c r="Y27" s="4"/>
      <c r="Z27" s="12"/>
      <c r="AA27" s="11"/>
      <c r="AB27" s="4"/>
      <c r="AC27" s="4"/>
      <c r="AD27" s="12"/>
      <c r="AE27" s="11"/>
      <c r="AF27" s="4"/>
      <c r="AG27" s="4"/>
      <c r="AH27" s="12"/>
      <c r="AI27" s="11"/>
      <c r="AJ27" s="4"/>
      <c r="AK27" s="11"/>
      <c r="AL27" s="4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</row>
    <row r="28" spans="1:92" ht="14.25" customHeight="1" x14ac:dyDescent="0.2">
      <c r="A28" s="2"/>
      <c r="B28" s="5" t="s">
        <v>45</v>
      </c>
      <c r="C28" s="26"/>
      <c r="D28" s="25"/>
      <c r="E28" s="25"/>
      <c r="F28" s="7"/>
      <c r="G28" s="6"/>
      <c r="H28" s="4"/>
      <c r="I28" s="4"/>
      <c r="J28" s="7"/>
      <c r="K28" s="6"/>
      <c r="L28" s="4"/>
      <c r="M28" s="40"/>
      <c r="N28" s="41"/>
      <c r="O28" s="42"/>
      <c r="P28" s="4"/>
      <c r="Q28" s="4"/>
      <c r="R28" s="7"/>
      <c r="S28" s="6"/>
      <c r="T28" s="4"/>
      <c r="U28" s="4"/>
      <c r="V28" s="12"/>
      <c r="W28" s="11"/>
      <c r="X28" s="4"/>
      <c r="Y28" s="4"/>
      <c r="Z28" s="12"/>
      <c r="AA28" s="11"/>
      <c r="AB28" s="4"/>
      <c r="AC28" s="4"/>
      <c r="AD28" s="12"/>
      <c r="AE28" s="11"/>
      <c r="AF28" s="4"/>
      <c r="AG28" s="4"/>
      <c r="AH28" s="12"/>
      <c r="AI28" s="11"/>
      <c r="AJ28" s="4"/>
      <c r="AK28" s="11"/>
      <c r="AL28" s="4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</row>
    <row r="29" spans="1:92" ht="14.25" customHeight="1" x14ac:dyDescent="0.2">
      <c r="A29" s="2"/>
      <c r="B29" s="14" t="s">
        <v>46</v>
      </c>
      <c r="C29" s="26"/>
      <c r="D29" s="25"/>
      <c r="E29" s="25"/>
      <c r="F29" s="7"/>
      <c r="G29" s="6"/>
      <c r="H29" s="4"/>
      <c r="I29" s="4"/>
      <c r="J29" s="7"/>
      <c r="K29" s="6"/>
      <c r="L29" s="4"/>
      <c r="M29" s="4"/>
      <c r="N29" s="7"/>
      <c r="O29" s="35"/>
      <c r="P29" s="36"/>
      <c r="Q29" s="36"/>
      <c r="R29" s="7"/>
      <c r="S29" s="6"/>
      <c r="T29" s="4"/>
      <c r="U29" s="4"/>
      <c r="V29" s="12"/>
      <c r="W29" s="11"/>
      <c r="X29" s="4"/>
      <c r="Y29" s="4"/>
      <c r="Z29" s="12"/>
      <c r="AA29" s="11"/>
      <c r="AB29" s="4"/>
      <c r="AC29" s="4"/>
      <c r="AD29" s="12"/>
      <c r="AE29" s="11"/>
      <c r="AF29" s="4"/>
      <c r="AG29" s="4"/>
      <c r="AH29" s="12"/>
      <c r="AI29" s="11"/>
      <c r="AJ29" s="4"/>
      <c r="AK29" s="11"/>
      <c r="AL29" s="4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</row>
    <row r="30" spans="1:92" ht="14.25" customHeight="1" x14ac:dyDescent="0.2">
      <c r="A30" s="2"/>
      <c r="B30" s="5" t="s">
        <v>47</v>
      </c>
      <c r="C30" s="26"/>
      <c r="D30" s="25"/>
      <c r="E30" s="25"/>
      <c r="F30" s="7"/>
      <c r="G30" s="6"/>
      <c r="H30" s="4"/>
      <c r="I30" s="4"/>
      <c r="J30" s="7"/>
      <c r="K30" s="6"/>
      <c r="L30" s="4"/>
      <c r="M30" s="4"/>
      <c r="N30" s="7"/>
      <c r="O30" s="43"/>
      <c r="P30" s="4"/>
      <c r="Q30" s="4"/>
      <c r="R30" s="7"/>
      <c r="S30" s="6"/>
      <c r="T30" s="4"/>
      <c r="U30" s="4"/>
      <c r="V30" s="12"/>
      <c r="W30" s="11"/>
      <c r="X30" s="4"/>
      <c r="Y30" s="4"/>
      <c r="Z30" s="12"/>
      <c r="AA30" s="11"/>
      <c r="AB30" s="4"/>
      <c r="AC30" s="4"/>
      <c r="AD30" s="12"/>
      <c r="AE30" s="11"/>
      <c r="AF30" s="4"/>
      <c r="AG30" s="4"/>
      <c r="AH30" s="12"/>
      <c r="AI30" s="11"/>
      <c r="AJ30" s="4"/>
      <c r="AK30" s="11"/>
      <c r="AL30" s="4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</row>
    <row r="31" spans="1:92" ht="14.25" customHeight="1" x14ac:dyDescent="0.2">
      <c r="A31" s="2"/>
      <c r="B31" s="5" t="s">
        <v>48</v>
      </c>
      <c r="C31" s="26"/>
      <c r="D31" s="25"/>
      <c r="E31" s="25"/>
      <c r="F31" s="7"/>
      <c r="G31" s="6"/>
      <c r="H31" s="4"/>
      <c r="I31" s="4"/>
      <c r="J31" s="7"/>
      <c r="K31" s="6"/>
      <c r="L31" s="4"/>
      <c r="M31" s="4"/>
      <c r="N31" s="7"/>
      <c r="O31" s="43"/>
      <c r="P31" s="34"/>
      <c r="Q31" s="4"/>
      <c r="R31" s="7"/>
      <c r="S31" s="6"/>
      <c r="T31" s="4"/>
      <c r="U31" s="4"/>
      <c r="V31" s="12"/>
      <c r="W31" s="11"/>
      <c r="X31" s="4"/>
      <c r="Y31" s="4"/>
      <c r="Z31" s="12"/>
      <c r="AA31" s="11"/>
      <c r="AB31" s="4"/>
      <c r="AC31" s="4"/>
      <c r="AD31" s="12"/>
      <c r="AE31" s="11"/>
      <c r="AF31" s="4"/>
      <c r="AG31" s="4"/>
      <c r="AH31" s="12"/>
      <c r="AI31" s="11"/>
      <c r="AJ31" s="4"/>
      <c r="AK31" s="11"/>
      <c r="AL31" s="4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</row>
    <row r="32" spans="1:92" ht="14.25" customHeight="1" x14ac:dyDescent="0.2">
      <c r="A32" s="2"/>
      <c r="B32" s="5" t="s">
        <v>49</v>
      </c>
      <c r="C32" s="26"/>
      <c r="D32" s="25"/>
      <c r="E32" s="25"/>
      <c r="F32" s="7"/>
      <c r="G32" s="6"/>
      <c r="H32" s="4"/>
      <c r="I32" s="4"/>
      <c r="J32" s="7"/>
      <c r="K32" s="6"/>
      <c r="L32" s="4"/>
      <c r="M32" s="4"/>
      <c r="N32" s="7"/>
      <c r="O32" s="6"/>
      <c r="P32" s="34"/>
      <c r="Q32" s="4"/>
      <c r="R32" s="7"/>
      <c r="S32" s="6"/>
      <c r="T32" s="4"/>
      <c r="U32" s="4"/>
      <c r="V32" s="12"/>
      <c r="W32" s="11"/>
      <c r="X32" s="4"/>
      <c r="Y32" s="4"/>
      <c r="Z32" s="12"/>
      <c r="AA32" s="11"/>
      <c r="AB32" s="4"/>
      <c r="AC32" s="4"/>
      <c r="AD32" s="12"/>
      <c r="AE32" s="11"/>
      <c r="AF32" s="4"/>
      <c r="AG32" s="4"/>
      <c r="AH32" s="12"/>
      <c r="AI32" s="11"/>
      <c r="AJ32" s="4"/>
      <c r="AK32" s="11"/>
      <c r="AL32" s="4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</row>
    <row r="33" spans="1:92" ht="14.25" customHeight="1" x14ac:dyDescent="0.2">
      <c r="A33" s="2"/>
      <c r="B33" s="5" t="s">
        <v>50</v>
      </c>
      <c r="C33" s="26"/>
      <c r="D33" s="25"/>
      <c r="E33" s="25"/>
      <c r="F33" s="7"/>
      <c r="G33" s="6"/>
      <c r="H33" s="4"/>
      <c r="I33" s="4"/>
      <c r="J33" s="7"/>
      <c r="K33" s="6"/>
      <c r="L33" s="4"/>
      <c r="M33" s="4"/>
      <c r="N33" s="7"/>
      <c r="O33" s="6"/>
      <c r="P33" s="4"/>
      <c r="Q33" s="34"/>
      <c r="R33" s="7"/>
      <c r="S33" s="6"/>
      <c r="T33" s="4"/>
      <c r="U33" s="4"/>
      <c r="V33" s="12"/>
      <c r="W33" s="11"/>
      <c r="X33" s="4"/>
      <c r="Y33" s="4"/>
      <c r="Z33" s="12"/>
      <c r="AA33" s="11"/>
      <c r="AB33" s="4"/>
      <c r="AC33" s="4"/>
      <c r="AD33" s="12"/>
      <c r="AE33" s="11"/>
      <c r="AF33" s="4"/>
      <c r="AG33" s="4"/>
      <c r="AH33" s="12"/>
      <c r="AI33" s="11"/>
      <c r="AJ33" s="4"/>
      <c r="AK33" s="11"/>
      <c r="AL33" s="4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</row>
    <row r="34" spans="1:92" ht="14.25" customHeight="1" x14ac:dyDescent="0.2">
      <c r="A34" s="2"/>
      <c r="B34" s="14" t="s">
        <v>51</v>
      </c>
      <c r="C34" s="26"/>
      <c r="D34" s="25"/>
      <c r="E34" s="25"/>
      <c r="F34" s="7"/>
      <c r="G34" s="6"/>
      <c r="H34" s="4"/>
      <c r="I34" s="4"/>
      <c r="J34" s="7"/>
      <c r="K34" s="6"/>
      <c r="L34" s="4"/>
      <c r="M34" s="4"/>
      <c r="N34" s="7"/>
      <c r="O34" s="6"/>
      <c r="P34" s="4"/>
      <c r="Q34" s="4"/>
      <c r="R34" s="32"/>
      <c r="S34" s="6"/>
      <c r="T34" s="4"/>
      <c r="U34" s="4"/>
      <c r="V34" s="12"/>
      <c r="W34" s="11"/>
      <c r="X34" s="4"/>
      <c r="Y34" s="4"/>
      <c r="Z34" s="12"/>
      <c r="AA34" s="11"/>
      <c r="AB34" s="4"/>
      <c r="AC34" s="4"/>
      <c r="AD34" s="12"/>
      <c r="AE34" s="11"/>
      <c r="AF34" s="4"/>
      <c r="AG34" s="4"/>
      <c r="AH34" s="12"/>
      <c r="AI34" s="11"/>
      <c r="AJ34" s="4"/>
      <c r="AK34" s="11"/>
      <c r="AL34" s="4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</row>
    <row r="35" spans="1:92" ht="14.25" customHeight="1" x14ac:dyDescent="0.2">
      <c r="A35" s="2"/>
      <c r="B35" s="5" t="s">
        <v>52</v>
      </c>
      <c r="C35" s="26"/>
      <c r="D35" s="48"/>
      <c r="E35" s="25"/>
      <c r="F35" s="7"/>
      <c r="G35" s="6"/>
      <c r="H35" s="4"/>
      <c r="I35" s="4"/>
      <c r="J35" s="7"/>
      <c r="K35" s="6"/>
      <c r="L35" s="4"/>
      <c r="M35" s="4"/>
      <c r="N35" s="7"/>
      <c r="O35" s="6"/>
      <c r="P35" s="4"/>
      <c r="Q35" s="4"/>
      <c r="R35" s="33"/>
      <c r="S35" s="6"/>
      <c r="T35" s="4"/>
      <c r="U35" s="4"/>
      <c r="V35" s="12"/>
      <c r="W35" s="11"/>
      <c r="X35" s="4"/>
      <c r="Y35" s="4"/>
      <c r="Z35" s="12"/>
      <c r="AA35" s="11"/>
      <c r="AB35" s="4"/>
      <c r="AC35" s="4"/>
      <c r="AD35" s="12"/>
      <c r="AE35" s="11"/>
      <c r="AF35" s="4"/>
      <c r="AG35" s="4"/>
      <c r="AH35" s="12"/>
      <c r="AI35" s="11"/>
      <c r="AJ35" s="4"/>
      <c r="AK35" s="11"/>
      <c r="AL35" s="4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</row>
    <row r="36" spans="1:92" ht="14.25" customHeight="1" x14ac:dyDescent="0.2">
      <c r="A36" s="2"/>
      <c r="B36" s="14" t="s">
        <v>53</v>
      </c>
      <c r="C36" s="26"/>
      <c r="D36" s="25"/>
      <c r="E36" s="25"/>
      <c r="F36" s="7"/>
      <c r="G36" s="6"/>
      <c r="H36" s="4"/>
      <c r="I36" s="4"/>
      <c r="J36" s="7"/>
      <c r="K36" s="6"/>
      <c r="L36" s="4"/>
      <c r="M36" s="4"/>
      <c r="N36" s="7"/>
      <c r="O36" s="6"/>
      <c r="P36" s="4"/>
      <c r="Q36" s="4"/>
      <c r="R36" s="7"/>
      <c r="S36" s="28"/>
      <c r="T36" s="30"/>
      <c r="U36" s="30"/>
      <c r="V36" s="55"/>
      <c r="W36" s="11"/>
      <c r="X36" s="4"/>
      <c r="Y36" s="4"/>
      <c r="Z36" s="12"/>
      <c r="AA36" s="11"/>
      <c r="AB36" s="4"/>
      <c r="AC36" s="4"/>
      <c r="AD36" s="12"/>
      <c r="AE36" s="11"/>
      <c r="AF36" s="4"/>
      <c r="AG36" s="4"/>
      <c r="AH36" s="12"/>
      <c r="AI36" s="11"/>
      <c r="AJ36" s="4"/>
      <c r="AK36" s="11"/>
      <c r="AL36" s="4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</row>
    <row r="37" spans="1:92" ht="14.25" customHeight="1" x14ac:dyDescent="0.2">
      <c r="A37" s="2"/>
      <c r="B37" s="5" t="s">
        <v>54</v>
      </c>
      <c r="C37" s="26"/>
      <c r="D37" s="25"/>
      <c r="E37" s="25"/>
      <c r="F37" s="7"/>
      <c r="G37" s="6"/>
      <c r="H37" s="4"/>
      <c r="I37" s="4"/>
      <c r="J37" s="7"/>
      <c r="K37" s="6"/>
      <c r="L37" s="4"/>
      <c r="M37" s="4"/>
      <c r="N37" s="7"/>
      <c r="O37" s="6"/>
      <c r="P37" s="4"/>
      <c r="Q37" s="4"/>
      <c r="R37" s="7"/>
      <c r="S37" s="29"/>
      <c r="T37" s="4"/>
      <c r="U37" s="4"/>
      <c r="V37" s="12"/>
      <c r="W37" s="11"/>
      <c r="X37" s="4"/>
      <c r="Y37" s="4"/>
      <c r="Z37" s="12"/>
      <c r="AA37" s="11"/>
      <c r="AB37" s="4"/>
      <c r="AC37" s="4"/>
      <c r="AD37" s="12"/>
      <c r="AE37" s="11"/>
      <c r="AF37" s="4"/>
      <c r="AG37" s="4"/>
      <c r="AH37" s="12"/>
      <c r="AI37" s="11"/>
      <c r="AJ37" s="4"/>
      <c r="AK37" s="11"/>
      <c r="AL37" s="4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</row>
    <row r="38" spans="1:92" ht="14.25" customHeight="1" x14ac:dyDescent="0.2">
      <c r="A38" s="2"/>
      <c r="B38" s="5" t="s">
        <v>55</v>
      </c>
      <c r="C38" s="26"/>
      <c r="D38" s="25"/>
      <c r="E38" s="25"/>
      <c r="F38" s="7"/>
      <c r="G38" s="6"/>
      <c r="H38" s="4"/>
      <c r="I38" s="4"/>
      <c r="J38" s="7"/>
      <c r="K38" s="6"/>
      <c r="L38" s="4"/>
      <c r="M38" s="4"/>
      <c r="N38" s="7"/>
      <c r="O38" s="6"/>
      <c r="P38" s="4"/>
      <c r="Q38" s="4"/>
      <c r="R38" s="7"/>
      <c r="S38" s="44"/>
      <c r="T38" s="46"/>
      <c r="U38" s="46"/>
      <c r="V38" s="56"/>
      <c r="W38" s="11"/>
      <c r="X38" s="4"/>
      <c r="Y38" s="4"/>
      <c r="Z38" s="12"/>
      <c r="AA38" s="11"/>
      <c r="AB38" s="4"/>
      <c r="AC38" s="4"/>
      <c r="AD38" s="12"/>
      <c r="AE38" s="11"/>
      <c r="AF38" s="4"/>
      <c r="AG38" s="4"/>
      <c r="AH38" s="12"/>
      <c r="AI38" s="11"/>
      <c r="AJ38" s="4"/>
      <c r="AK38" s="11"/>
      <c r="AL38" s="4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</row>
    <row r="39" spans="1:92" ht="14.25" customHeight="1" x14ac:dyDescent="0.25">
      <c r="A39" s="2"/>
      <c r="B39" s="58" t="s">
        <v>57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</row>
    <row r="40" spans="1:92" ht="14.25" customHeight="1" x14ac:dyDescent="0.2">
      <c r="A40" s="2"/>
      <c r="B40" s="14" t="s">
        <v>36</v>
      </c>
      <c r="C40" s="26"/>
      <c r="D40" s="25"/>
      <c r="E40" s="25"/>
      <c r="F40" s="27"/>
      <c r="G40" s="26"/>
      <c r="H40" s="25"/>
      <c r="I40" s="25"/>
      <c r="J40" s="8"/>
      <c r="K40" s="9"/>
      <c r="L40" s="1"/>
      <c r="M40" s="1"/>
      <c r="N40" s="7"/>
      <c r="O40" s="6"/>
      <c r="P40" s="4"/>
      <c r="Q40" s="4"/>
      <c r="R40" s="53"/>
      <c r="S40" s="26"/>
      <c r="T40" s="25"/>
      <c r="U40" s="25"/>
      <c r="V40" s="27"/>
      <c r="W40" s="26"/>
      <c r="X40" s="25"/>
      <c r="Y40" s="25"/>
      <c r="Z40" s="27"/>
      <c r="AA40" s="26"/>
      <c r="AB40" s="25"/>
      <c r="AC40" s="25"/>
      <c r="AD40" s="12"/>
      <c r="AE40" s="11"/>
      <c r="AF40" s="4"/>
      <c r="AG40" s="4"/>
      <c r="AH40" s="12"/>
      <c r="AI40" s="11"/>
      <c r="AJ40" s="4"/>
      <c r="AK40" s="11"/>
      <c r="AL40" s="4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</row>
    <row r="41" spans="1:92" ht="14.25" customHeight="1" x14ac:dyDescent="0.2">
      <c r="A41" s="2"/>
      <c r="B41" s="5" t="s">
        <v>37</v>
      </c>
      <c r="C41" s="26"/>
      <c r="D41" s="25"/>
      <c r="E41" s="25"/>
      <c r="F41" s="27"/>
      <c r="G41" s="26"/>
      <c r="H41" s="25"/>
      <c r="I41" s="25"/>
      <c r="J41" s="8"/>
      <c r="K41" s="9"/>
      <c r="L41" s="1"/>
      <c r="M41" s="1"/>
      <c r="N41" s="7"/>
      <c r="O41" s="6"/>
      <c r="P41" s="4"/>
      <c r="Q41" s="4"/>
      <c r="R41" s="52"/>
      <c r="S41" s="26"/>
      <c r="T41" s="25"/>
      <c r="U41" s="25"/>
      <c r="V41" s="27"/>
      <c r="W41" s="26"/>
      <c r="X41" s="25"/>
      <c r="Y41" s="25"/>
      <c r="Z41" s="27"/>
      <c r="AA41" s="26"/>
      <c r="AB41" s="25"/>
      <c r="AC41" s="25"/>
      <c r="AD41" s="12"/>
      <c r="AE41" s="11"/>
      <c r="AF41" s="4"/>
      <c r="AG41" s="4"/>
      <c r="AH41" s="12"/>
      <c r="AI41" s="11"/>
      <c r="AJ41" s="4"/>
      <c r="AK41" s="11"/>
      <c r="AL41" s="4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</row>
    <row r="42" spans="1:92" ht="14.25" customHeight="1" x14ac:dyDescent="0.2">
      <c r="A42" s="2"/>
      <c r="B42" s="5" t="s">
        <v>38</v>
      </c>
      <c r="C42" s="26"/>
      <c r="D42" s="25"/>
      <c r="E42" s="25"/>
      <c r="F42" s="27"/>
      <c r="G42" s="26"/>
      <c r="H42" s="25"/>
      <c r="I42" s="25"/>
      <c r="J42" s="8"/>
      <c r="K42" s="9"/>
      <c r="L42" s="1"/>
      <c r="M42" s="1"/>
      <c r="N42" s="7"/>
      <c r="O42" s="6"/>
      <c r="P42" s="4"/>
      <c r="Q42" s="4"/>
      <c r="R42" s="52"/>
      <c r="S42" s="26"/>
      <c r="T42" s="25"/>
      <c r="U42" s="25"/>
      <c r="V42" s="27"/>
      <c r="W42" s="26"/>
      <c r="X42" s="25"/>
      <c r="Y42" s="25"/>
      <c r="Z42" s="27"/>
      <c r="AA42" s="26"/>
      <c r="AB42" s="25"/>
      <c r="AC42" s="25"/>
      <c r="AD42" s="12"/>
      <c r="AE42" s="11"/>
      <c r="AF42" s="4"/>
      <c r="AG42" s="4"/>
      <c r="AH42" s="12"/>
      <c r="AI42" s="11"/>
      <c r="AJ42" s="4"/>
      <c r="AK42" s="11"/>
      <c r="AL42" s="4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</row>
    <row r="43" spans="1:92" ht="14.25" customHeight="1" x14ac:dyDescent="0.2">
      <c r="A43" s="2"/>
      <c r="B43" s="14" t="s">
        <v>39</v>
      </c>
      <c r="C43" s="26"/>
      <c r="D43" s="25"/>
      <c r="E43" s="25"/>
      <c r="F43" s="27"/>
      <c r="G43" s="26"/>
      <c r="H43" s="25"/>
      <c r="I43" s="47"/>
      <c r="J43" s="8"/>
      <c r="K43" s="9"/>
      <c r="L43" s="1"/>
      <c r="M43" s="1"/>
      <c r="N43" s="8"/>
      <c r="O43" s="9"/>
      <c r="P43" s="1"/>
      <c r="Q43" s="1"/>
      <c r="R43" s="8"/>
      <c r="S43" s="50"/>
      <c r="T43" s="51"/>
      <c r="U43" s="51"/>
      <c r="V43" s="27"/>
      <c r="W43" s="26"/>
      <c r="X43" s="25"/>
      <c r="Y43" s="25"/>
      <c r="Z43" s="27"/>
      <c r="AA43" s="26"/>
      <c r="AB43" s="25"/>
      <c r="AC43" s="25"/>
      <c r="AD43" s="27"/>
      <c r="AE43" s="26"/>
      <c r="AF43" s="25"/>
      <c r="AG43" s="25"/>
      <c r="AH43" s="12"/>
      <c r="AI43" s="11"/>
      <c r="AJ43" s="4"/>
      <c r="AK43" s="11"/>
      <c r="AL43" s="4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</row>
    <row r="44" spans="1:92" ht="14.25" customHeight="1" x14ac:dyDescent="0.2">
      <c r="A44" s="2"/>
      <c r="B44" s="5" t="s">
        <v>40</v>
      </c>
      <c r="C44" s="26"/>
      <c r="D44" s="25"/>
      <c r="E44" s="25"/>
      <c r="F44" s="27"/>
      <c r="G44" s="26"/>
      <c r="H44" s="25"/>
      <c r="I44" s="25"/>
      <c r="J44" s="8"/>
      <c r="K44" s="9"/>
      <c r="L44" s="1"/>
      <c r="M44" s="1"/>
      <c r="N44" s="8"/>
      <c r="O44" s="6"/>
      <c r="P44" s="60"/>
      <c r="Q44" s="4"/>
      <c r="R44" s="8"/>
      <c r="S44" s="24"/>
      <c r="T44" s="54"/>
      <c r="U44" s="25"/>
      <c r="V44" s="27"/>
      <c r="W44" s="26"/>
      <c r="X44" s="25"/>
      <c r="Y44" s="25"/>
      <c r="Z44" s="27"/>
      <c r="AA44" s="26"/>
      <c r="AB44" s="25"/>
      <c r="AC44" s="25"/>
      <c r="AD44" s="27"/>
      <c r="AE44" s="26"/>
      <c r="AF44" s="25"/>
      <c r="AG44" s="25"/>
      <c r="AH44" s="12"/>
      <c r="AI44" s="11"/>
      <c r="AJ44" s="4"/>
      <c r="AK44" s="11"/>
      <c r="AL44" s="4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</row>
    <row r="45" spans="1:92" ht="14.25" customHeight="1" x14ac:dyDescent="0.2">
      <c r="A45" s="2"/>
      <c r="B45" s="5" t="s">
        <v>41</v>
      </c>
      <c r="C45" s="26"/>
      <c r="D45" s="25"/>
      <c r="E45" s="25"/>
      <c r="F45" s="27"/>
      <c r="G45" s="26"/>
      <c r="H45" s="25"/>
      <c r="I45" s="25"/>
      <c r="J45" s="8"/>
      <c r="K45" s="9"/>
      <c r="L45" s="1"/>
      <c r="M45" s="1"/>
      <c r="N45" s="8"/>
      <c r="O45" s="6"/>
      <c r="P45" s="60"/>
      <c r="Q45" s="4"/>
      <c r="R45" s="8"/>
      <c r="S45" s="24"/>
      <c r="T45" s="54"/>
      <c r="U45" s="25"/>
      <c r="V45" s="27"/>
      <c r="W45" s="26"/>
      <c r="X45" s="25"/>
      <c r="Y45" s="25"/>
      <c r="Z45" s="27"/>
      <c r="AA45" s="26"/>
      <c r="AB45" s="25"/>
      <c r="AC45" s="25"/>
      <c r="AD45" s="27"/>
      <c r="AE45" s="26"/>
      <c r="AF45" s="25"/>
      <c r="AG45" s="25"/>
      <c r="AH45" s="12"/>
      <c r="AI45" s="11"/>
      <c r="AJ45" s="4"/>
      <c r="AK45" s="11"/>
      <c r="AL45" s="4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</row>
    <row r="46" spans="1:92" ht="14.25" customHeight="1" x14ac:dyDescent="0.2">
      <c r="A46" s="2"/>
      <c r="B46" s="5" t="s">
        <v>42</v>
      </c>
      <c r="C46" s="26"/>
      <c r="D46" s="25"/>
      <c r="E46" s="25"/>
      <c r="F46" s="27"/>
      <c r="G46" s="26"/>
      <c r="H46" s="25"/>
      <c r="I46" s="25"/>
      <c r="J46" s="8"/>
      <c r="K46" s="9"/>
      <c r="L46" s="1"/>
      <c r="M46" s="1"/>
      <c r="N46" s="8"/>
      <c r="O46" s="6"/>
      <c r="P46" s="4"/>
      <c r="Q46" s="4"/>
      <c r="R46" s="8"/>
      <c r="S46" s="26"/>
      <c r="T46" s="25"/>
      <c r="U46" s="21"/>
      <c r="V46" s="27"/>
      <c r="W46" s="26"/>
      <c r="X46" s="25"/>
      <c r="Y46" s="25"/>
      <c r="Z46" s="27"/>
      <c r="AA46" s="26"/>
      <c r="AB46" s="25"/>
      <c r="AC46" s="25"/>
      <c r="AD46" s="27"/>
      <c r="AE46" s="26"/>
      <c r="AF46" s="25"/>
      <c r="AG46" s="25"/>
      <c r="AH46" s="12"/>
      <c r="AI46" s="11"/>
      <c r="AJ46" s="4"/>
      <c r="AK46" s="11"/>
      <c r="AL46" s="4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</row>
    <row r="47" spans="1:92" ht="14.25" customHeight="1" x14ac:dyDescent="0.2">
      <c r="A47" s="2"/>
      <c r="B47" s="14" t="s">
        <v>43</v>
      </c>
      <c r="C47" s="26"/>
      <c r="D47" s="25"/>
      <c r="E47" s="25"/>
      <c r="F47" s="27"/>
      <c r="G47" s="26"/>
      <c r="H47" s="25"/>
      <c r="I47" s="25"/>
      <c r="J47" s="8"/>
      <c r="K47" s="9"/>
      <c r="L47" s="1"/>
      <c r="M47" s="1"/>
      <c r="N47" s="8"/>
      <c r="O47" s="26"/>
      <c r="P47" s="25"/>
      <c r="Q47" s="25"/>
      <c r="R47" s="8"/>
      <c r="S47" s="26"/>
      <c r="T47" s="25"/>
      <c r="U47" s="25"/>
      <c r="V47" s="38"/>
      <c r="W47" s="39"/>
      <c r="X47" s="37"/>
      <c r="Y47" s="37"/>
      <c r="Z47" s="38"/>
      <c r="AA47" s="39"/>
      <c r="AB47" s="37"/>
      <c r="AC47" s="37"/>
      <c r="AD47" s="37"/>
      <c r="AE47" s="26"/>
      <c r="AF47" s="25"/>
      <c r="AG47" s="25"/>
      <c r="AH47" s="12"/>
      <c r="AI47" s="11"/>
      <c r="AJ47" s="4"/>
      <c r="AK47" s="11"/>
      <c r="AL47" s="4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</row>
    <row r="48" spans="1:92" ht="14.25" customHeight="1" x14ac:dyDescent="0.2">
      <c r="A48" s="2"/>
      <c r="B48" s="5" t="s">
        <v>44</v>
      </c>
      <c r="C48" s="26"/>
      <c r="D48" s="25"/>
      <c r="E48" s="25"/>
      <c r="F48" s="27"/>
      <c r="G48" s="26"/>
      <c r="H48" s="25"/>
      <c r="I48" s="25"/>
      <c r="J48" s="8"/>
      <c r="K48" s="9"/>
      <c r="L48" s="1"/>
      <c r="M48" s="1"/>
      <c r="N48" s="8"/>
      <c r="O48" s="26"/>
      <c r="P48" s="25"/>
      <c r="Q48" s="25"/>
      <c r="R48" s="8"/>
      <c r="S48" s="26"/>
      <c r="T48" s="25"/>
      <c r="U48" s="25"/>
      <c r="V48" s="41"/>
      <c r="W48" s="42"/>
      <c r="X48" s="40"/>
      <c r="Y48" s="40"/>
      <c r="Z48" s="41"/>
      <c r="AA48" s="42"/>
      <c r="AB48" s="40"/>
      <c r="AC48" s="40"/>
      <c r="AD48" s="27"/>
      <c r="AE48" s="26"/>
      <c r="AF48" s="25"/>
      <c r="AG48" s="25"/>
      <c r="AH48" s="12"/>
      <c r="AI48" s="11"/>
      <c r="AJ48" s="4"/>
      <c r="AK48" s="11"/>
      <c r="AL48" s="4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</row>
    <row r="49" spans="1:92" ht="14.25" customHeight="1" x14ac:dyDescent="0.2">
      <c r="A49" s="2"/>
      <c r="B49" s="5" t="s">
        <v>45</v>
      </c>
      <c r="C49" s="26"/>
      <c r="D49" s="25"/>
      <c r="E49" s="25"/>
      <c r="F49" s="27"/>
      <c r="G49" s="26"/>
      <c r="H49" s="25"/>
      <c r="I49" s="25"/>
      <c r="J49" s="8"/>
      <c r="K49" s="9"/>
      <c r="L49" s="1"/>
      <c r="M49" s="1"/>
      <c r="N49" s="8"/>
      <c r="O49" s="26"/>
      <c r="P49" s="25"/>
      <c r="Q49" s="25"/>
      <c r="R49" s="8"/>
      <c r="S49" s="26"/>
      <c r="T49" s="25"/>
      <c r="U49" s="25"/>
      <c r="V49" s="27"/>
      <c r="W49" s="26"/>
      <c r="X49" s="25"/>
      <c r="Y49" s="25"/>
      <c r="Z49" s="27"/>
      <c r="AA49" s="42"/>
      <c r="AB49" s="40"/>
      <c r="AC49" s="40"/>
      <c r="AD49" s="40"/>
      <c r="AE49" s="26"/>
      <c r="AF49" s="25"/>
      <c r="AG49" s="25"/>
      <c r="AH49" s="12"/>
      <c r="AI49" s="11"/>
      <c r="AJ49" s="4"/>
      <c r="AK49" s="11"/>
      <c r="AL49" s="4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</row>
    <row r="50" spans="1:92" ht="14.25" customHeight="1" x14ac:dyDescent="0.2">
      <c r="A50" s="2"/>
      <c r="B50" s="14" t="s">
        <v>46</v>
      </c>
      <c r="C50" s="26"/>
      <c r="D50" s="25"/>
      <c r="E50" s="25"/>
      <c r="F50" s="27"/>
      <c r="G50" s="26"/>
      <c r="H50" s="25"/>
      <c r="I50" s="25"/>
      <c r="J50" s="8"/>
      <c r="K50" s="9"/>
      <c r="L50" s="1"/>
      <c r="M50" s="1"/>
      <c r="N50" s="27"/>
      <c r="O50" s="26"/>
      <c r="P50" s="25"/>
      <c r="Q50" s="25"/>
      <c r="R50" s="27"/>
      <c r="S50" s="26"/>
      <c r="T50" s="25"/>
      <c r="U50" s="25"/>
      <c r="V50" s="27"/>
      <c r="W50" s="26"/>
      <c r="X50" s="25"/>
      <c r="Y50" s="25"/>
      <c r="Z50" s="27"/>
      <c r="AA50" s="26"/>
      <c r="AB50" s="25"/>
      <c r="AC50" s="25"/>
      <c r="AD50" s="27"/>
      <c r="AE50" s="35"/>
      <c r="AF50" s="36"/>
      <c r="AG50" s="36"/>
      <c r="AH50" s="12"/>
      <c r="AI50" s="11"/>
      <c r="AJ50" s="4"/>
      <c r="AK50" s="11"/>
      <c r="AL50" s="4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</row>
    <row r="51" spans="1:92" ht="14.25" customHeight="1" x14ac:dyDescent="0.2">
      <c r="A51" s="2"/>
      <c r="B51" s="5" t="s">
        <v>47</v>
      </c>
      <c r="C51" s="26"/>
      <c r="D51" s="25"/>
      <c r="E51" s="25"/>
      <c r="F51" s="27"/>
      <c r="G51" s="26"/>
      <c r="H51" s="25"/>
      <c r="I51" s="25"/>
      <c r="J51" s="8"/>
      <c r="K51" s="9"/>
      <c r="L51" s="1"/>
      <c r="M51" s="1"/>
      <c r="N51" s="27"/>
      <c r="O51" s="26"/>
      <c r="P51" s="25"/>
      <c r="Q51" s="25"/>
      <c r="R51" s="27"/>
      <c r="S51" s="26"/>
      <c r="T51" s="25"/>
      <c r="U51" s="25"/>
      <c r="V51" s="27"/>
      <c r="W51" s="26"/>
      <c r="X51" s="25"/>
      <c r="Y51" s="25"/>
      <c r="Z51" s="27"/>
      <c r="AA51" s="26"/>
      <c r="AB51" s="25"/>
      <c r="AC51" s="25"/>
      <c r="AD51" s="62"/>
      <c r="AE51" s="61"/>
      <c r="AF51" s="25"/>
      <c r="AG51" s="25"/>
      <c r="AH51" s="12"/>
      <c r="AI51" s="11"/>
      <c r="AJ51" s="4"/>
      <c r="AK51" s="11"/>
      <c r="AL51" s="4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</row>
    <row r="52" spans="1:92" ht="14.25" customHeight="1" x14ac:dyDescent="0.2">
      <c r="A52" s="2"/>
      <c r="B52" s="5" t="s">
        <v>48</v>
      </c>
      <c r="C52" s="26"/>
      <c r="D52" s="25"/>
      <c r="E52" s="25"/>
      <c r="F52" s="27"/>
      <c r="G52" s="26"/>
      <c r="H52" s="25"/>
      <c r="I52" s="25"/>
      <c r="J52" s="8"/>
      <c r="K52" s="9"/>
      <c r="L52" s="1"/>
      <c r="M52" s="1"/>
      <c r="N52" s="27"/>
      <c r="O52" s="26"/>
      <c r="P52" s="25"/>
      <c r="Q52" s="25"/>
      <c r="R52" s="27"/>
      <c r="S52" s="26"/>
      <c r="T52" s="25"/>
      <c r="U52" s="25"/>
      <c r="V52" s="27"/>
      <c r="W52" s="26"/>
      <c r="X52" s="25"/>
      <c r="Y52" s="25"/>
      <c r="Z52" s="27"/>
      <c r="AA52" s="26"/>
      <c r="AB52" s="25"/>
      <c r="AC52" s="25"/>
      <c r="AD52" s="62"/>
      <c r="AE52" s="61"/>
      <c r="AF52" s="34"/>
      <c r="AG52" s="25"/>
      <c r="AH52" s="12"/>
      <c r="AI52" s="11"/>
      <c r="AJ52" s="4"/>
      <c r="AK52" s="11"/>
      <c r="AL52" s="4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</row>
    <row r="53" spans="1:92" ht="14.25" customHeight="1" x14ac:dyDescent="0.2">
      <c r="A53" s="2"/>
      <c r="B53" s="5" t="s">
        <v>49</v>
      </c>
      <c r="C53" s="26"/>
      <c r="D53" s="25"/>
      <c r="E53" s="25"/>
      <c r="F53" s="27"/>
      <c r="G53" s="26"/>
      <c r="H53" s="25"/>
      <c r="I53" s="25"/>
      <c r="J53" s="8"/>
      <c r="K53" s="9"/>
      <c r="L53" s="1"/>
      <c r="M53" s="1"/>
      <c r="N53" s="27"/>
      <c r="O53" s="26"/>
      <c r="P53" s="25"/>
      <c r="Q53" s="25"/>
      <c r="R53" s="27"/>
      <c r="S53" s="26"/>
      <c r="T53" s="25"/>
      <c r="U53" s="25"/>
      <c r="V53" s="27"/>
      <c r="W53" s="26"/>
      <c r="X53" s="25"/>
      <c r="Y53" s="25"/>
      <c r="Z53" s="27"/>
      <c r="AA53" s="26"/>
      <c r="AB53" s="25"/>
      <c r="AC53" s="25"/>
      <c r="AD53" s="62"/>
      <c r="AE53" s="61"/>
      <c r="AF53" s="34"/>
      <c r="AG53" s="25"/>
      <c r="AH53" s="12"/>
      <c r="AI53" s="11"/>
      <c r="AJ53" s="4"/>
      <c r="AK53" s="11"/>
      <c r="AL53" s="4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</row>
    <row r="54" spans="1:92" ht="14.25" customHeight="1" x14ac:dyDescent="0.2">
      <c r="A54" s="2"/>
      <c r="B54" s="5" t="s">
        <v>50</v>
      </c>
      <c r="C54" s="26"/>
      <c r="D54" s="25"/>
      <c r="E54" s="25"/>
      <c r="F54" s="27"/>
      <c r="G54" s="26"/>
      <c r="H54" s="25"/>
      <c r="I54" s="25"/>
      <c r="J54" s="8"/>
      <c r="K54" s="9"/>
      <c r="L54" s="1"/>
      <c r="M54" s="1"/>
      <c r="N54" s="27"/>
      <c r="O54" s="26"/>
      <c r="P54" s="25"/>
      <c r="Q54" s="25"/>
      <c r="R54" s="27"/>
      <c r="S54" s="26"/>
      <c r="T54" s="25"/>
      <c r="U54" s="25"/>
      <c r="V54" s="27"/>
      <c r="W54" s="26"/>
      <c r="X54" s="25"/>
      <c r="Y54" s="25"/>
      <c r="Z54" s="27"/>
      <c r="AA54" s="26"/>
      <c r="AB54" s="25"/>
      <c r="AC54" s="25"/>
      <c r="AD54" s="27"/>
      <c r="AE54" s="26"/>
      <c r="AF54" s="25"/>
      <c r="AG54" s="34"/>
      <c r="AH54" s="12"/>
      <c r="AI54" s="11"/>
      <c r="AJ54" s="4"/>
      <c r="AK54" s="11"/>
      <c r="AL54" s="4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</row>
    <row r="55" spans="1:92" ht="14.25" customHeight="1" x14ac:dyDescent="0.2">
      <c r="A55" s="2"/>
      <c r="B55" s="14" t="s">
        <v>51</v>
      </c>
      <c r="C55" s="26"/>
      <c r="D55" s="25"/>
      <c r="E55" s="25"/>
      <c r="F55" s="27"/>
      <c r="G55" s="26"/>
      <c r="H55" s="25"/>
      <c r="I55" s="25"/>
      <c r="J55" s="8"/>
      <c r="K55" s="9"/>
      <c r="L55" s="1"/>
      <c r="M55" s="1"/>
      <c r="N55" s="27"/>
      <c r="O55" s="26"/>
      <c r="P55" s="25"/>
      <c r="Q55" s="25"/>
      <c r="R55" s="27"/>
      <c r="S55" s="26"/>
      <c r="T55" s="25"/>
      <c r="U55" s="25"/>
      <c r="V55" s="27"/>
      <c r="W55" s="26"/>
      <c r="X55" s="25"/>
      <c r="Y55" s="25"/>
      <c r="Z55" s="27"/>
      <c r="AA55" s="26"/>
      <c r="AB55" s="25"/>
      <c r="AC55" s="25"/>
      <c r="AD55" s="27"/>
      <c r="AE55" s="26"/>
      <c r="AF55" s="25"/>
      <c r="AG55" s="25"/>
      <c r="AH55" s="32"/>
      <c r="AI55" s="11"/>
      <c r="AJ55" s="4"/>
      <c r="AK55" s="11"/>
      <c r="AL55" s="4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</row>
    <row r="56" spans="1:92" ht="14.25" customHeight="1" x14ac:dyDescent="0.2">
      <c r="A56" s="2"/>
      <c r="B56" s="5" t="s">
        <v>52</v>
      </c>
      <c r="C56" s="26"/>
      <c r="D56" s="48"/>
      <c r="E56" s="25"/>
      <c r="F56" s="27"/>
      <c r="G56" s="26"/>
      <c r="H56" s="25"/>
      <c r="I56" s="25"/>
      <c r="J56" s="8"/>
      <c r="K56" s="9"/>
      <c r="L56" s="1"/>
      <c r="M56" s="1"/>
      <c r="N56" s="27"/>
      <c r="O56" s="26"/>
      <c r="P56" s="25"/>
      <c r="Q56" s="25"/>
      <c r="R56" s="27"/>
      <c r="S56" s="26"/>
      <c r="T56" s="25"/>
      <c r="U56" s="25"/>
      <c r="V56" s="27"/>
      <c r="W56" s="26"/>
      <c r="X56" s="25"/>
      <c r="Y56" s="25"/>
      <c r="Z56" s="27"/>
      <c r="AA56" s="26"/>
      <c r="AB56" s="25"/>
      <c r="AC56" s="25"/>
      <c r="AD56" s="27"/>
      <c r="AE56" s="26"/>
      <c r="AF56" s="25"/>
      <c r="AG56" s="25"/>
      <c r="AH56" s="33"/>
      <c r="AI56" s="11"/>
      <c r="AJ56" s="4"/>
      <c r="AK56" s="11"/>
      <c r="AL56" s="4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</row>
    <row r="57" spans="1:92" ht="14.25" customHeight="1" x14ac:dyDescent="0.2">
      <c r="A57" s="2"/>
      <c r="B57" s="14" t="s">
        <v>53</v>
      </c>
      <c r="C57" s="26"/>
      <c r="D57" s="25"/>
      <c r="E57" s="25"/>
      <c r="F57" s="27"/>
      <c r="G57" s="26"/>
      <c r="H57" s="25"/>
      <c r="I57" s="25"/>
      <c r="J57" s="8"/>
      <c r="K57" s="9"/>
      <c r="L57" s="1"/>
      <c r="M57" s="1"/>
      <c r="N57" s="27"/>
      <c r="O57" s="26"/>
      <c r="P57" s="25"/>
      <c r="Q57" s="25"/>
      <c r="R57" s="27"/>
      <c r="S57" s="26"/>
      <c r="T57" s="25"/>
      <c r="U57" s="25"/>
      <c r="V57" s="27"/>
      <c r="W57" s="26"/>
      <c r="X57" s="25"/>
      <c r="Y57" s="25"/>
      <c r="Z57" s="27"/>
      <c r="AA57" s="26"/>
      <c r="AB57" s="25"/>
      <c r="AC57" s="25"/>
      <c r="AD57" s="27"/>
      <c r="AE57" s="26"/>
      <c r="AF57" s="25"/>
      <c r="AG57" s="25"/>
      <c r="AH57" s="12"/>
      <c r="AI57" s="28"/>
      <c r="AJ57" s="30"/>
      <c r="AK57" s="30"/>
      <c r="AL57" s="55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</row>
    <row r="58" spans="1:92" ht="14.25" customHeight="1" x14ac:dyDescent="0.2">
      <c r="A58" s="2"/>
      <c r="B58" s="5" t="s">
        <v>54</v>
      </c>
      <c r="C58" s="26"/>
      <c r="D58" s="25"/>
      <c r="E58" s="25"/>
      <c r="F58" s="27"/>
      <c r="G58" s="26"/>
      <c r="H58" s="25"/>
      <c r="I58" s="25"/>
      <c r="J58" s="8"/>
      <c r="K58" s="9"/>
      <c r="L58" s="1"/>
      <c r="M58" s="1"/>
      <c r="N58" s="27"/>
      <c r="O58" s="26"/>
      <c r="P58" s="25"/>
      <c r="Q58" s="25"/>
      <c r="R58" s="27"/>
      <c r="S58" s="26"/>
      <c r="T58" s="25"/>
      <c r="U58" s="25"/>
      <c r="V58" s="27"/>
      <c r="W58" s="26"/>
      <c r="X58" s="25"/>
      <c r="Y58" s="25"/>
      <c r="Z58" s="27"/>
      <c r="AA58" s="26"/>
      <c r="AB58" s="25"/>
      <c r="AC58" s="25"/>
      <c r="AD58" s="27"/>
      <c r="AE58" s="26"/>
      <c r="AF58" s="25"/>
      <c r="AG58" s="25"/>
      <c r="AH58" s="12"/>
      <c r="AI58" s="29"/>
      <c r="AJ58" s="4"/>
      <c r="AK58" s="4"/>
      <c r="AL58" s="1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</row>
    <row r="59" spans="1:92" ht="14.25" customHeight="1" x14ac:dyDescent="0.2">
      <c r="A59" s="2"/>
      <c r="B59" s="5" t="s">
        <v>55</v>
      </c>
      <c r="C59" s="26"/>
      <c r="D59" s="25"/>
      <c r="E59" s="25"/>
      <c r="F59" s="27"/>
      <c r="G59" s="26"/>
      <c r="H59" s="25"/>
      <c r="I59" s="25"/>
      <c r="J59" s="8"/>
      <c r="K59" s="9"/>
      <c r="L59" s="1"/>
      <c r="M59" s="1"/>
      <c r="N59" s="27"/>
      <c r="O59" s="26"/>
      <c r="P59" s="25"/>
      <c r="Q59" s="25"/>
      <c r="R59" s="27"/>
      <c r="S59" s="26"/>
      <c r="T59" s="25"/>
      <c r="U59" s="25"/>
      <c r="V59" s="27"/>
      <c r="W59" s="26"/>
      <c r="X59" s="25"/>
      <c r="Y59" s="25"/>
      <c r="Z59" s="27"/>
      <c r="AA59" s="26"/>
      <c r="AB59" s="25"/>
      <c r="AC59" s="25"/>
      <c r="AD59" s="27"/>
      <c r="AE59" s="26"/>
      <c r="AF59" s="25"/>
      <c r="AG59" s="25"/>
      <c r="AH59" s="12"/>
      <c r="AI59" s="44"/>
      <c r="AJ59" s="46"/>
      <c r="AK59" s="46"/>
      <c r="AL59" s="56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</row>
    <row r="60" spans="1:9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</row>
    <row r="61" spans="1:9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</row>
    <row r="62" spans="1:9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</row>
    <row r="63" spans="1:9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</row>
    <row r="64" spans="1:9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</row>
    <row r="65" spans="1:9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</row>
    <row r="66" spans="1:9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</row>
    <row r="67" spans="1:9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</row>
    <row r="68" spans="1:9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</row>
    <row r="69" spans="1:9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</row>
    <row r="70" spans="1:9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</row>
    <row r="71" spans="1:9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</row>
    <row r="72" spans="1:9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</row>
    <row r="73" spans="1:9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</row>
    <row r="74" spans="1:9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</row>
    <row r="75" spans="1:9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</row>
    <row r="76" spans="1:9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</row>
    <row r="77" spans="1:9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</row>
    <row r="78" spans="1:9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</row>
    <row r="79" spans="1:9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</row>
    <row r="80" spans="1:9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</row>
    <row r="81" spans="1:9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</row>
    <row r="82" spans="1:9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</row>
    <row r="83" spans="1:9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</row>
    <row r="84" spans="1:9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</row>
    <row r="85" spans="1:9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</row>
    <row r="86" spans="1:9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</row>
    <row r="87" spans="1:9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</row>
    <row r="88" spans="1:9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</row>
    <row r="89" spans="1:9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</row>
    <row r="90" spans="1:9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</row>
    <row r="91" spans="1:9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</row>
    <row r="92" spans="1:9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</row>
    <row r="93" spans="1:9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</row>
    <row r="94" spans="1:9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</row>
    <row r="95" spans="1:9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</row>
    <row r="96" spans="1:9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</row>
    <row r="97" spans="1:9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</row>
    <row r="98" spans="1:9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</row>
    <row r="99" spans="1:9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</row>
    <row r="100" spans="1:9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</row>
    <row r="101" spans="1:9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</row>
    <row r="102" spans="1:92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</row>
    <row r="103" spans="1:92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</row>
    <row r="104" spans="1:92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</row>
    <row r="105" spans="1:92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</row>
    <row r="106" spans="1:92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</row>
    <row r="107" spans="1:92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</row>
    <row r="108" spans="1:92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</row>
    <row r="109" spans="1:92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</row>
    <row r="110" spans="1:92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</row>
    <row r="111" spans="1:92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</row>
    <row r="112" spans="1:92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</row>
    <row r="113" spans="1:92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</row>
    <row r="114" spans="1:92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</row>
    <row r="115" spans="1:92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</row>
    <row r="116" spans="1:92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</row>
    <row r="117" spans="1:92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</row>
    <row r="118" spans="1:92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</row>
    <row r="119" spans="1:92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</row>
    <row r="120" spans="1:92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</row>
    <row r="121" spans="1:92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</row>
    <row r="122" spans="1:92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</row>
    <row r="123" spans="1:92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</row>
    <row r="124" spans="1:92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</row>
    <row r="125" spans="1:92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</row>
    <row r="126" spans="1:92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</row>
    <row r="127" spans="1:92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</row>
    <row r="128" spans="1:92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</row>
    <row r="129" spans="1:92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</row>
    <row r="130" spans="1:92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</row>
    <row r="131" spans="1:92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</row>
    <row r="132" spans="1:92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</row>
    <row r="133" spans="1:92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</row>
    <row r="134" spans="1:92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</row>
    <row r="135" spans="1:92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</row>
    <row r="136" spans="1:92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</row>
    <row r="137" spans="1:92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</row>
    <row r="138" spans="1:92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</row>
    <row r="139" spans="1:92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</row>
    <row r="140" spans="1:92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</row>
    <row r="141" spans="1:92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</row>
    <row r="142" spans="1:92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</row>
    <row r="143" spans="1:92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</row>
    <row r="144" spans="1:92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</row>
    <row r="145" spans="1:92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</row>
    <row r="146" spans="1:92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</row>
    <row r="147" spans="1:92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</row>
    <row r="148" spans="1:92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</row>
    <row r="149" spans="1:92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</row>
    <row r="150" spans="1:92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</row>
    <row r="151" spans="1:92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</row>
    <row r="152" spans="1:92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</row>
    <row r="153" spans="1:92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</row>
    <row r="154" spans="1:92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</row>
    <row r="155" spans="1:92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</row>
    <row r="156" spans="1:92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</row>
    <row r="157" spans="1:92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</row>
    <row r="158" spans="1:92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</row>
    <row r="159" spans="1:92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</row>
    <row r="160" spans="1:92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</row>
    <row r="161" spans="1:92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</row>
    <row r="162" spans="1:92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</row>
    <row r="163" spans="1:92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</row>
    <row r="164" spans="1:92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</row>
    <row r="165" spans="1:92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</row>
    <row r="166" spans="1:92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</row>
    <row r="167" spans="1:92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</row>
    <row r="168" spans="1:92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</row>
    <row r="169" spans="1:92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</row>
    <row r="170" spans="1:92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</row>
    <row r="171" spans="1:92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</row>
    <row r="172" spans="1:92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</row>
    <row r="173" spans="1:92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</row>
    <row r="174" spans="1:92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</row>
    <row r="175" spans="1:92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</row>
    <row r="176" spans="1:92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</row>
    <row r="177" spans="1:92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</row>
    <row r="178" spans="1:92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</row>
    <row r="179" spans="1:92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</row>
    <row r="180" spans="1:92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</row>
    <row r="181" spans="1:92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</row>
    <row r="182" spans="1:92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</row>
    <row r="183" spans="1:92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</row>
    <row r="184" spans="1:92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</row>
    <row r="185" spans="1:92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</row>
    <row r="186" spans="1:92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</row>
    <row r="187" spans="1:92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</row>
    <row r="188" spans="1:92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</row>
    <row r="189" spans="1:92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</row>
    <row r="190" spans="1:92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</row>
    <row r="191" spans="1:92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</row>
    <row r="192" spans="1:92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</row>
    <row r="193" spans="1:92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</row>
    <row r="194" spans="1:92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</row>
    <row r="195" spans="1:92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</row>
    <row r="196" spans="1:92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</row>
    <row r="197" spans="1:92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</row>
    <row r="198" spans="1:92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</row>
    <row r="199" spans="1:92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</row>
    <row r="200" spans="1:92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</row>
    <row r="201" spans="1:92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</row>
    <row r="202" spans="1:92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</row>
    <row r="203" spans="1:92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</row>
    <row r="204" spans="1:92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</row>
    <row r="205" spans="1:92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</row>
    <row r="206" spans="1:92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</row>
    <row r="207" spans="1:92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</row>
    <row r="208" spans="1:92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</row>
    <row r="209" spans="1:92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</row>
    <row r="210" spans="1:92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</row>
    <row r="211" spans="1:92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</row>
    <row r="212" spans="1:92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</row>
    <row r="213" spans="1:92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</row>
    <row r="214" spans="1:92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</row>
    <row r="215" spans="1:92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</row>
    <row r="216" spans="1:92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</row>
    <row r="217" spans="1:92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</row>
    <row r="218" spans="1:92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</row>
    <row r="219" spans="1:92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</row>
    <row r="220" spans="1:92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</row>
    <row r="221" spans="1:92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</row>
    <row r="222" spans="1:92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</row>
    <row r="223" spans="1:92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</row>
    <row r="224" spans="1:92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</row>
    <row r="225" spans="1:92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</row>
    <row r="226" spans="1:92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</row>
    <row r="227" spans="1:92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</row>
    <row r="228" spans="1:92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</row>
    <row r="229" spans="1:92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</row>
    <row r="230" spans="1:92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</row>
    <row r="231" spans="1:92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</row>
    <row r="232" spans="1:92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</row>
    <row r="233" spans="1:92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</row>
    <row r="234" spans="1:92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</row>
    <row r="235" spans="1:92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</row>
    <row r="236" spans="1:92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</row>
    <row r="237" spans="1:92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</row>
    <row r="238" spans="1:92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</row>
    <row r="239" spans="1:92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</row>
    <row r="240" spans="1:92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</row>
    <row r="241" spans="1:92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</row>
    <row r="242" spans="1:92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</row>
    <row r="243" spans="1:92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</row>
    <row r="244" spans="1:92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</row>
    <row r="245" spans="1:92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</row>
    <row r="246" spans="1:92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</row>
    <row r="247" spans="1:92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</row>
    <row r="248" spans="1:92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</row>
    <row r="249" spans="1:92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</row>
    <row r="250" spans="1:92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</row>
    <row r="251" spans="1:92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</row>
    <row r="252" spans="1:92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</row>
    <row r="253" spans="1:92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</row>
    <row r="254" spans="1:92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</row>
    <row r="255" spans="1:92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</row>
    <row r="256" spans="1:92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</row>
    <row r="257" spans="1:92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</row>
    <row r="258" spans="1:92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</row>
    <row r="259" spans="1:92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</row>
    <row r="260" spans="1:92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</row>
    <row r="261" spans="1:92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</row>
    <row r="262" spans="1:92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</row>
    <row r="263" spans="1:92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</row>
    <row r="264" spans="1:92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</row>
    <row r="265" spans="1:92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</row>
    <row r="266" spans="1:92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</row>
    <row r="267" spans="1:92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</row>
    <row r="268" spans="1:92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</row>
    <row r="269" spans="1:92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</row>
    <row r="270" spans="1:92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</row>
    <row r="271" spans="1:92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</row>
    <row r="272" spans="1:92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</row>
    <row r="273" spans="1:92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</row>
    <row r="274" spans="1:92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</row>
    <row r="275" spans="1:92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</row>
    <row r="276" spans="1:92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</row>
    <row r="277" spans="1:92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</row>
    <row r="278" spans="1:92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</row>
    <row r="279" spans="1:92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</row>
    <row r="280" spans="1:92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</row>
    <row r="281" spans="1:92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</row>
    <row r="282" spans="1:92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</row>
    <row r="283" spans="1:92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</row>
    <row r="284" spans="1:92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</row>
    <row r="285" spans="1:92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</row>
    <row r="286" spans="1:92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</row>
    <row r="287" spans="1:92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</row>
    <row r="288" spans="1:92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</row>
    <row r="289" spans="1:92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</row>
    <row r="290" spans="1:92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</row>
    <row r="291" spans="1:92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</row>
    <row r="292" spans="1:92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</row>
    <row r="293" spans="1:92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</row>
    <row r="294" spans="1:92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</row>
    <row r="295" spans="1:92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</row>
    <row r="296" spans="1:92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</row>
    <row r="297" spans="1:92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</row>
    <row r="298" spans="1:92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</row>
    <row r="299" spans="1:92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</row>
    <row r="300" spans="1:92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</row>
    <row r="301" spans="1:92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</row>
    <row r="302" spans="1:92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</row>
    <row r="303" spans="1:92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</row>
    <row r="304" spans="1:92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</row>
    <row r="305" spans="1:92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</row>
    <row r="306" spans="1:92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</row>
    <row r="307" spans="1:92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</row>
    <row r="308" spans="1:92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</row>
    <row r="309" spans="1:92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</row>
    <row r="310" spans="1:92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</row>
    <row r="311" spans="1:92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</row>
    <row r="312" spans="1:92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</row>
    <row r="313" spans="1:92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</row>
    <row r="314" spans="1:92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</row>
    <row r="315" spans="1:92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</row>
    <row r="316" spans="1:92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</row>
    <row r="317" spans="1:92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</row>
    <row r="318" spans="1:92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</row>
    <row r="319" spans="1:92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</row>
    <row r="320" spans="1:92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</row>
    <row r="321" spans="1:92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</row>
    <row r="322" spans="1:92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</row>
    <row r="323" spans="1:92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</row>
    <row r="324" spans="1:92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</row>
    <row r="325" spans="1:92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</row>
    <row r="326" spans="1:92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</row>
    <row r="327" spans="1:92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</row>
    <row r="328" spans="1:92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</row>
    <row r="329" spans="1:92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</row>
    <row r="330" spans="1:92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</row>
    <row r="331" spans="1:92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</row>
    <row r="332" spans="1:92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</row>
    <row r="333" spans="1:92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</row>
    <row r="334" spans="1:92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</row>
    <row r="335" spans="1:92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</row>
    <row r="336" spans="1:92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</row>
    <row r="337" spans="1:92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</row>
    <row r="338" spans="1:92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</row>
    <row r="339" spans="1:92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</row>
    <row r="340" spans="1:92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</row>
    <row r="341" spans="1:92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</row>
    <row r="342" spans="1:92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</row>
    <row r="343" spans="1:92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</row>
    <row r="344" spans="1:92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</row>
    <row r="345" spans="1:92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</row>
    <row r="346" spans="1:92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</row>
    <row r="347" spans="1:92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</row>
    <row r="348" spans="1:92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</row>
    <row r="349" spans="1:92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</row>
    <row r="350" spans="1:92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</row>
    <row r="351" spans="1:92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</row>
    <row r="352" spans="1:92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</row>
    <row r="353" spans="1:92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</row>
    <row r="354" spans="1:92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</row>
    <row r="355" spans="1:92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</row>
    <row r="356" spans="1:92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</row>
    <row r="357" spans="1:92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</row>
    <row r="358" spans="1:92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</row>
    <row r="359" spans="1:92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</row>
    <row r="360" spans="1:92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</row>
    <row r="361" spans="1:92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</row>
    <row r="362" spans="1:92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</row>
    <row r="363" spans="1:92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</row>
    <row r="364" spans="1:92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</row>
    <row r="365" spans="1:92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</row>
    <row r="366" spans="1:92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</row>
    <row r="367" spans="1:92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</row>
    <row r="368" spans="1:92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</row>
    <row r="369" spans="1:92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</row>
    <row r="370" spans="1:92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</row>
    <row r="371" spans="1:92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</row>
    <row r="372" spans="1:92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</row>
    <row r="373" spans="1:92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</row>
    <row r="374" spans="1:92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</row>
    <row r="375" spans="1:92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</row>
    <row r="376" spans="1:92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</row>
    <row r="377" spans="1:92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</row>
    <row r="378" spans="1:92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</row>
    <row r="379" spans="1:92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</row>
    <row r="380" spans="1:92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</row>
    <row r="381" spans="1:92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</row>
    <row r="382" spans="1:92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</row>
    <row r="383" spans="1:92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</row>
    <row r="384" spans="1:92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</row>
    <row r="385" spans="1:92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</row>
    <row r="386" spans="1:92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</row>
    <row r="387" spans="1:92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</row>
    <row r="388" spans="1:92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</row>
    <row r="389" spans="1:92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</row>
    <row r="390" spans="1:92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</row>
    <row r="391" spans="1:92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</row>
    <row r="392" spans="1:92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</row>
    <row r="393" spans="1:92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</row>
    <row r="394" spans="1:92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</row>
    <row r="395" spans="1:92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</row>
    <row r="396" spans="1:92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</row>
    <row r="397" spans="1:92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</row>
    <row r="398" spans="1:92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</row>
    <row r="399" spans="1:92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</row>
    <row r="400" spans="1:92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</row>
    <row r="401" spans="1:92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</row>
    <row r="402" spans="1:92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</row>
    <row r="403" spans="1:92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</row>
    <row r="404" spans="1:92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</row>
    <row r="405" spans="1:92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</row>
    <row r="406" spans="1:92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</row>
    <row r="407" spans="1:92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</row>
    <row r="408" spans="1:92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</row>
    <row r="409" spans="1:92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</row>
    <row r="410" spans="1:92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</row>
    <row r="411" spans="1:92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</row>
    <row r="412" spans="1:92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</row>
    <row r="413" spans="1:92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</row>
    <row r="414" spans="1:92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</row>
    <row r="415" spans="1:92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</row>
    <row r="416" spans="1:92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</row>
    <row r="417" spans="1:92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</row>
    <row r="418" spans="1:92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</row>
    <row r="419" spans="1:92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</row>
    <row r="420" spans="1:92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</row>
    <row r="421" spans="1:92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</row>
    <row r="422" spans="1:92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</row>
    <row r="423" spans="1:92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</row>
    <row r="424" spans="1:92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</row>
    <row r="425" spans="1:92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</row>
    <row r="426" spans="1:92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</row>
    <row r="427" spans="1:92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</row>
    <row r="428" spans="1:92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</row>
    <row r="429" spans="1:92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</row>
    <row r="430" spans="1:92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</row>
    <row r="431" spans="1:92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</row>
    <row r="432" spans="1:92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</row>
    <row r="433" spans="1:92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</row>
    <row r="434" spans="1:92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</row>
    <row r="435" spans="1:92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</row>
    <row r="436" spans="1:92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</row>
    <row r="437" spans="1:92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</row>
    <row r="438" spans="1:92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</row>
    <row r="439" spans="1:92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</row>
    <row r="440" spans="1:92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</row>
    <row r="441" spans="1:92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</row>
    <row r="442" spans="1:92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</row>
    <row r="443" spans="1:92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</row>
    <row r="444" spans="1:92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</row>
    <row r="445" spans="1:92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</row>
    <row r="446" spans="1:92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</row>
    <row r="447" spans="1:92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</row>
    <row r="448" spans="1:92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</row>
    <row r="449" spans="1:92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</row>
    <row r="450" spans="1:92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</row>
    <row r="451" spans="1:92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</row>
    <row r="452" spans="1:92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</row>
    <row r="453" spans="1:92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</row>
    <row r="454" spans="1:92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</row>
    <row r="455" spans="1:92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</row>
    <row r="456" spans="1:92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</row>
    <row r="457" spans="1:92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</row>
    <row r="458" spans="1:92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</row>
    <row r="459" spans="1:92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</row>
    <row r="460" spans="1:92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</row>
    <row r="461" spans="1:92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</row>
    <row r="462" spans="1:92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</row>
    <row r="463" spans="1:92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</row>
    <row r="464" spans="1:92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</row>
    <row r="465" spans="1:92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</row>
    <row r="466" spans="1:92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</row>
    <row r="467" spans="1:92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</row>
    <row r="468" spans="1:92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</row>
    <row r="469" spans="1:92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</row>
    <row r="470" spans="1:92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</row>
    <row r="471" spans="1:92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</row>
    <row r="472" spans="1:92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</row>
    <row r="473" spans="1:92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</row>
    <row r="474" spans="1:92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</row>
    <row r="475" spans="1:92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</row>
    <row r="476" spans="1:92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</row>
    <row r="477" spans="1:92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</row>
    <row r="478" spans="1:92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</row>
    <row r="479" spans="1:92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</row>
    <row r="480" spans="1:92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</row>
    <row r="481" spans="1:92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</row>
    <row r="482" spans="1:92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</row>
    <row r="483" spans="1:92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</row>
    <row r="484" spans="1:92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</row>
    <row r="485" spans="1:92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</row>
    <row r="486" spans="1:92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</row>
    <row r="487" spans="1:92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</row>
    <row r="488" spans="1:92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</row>
    <row r="489" spans="1:92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</row>
    <row r="490" spans="1:92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</row>
    <row r="491" spans="1:92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</row>
    <row r="492" spans="1:92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</row>
    <row r="493" spans="1:92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</row>
    <row r="494" spans="1:92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</row>
    <row r="495" spans="1:92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</row>
    <row r="496" spans="1:92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</row>
    <row r="497" spans="1:92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</row>
    <row r="498" spans="1:92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</row>
    <row r="499" spans="1:92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</row>
    <row r="500" spans="1:92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</row>
    <row r="501" spans="1:92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</row>
    <row r="502" spans="1:92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</row>
    <row r="503" spans="1:92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</row>
    <row r="504" spans="1:92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</row>
    <row r="505" spans="1:92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</row>
    <row r="506" spans="1:92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</row>
    <row r="507" spans="1:92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</row>
    <row r="508" spans="1:92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</row>
    <row r="509" spans="1:92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</row>
    <row r="510" spans="1:92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</row>
    <row r="511" spans="1:92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</row>
    <row r="512" spans="1:92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</row>
    <row r="513" spans="1:92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</row>
    <row r="514" spans="1:92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</row>
    <row r="515" spans="1:92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</row>
    <row r="516" spans="1:92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</row>
    <row r="517" spans="1:92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</row>
    <row r="518" spans="1:92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</row>
    <row r="519" spans="1:92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</row>
    <row r="520" spans="1:92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</row>
    <row r="521" spans="1:92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</row>
    <row r="522" spans="1:92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</row>
    <row r="523" spans="1:92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</row>
    <row r="524" spans="1:92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</row>
    <row r="525" spans="1:92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</row>
    <row r="526" spans="1:92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</row>
    <row r="527" spans="1:92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</row>
    <row r="528" spans="1:92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</row>
    <row r="529" spans="1:92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</row>
    <row r="530" spans="1:92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</row>
    <row r="531" spans="1:92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</row>
    <row r="532" spans="1:92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</row>
    <row r="533" spans="1:92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</row>
    <row r="534" spans="1:92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</row>
    <row r="535" spans="1:92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</row>
    <row r="536" spans="1:92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</row>
    <row r="537" spans="1:92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</row>
    <row r="538" spans="1:92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</row>
    <row r="539" spans="1:92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</row>
    <row r="540" spans="1:92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</row>
    <row r="541" spans="1:92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</row>
    <row r="542" spans="1:92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</row>
    <row r="543" spans="1:92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</row>
    <row r="544" spans="1:92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</row>
    <row r="545" spans="1:92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</row>
    <row r="546" spans="1:92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</row>
    <row r="547" spans="1:92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</row>
    <row r="548" spans="1:92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</row>
    <row r="549" spans="1:92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</row>
    <row r="550" spans="1:92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</row>
    <row r="551" spans="1:92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</row>
    <row r="552" spans="1:92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</row>
    <row r="553" spans="1:92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</row>
    <row r="554" spans="1:92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</row>
    <row r="555" spans="1:92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</row>
    <row r="556" spans="1:92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</row>
    <row r="557" spans="1:92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</row>
    <row r="558" spans="1:92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</row>
    <row r="559" spans="1:92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</row>
    <row r="560" spans="1:92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</row>
    <row r="561" spans="1:92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</row>
    <row r="562" spans="1:92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</row>
    <row r="563" spans="1:92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</row>
    <row r="564" spans="1:92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</row>
    <row r="565" spans="1:92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</row>
    <row r="566" spans="1:92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</row>
    <row r="567" spans="1:92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</row>
    <row r="568" spans="1:92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</row>
    <row r="569" spans="1:92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</row>
    <row r="570" spans="1:92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</row>
    <row r="571" spans="1:92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</row>
    <row r="572" spans="1:92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</row>
    <row r="573" spans="1:92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</row>
    <row r="574" spans="1:92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</row>
    <row r="575" spans="1:92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</row>
    <row r="576" spans="1:92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</row>
    <row r="577" spans="1:92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</row>
    <row r="578" spans="1:92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</row>
    <row r="579" spans="1:92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</row>
    <row r="580" spans="1:92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</row>
    <row r="581" spans="1:92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</row>
    <row r="582" spans="1:92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</row>
    <row r="583" spans="1:92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</row>
    <row r="584" spans="1:92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</row>
    <row r="585" spans="1:92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</row>
    <row r="586" spans="1:92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</row>
    <row r="587" spans="1:92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</row>
    <row r="588" spans="1:92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</row>
    <row r="589" spans="1:92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</row>
    <row r="590" spans="1:92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</row>
    <row r="591" spans="1:92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</row>
    <row r="592" spans="1:92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</row>
    <row r="593" spans="1:92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</row>
    <row r="594" spans="1:92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</row>
    <row r="595" spans="1:92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</row>
    <row r="596" spans="1:92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</row>
    <row r="597" spans="1:92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</row>
    <row r="598" spans="1:92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</row>
    <row r="599" spans="1:92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</row>
    <row r="600" spans="1:92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</row>
    <row r="601" spans="1:92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</row>
    <row r="602" spans="1:92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</row>
    <row r="603" spans="1:92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</row>
    <row r="604" spans="1:92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</row>
    <row r="605" spans="1:92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</row>
    <row r="606" spans="1:92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</row>
    <row r="607" spans="1:92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</row>
    <row r="608" spans="1:92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</row>
    <row r="609" spans="1:92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</row>
    <row r="610" spans="1:92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</row>
    <row r="611" spans="1:92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</row>
    <row r="612" spans="1:92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</row>
    <row r="613" spans="1:92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</row>
    <row r="614" spans="1:92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</row>
    <row r="615" spans="1:92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</row>
    <row r="616" spans="1:92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</row>
    <row r="617" spans="1:92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</row>
    <row r="618" spans="1:92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</row>
    <row r="619" spans="1:92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</row>
    <row r="620" spans="1:92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</row>
    <row r="621" spans="1:92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</row>
    <row r="622" spans="1:92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</row>
    <row r="623" spans="1:92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</row>
    <row r="624" spans="1:92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</row>
    <row r="625" spans="1:92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</row>
    <row r="626" spans="1:92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</row>
    <row r="627" spans="1:92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</row>
    <row r="628" spans="1:92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</row>
    <row r="629" spans="1:92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</row>
    <row r="630" spans="1:92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</row>
    <row r="631" spans="1:92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</row>
    <row r="632" spans="1:92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</row>
    <row r="633" spans="1:92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</row>
    <row r="634" spans="1:92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</row>
    <row r="635" spans="1:92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</row>
    <row r="636" spans="1:92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</row>
    <row r="637" spans="1:92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</row>
    <row r="638" spans="1:92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</row>
    <row r="639" spans="1:92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</row>
    <row r="640" spans="1:92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</row>
    <row r="641" spans="1:92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</row>
    <row r="642" spans="1:92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</row>
    <row r="643" spans="1:92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</row>
    <row r="644" spans="1:92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</row>
    <row r="645" spans="1:92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</row>
    <row r="646" spans="1:92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</row>
    <row r="647" spans="1:92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</row>
    <row r="648" spans="1:92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</row>
    <row r="649" spans="1:92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</row>
    <row r="650" spans="1:92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</row>
    <row r="651" spans="1:92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</row>
    <row r="652" spans="1:92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</row>
    <row r="653" spans="1:92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</row>
    <row r="654" spans="1:92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</row>
    <row r="655" spans="1:92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</row>
    <row r="656" spans="1:92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</row>
    <row r="657" spans="1:92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</row>
    <row r="658" spans="1:92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</row>
    <row r="659" spans="1:92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</row>
    <row r="660" spans="1:92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</row>
    <row r="661" spans="1:92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</row>
    <row r="662" spans="1:92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</row>
    <row r="663" spans="1:92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</row>
    <row r="664" spans="1:92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</row>
    <row r="665" spans="1:92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</row>
    <row r="666" spans="1:92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</row>
    <row r="667" spans="1:92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</row>
    <row r="668" spans="1:92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</row>
    <row r="669" spans="1:92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</row>
    <row r="670" spans="1:92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</row>
    <row r="671" spans="1:92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</row>
    <row r="672" spans="1:92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</row>
    <row r="673" spans="1:92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</row>
    <row r="674" spans="1:92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</row>
    <row r="675" spans="1:92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</row>
    <row r="676" spans="1:92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</row>
    <row r="677" spans="1:92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</row>
    <row r="678" spans="1:92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</row>
    <row r="679" spans="1:92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</row>
    <row r="680" spans="1:92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</row>
    <row r="681" spans="1:92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</row>
    <row r="682" spans="1:92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</row>
    <row r="683" spans="1:92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</row>
    <row r="684" spans="1:92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</row>
    <row r="685" spans="1:92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</row>
    <row r="686" spans="1:92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</row>
    <row r="687" spans="1:92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</row>
    <row r="688" spans="1:92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</row>
    <row r="689" spans="1:92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</row>
    <row r="690" spans="1:92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</row>
    <row r="691" spans="1:92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</row>
    <row r="692" spans="1:92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</row>
    <row r="693" spans="1:92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</row>
    <row r="694" spans="1:92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</row>
    <row r="695" spans="1:92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</row>
    <row r="696" spans="1:92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</row>
    <row r="697" spans="1:92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</row>
    <row r="698" spans="1:92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</row>
    <row r="699" spans="1:92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</row>
    <row r="700" spans="1:92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</row>
    <row r="701" spans="1:92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</row>
    <row r="702" spans="1:92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</row>
    <row r="703" spans="1:92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</row>
    <row r="704" spans="1:92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</row>
    <row r="705" spans="1:92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</row>
    <row r="706" spans="1:92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</row>
    <row r="707" spans="1:92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</row>
    <row r="708" spans="1:92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</row>
    <row r="709" spans="1:92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</row>
    <row r="710" spans="1:92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</row>
    <row r="711" spans="1:92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</row>
    <row r="712" spans="1:92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</row>
    <row r="713" spans="1:92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</row>
    <row r="714" spans="1:92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</row>
    <row r="715" spans="1:92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</row>
    <row r="716" spans="1:92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</row>
    <row r="717" spans="1:92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</row>
    <row r="718" spans="1:92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</row>
    <row r="719" spans="1:92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</row>
    <row r="720" spans="1:92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</row>
    <row r="721" spans="1:92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</row>
    <row r="722" spans="1:92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</row>
    <row r="723" spans="1:92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</row>
    <row r="724" spans="1:92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</row>
    <row r="725" spans="1:92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</row>
    <row r="726" spans="1:92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</row>
    <row r="727" spans="1:92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</row>
    <row r="728" spans="1:92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</row>
    <row r="729" spans="1:92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</row>
    <row r="730" spans="1:92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</row>
    <row r="731" spans="1:92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</row>
    <row r="732" spans="1:92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</row>
    <row r="733" spans="1:92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</row>
    <row r="734" spans="1:92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</row>
    <row r="735" spans="1:92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</row>
    <row r="736" spans="1:92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</row>
    <row r="737" spans="1:92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</row>
    <row r="738" spans="1:92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</row>
    <row r="739" spans="1:92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</row>
    <row r="740" spans="1:92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</row>
    <row r="741" spans="1:92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</row>
    <row r="742" spans="1:92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</row>
    <row r="743" spans="1:92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</row>
    <row r="744" spans="1:92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</row>
    <row r="745" spans="1:92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</row>
    <row r="746" spans="1:92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</row>
    <row r="747" spans="1:92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</row>
    <row r="748" spans="1:92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</row>
    <row r="749" spans="1:92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</row>
    <row r="750" spans="1:92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</row>
    <row r="751" spans="1:92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</row>
    <row r="752" spans="1:92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</row>
    <row r="753" spans="1:92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</row>
    <row r="754" spans="1:92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</row>
    <row r="755" spans="1:92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</row>
    <row r="756" spans="1:92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</row>
    <row r="757" spans="1:92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</row>
    <row r="758" spans="1:92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</row>
    <row r="759" spans="1:92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</row>
    <row r="760" spans="1:92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</row>
    <row r="761" spans="1:92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</row>
    <row r="762" spans="1:92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</row>
    <row r="763" spans="1:92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</row>
    <row r="764" spans="1:92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</row>
    <row r="765" spans="1:92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</row>
    <row r="766" spans="1:92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</row>
    <row r="767" spans="1:92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</row>
    <row r="768" spans="1:92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</row>
    <row r="769" spans="1:92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</row>
    <row r="770" spans="1:92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</row>
    <row r="771" spans="1:92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</row>
    <row r="772" spans="1:92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</row>
    <row r="773" spans="1:92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</row>
    <row r="774" spans="1:92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</row>
    <row r="775" spans="1:92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</row>
    <row r="776" spans="1:92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</row>
    <row r="777" spans="1:92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</row>
    <row r="778" spans="1:92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</row>
    <row r="779" spans="1:92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</row>
    <row r="780" spans="1:92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</row>
    <row r="781" spans="1:92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</row>
    <row r="782" spans="1:92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</row>
    <row r="783" spans="1:92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</row>
    <row r="784" spans="1:92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</row>
    <row r="785" spans="1:92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</row>
    <row r="786" spans="1:92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</row>
    <row r="787" spans="1:92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</row>
    <row r="788" spans="1:92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</row>
    <row r="789" spans="1:92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</row>
    <row r="790" spans="1:92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</row>
    <row r="791" spans="1:92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</row>
    <row r="792" spans="1:92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</row>
    <row r="793" spans="1:92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</row>
    <row r="794" spans="1:92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</row>
    <row r="795" spans="1:92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</row>
    <row r="796" spans="1:92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</row>
    <row r="797" spans="1:92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</row>
    <row r="798" spans="1:92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</row>
    <row r="799" spans="1:92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</row>
    <row r="800" spans="1:92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</row>
    <row r="801" spans="1:92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</row>
    <row r="802" spans="1:92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</row>
    <row r="803" spans="1:92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</row>
    <row r="804" spans="1:92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</row>
    <row r="805" spans="1:92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</row>
    <row r="806" spans="1:92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</row>
    <row r="807" spans="1:92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</row>
    <row r="808" spans="1:92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</row>
    <row r="809" spans="1:92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</row>
    <row r="810" spans="1:92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</row>
    <row r="811" spans="1:92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</row>
    <row r="812" spans="1:92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</row>
    <row r="813" spans="1:92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</row>
    <row r="814" spans="1:92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</row>
    <row r="815" spans="1:92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</row>
    <row r="816" spans="1:92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</row>
    <row r="817" spans="1:92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</row>
    <row r="818" spans="1:92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</row>
    <row r="819" spans="1:92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</row>
    <row r="820" spans="1:92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</row>
    <row r="821" spans="1:92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</row>
    <row r="822" spans="1:92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</row>
    <row r="823" spans="1:92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</row>
    <row r="824" spans="1:92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</row>
    <row r="825" spans="1:92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</row>
    <row r="826" spans="1:92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</row>
    <row r="827" spans="1:92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</row>
    <row r="828" spans="1:92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</row>
    <row r="829" spans="1:92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</row>
    <row r="830" spans="1:92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</row>
    <row r="831" spans="1:92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</row>
    <row r="832" spans="1:92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</row>
    <row r="833" spans="1:92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</row>
    <row r="834" spans="1:92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</row>
    <row r="835" spans="1:92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</row>
    <row r="836" spans="1:92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</row>
    <row r="837" spans="1:92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</row>
    <row r="838" spans="1:92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</row>
    <row r="839" spans="1:92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</row>
    <row r="840" spans="1:92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</row>
    <row r="841" spans="1:92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</row>
    <row r="842" spans="1:92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</row>
    <row r="843" spans="1:92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</row>
    <row r="844" spans="1:92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</row>
    <row r="845" spans="1:92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</row>
    <row r="846" spans="1:92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</row>
    <row r="847" spans="1:92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</row>
    <row r="848" spans="1:92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</row>
    <row r="849" spans="1:92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</row>
    <row r="850" spans="1:92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</row>
    <row r="851" spans="1:92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</row>
    <row r="852" spans="1:92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</row>
    <row r="853" spans="1:92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</row>
    <row r="854" spans="1:92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</row>
    <row r="855" spans="1:92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</row>
    <row r="856" spans="1:92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</row>
    <row r="857" spans="1:92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</row>
    <row r="858" spans="1:92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</row>
    <row r="859" spans="1:92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</row>
    <row r="860" spans="1:92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</row>
    <row r="861" spans="1:92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</row>
    <row r="862" spans="1:92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</row>
    <row r="863" spans="1:92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</row>
    <row r="864" spans="1:92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</row>
    <row r="865" spans="1:92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</row>
    <row r="866" spans="1:92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</row>
    <row r="867" spans="1:92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</row>
    <row r="868" spans="1:92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</row>
    <row r="869" spans="1:92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</row>
    <row r="870" spans="1:92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</row>
    <row r="871" spans="1:92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</row>
    <row r="872" spans="1:92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</row>
    <row r="873" spans="1:92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</row>
    <row r="874" spans="1:92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</row>
    <row r="875" spans="1:92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</row>
    <row r="876" spans="1:92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</row>
    <row r="877" spans="1:92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</row>
    <row r="878" spans="1:92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</row>
    <row r="879" spans="1:92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</row>
    <row r="880" spans="1:92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</row>
    <row r="881" spans="1:92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</row>
    <row r="882" spans="1:92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</row>
    <row r="883" spans="1:92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</row>
    <row r="884" spans="1:92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</row>
    <row r="885" spans="1:92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</row>
    <row r="886" spans="1:92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</row>
    <row r="887" spans="1:92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</row>
    <row r="888" spans="1:92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</row>
    <row r="889" spans="1:92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</row>
    <row r="890" spans="1:92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</row>
    <row r="891" spans="1:92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</row>
    <row r="892" spans="1:92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</row>
    <row r="893" spans="1:92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</row>
    <row r="894" spans="1:92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</row>
    <row r="895" spans="1:92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</row>
    <row r="896" spans="1:92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</row>
    <row r="897" spans="1:92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</row>
    <row r="898" spans="1:92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</row>
    <row r="899" spans="1:92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</row>
    <row r="900" spans="1:92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</row>
    <row r="901" spans="1:92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</row>
    <row r="902" spans="1:92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</row>
    <row r="903" spans="1:92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</row>
    <row r="904" spans="1:92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</row>
    <row r="905" spans="1:92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</row>
    <row r="906" spans="1:92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</row>
    <row r="907" spans="1:92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</row>
    <row r="908" spans="1:92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</row>
    <row r="909" spans="1:92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</row>
    <row r="910" spans="1:92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</row>
    <row r="911" spans="1:92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</row>
    <row r="912" spans="1:92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</row>
    <row r="913" spans="1:92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</row>
    <row r="914" spans="1:92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</row>
    <row r="915" spans="1:92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</row>
    <row r="916" spans="1:92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</row>
    <row r="917" spans="1:92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</row>
    <row r="918" spans="1:92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</row>
    <row r="919" spans="1:92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</row>
    <row r="920" spans="1:92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</row>
    <row r="921" spans="1:92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</row>
    <row r="922" spans="1:92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</row>
    <row r="923" spans="1:92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</row>
    <row r="924" spans="1:92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</row>
    <row r="925" spans="1:92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</row>
    <row r="926" spans="1:92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</row>
    <row r="927" spans="1:92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</row>
    <row r="928" spans="1:92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</row>
    <row r="929" spans="1:92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</row>
    <row r="930" spans="1:92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</row>
    <row r="931" spans="1:92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</row>
    <row r="932" spans="1:92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</row>
    <row r="933" spans="1:92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</row>
    <row r="934" spans="1:92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</row>
    <row r="935" spans="1:92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</row>
    <row r="936" spans="1:92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</row>
    <row r="937" spans="1:92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</row>
    <row r="938" spans="1:92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</row>
    <row r="939" spans="1:92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</row>
    <row r="940" spans="1:92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</row>
    <row r="941" spans="1:92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</row>
    <row r="942" spans="1:92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</row>
    <row r="943" spans="1:92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</row>
    <row r="944" spans="1:92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</row>
    <row r="945" spans="1:92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</row>
    <row r="946" spans="1:92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</row>
    <row r="947" spans="1:92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</row>
    <row r="948" spans="1:92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</row>
    <row r="949" spans="1:92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</row>
    <row r="950" spans="1:92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</row>
    <row r="951" spans="1:92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</row>
    <row r="952" spans="1:92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</row>
    <row r="953" spans="1:92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</row>
    <row r="954" spans="1:92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</row>
    <row r="955" spans="1:92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</row>
    <row r="956" spans="1:92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</row>
    <row r="957" spans="1:92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</row>
    <row r="958" spans="1:92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</row>
    <row r="959" spans="1:92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</row>
  </sheetData>
  <mergeCells count="11">
    <mergeCell ref="AI2:AL2"/>
    <mergeCell ref="AA2:AD2"/>
    <mergeCell ref="B2:B3"/>
    <mergeCell ref="AE2:AH2"/>
    <mergeCell ref="C4:AH4"/>
    <mergeCell ref="C2:F2"/>
    <mergeCell ref="G2:J2"/>
    <mergeCell ref="K2:N2"/>
    <mergeCell ref="O2:R2"/>
    <mergeCell ref="S2:V2"/>
    <mergeCell ref="W2:Z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1A96-4510-434E-B248-05099F8EFF73}">
  <dimension ref="B2:C10"/>
  <sheetViews>
    <sheetView workbookViewId="0">
      <selection activeCell="C3" sqref="C3:C10"/>
    </sheetView>
  </sheetViews>
  <sheetFormatPr baseColWidth="10" defaultColWidth="11" defaultRowHeight="16" x14ac:dyDescent="0.2"/>
  <cols>
    <col min="3" max="3" width="14.5" customWidth="1"/>
  </cols>
  <sheetData>
    <row r="2" spans="2:3" x14ac:dyDescent="0.2">
      <c r="B2" t="s">
        <v>10</v>
      </c>
    </row>
    <row r="3" spans="2:3" x14ac:dyDescent="0.2">
      <c r="C3" t="s">
        <v>1</v>
      </c>
    </row>
    <row r="4" spans="2:3" x14ac:dyDescent="0.2">
      <c r="C4" t="s">
        <v>2</v>
      </c>
    </row>
    <row r="5" spans="2:3" x14ac:dyDescent="0.2">
      <c r="C5" t="s">
        <v>3</v>
      </c>
    </row>
    <row r="6" spans="2:3" x14ac:dyDescent="0.2">
      <c r="C6" t="s">
        <v>4</v>
      </c>
    </row>
    <row r="7" spans="2:3" x14ac:dyDescent="0.2">
      <c r="C7" t="s">
        <v>5</v>
      </c>
    </row>
    <row r="8" spans="2:3" x14ac:dyDescent="0.2">
      <c r="C8" t="s">
        <v>6</v>
      </c>
    </row>
    <row r="9" spans="2:3" x14ac:dyDescent="0.2">
      <c r="C9" t="s">
        <v>7</v>
      </c>
    </row>
    <row r="10" spans="2:3" x14ac:dyDescent="0.2">
      <c r="C10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1" ma:contentTypeDescription="Create a new document." ma:contentTypeScope="" ma:versionID="3808e973d7153a8813c7091755cd1578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8c692b5026681e53155144faee3cce8b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FF7312-2902-4D20-B3FE-7272135C7087}"/>
</file>

<file path=customXml/itemProps2.xml><?xml version="1.0" encoding="utf-8"?>
<ds:datastoreItem xmlns:ds="http://schemas.openxmlformats.org/officeDocument/2006/customXml" ds:itemID="{B43450E3-0FC7-4045-B770-F47DA8BDF766}">
  <ds:schemaRefs>
    <ds:schemaRef ds:uri="http://schemas.microsoft.com/office/2006/metadata/properties"/>
    <ds:schemaRef ds:uri="http://schemas.microsoft.com/office/infopath/2007/PartnerControls"/>
    <ds:schemaRef ds:uri="afac2bbc-7fd2-4c11-8da9-7ee81a11d4f9"/>
    <ds:schemaRef ds:uri="7d5778a7-5daa-4a48-a028-902eb3785430"/>
  </ds:schemaRefs>
</ds:datastoreItem>
</file>

<file path=customXml/itemProps3.xml><?xml version="1.0" encoding="utf-8"?>
<ds:datastoreItem xmlns:ds="http://schemas.openxmlformats.org/officeDocument/2006/customXml" ds:itemID="{3C0B5AB7-5D3D-40D1-ABFC-2833C94D5A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Resource</vt:lpstr>
      <vt:lpstr>Calsheet</vt:lpstr>
      <vt:lpstr>Timeline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Somsunh Somburanayut</dc:creator>
  <cp:keywords/>
  <dc:description/>
  <cp:lastModifiedBy>Somsunh Somburanayut</cp:lastModifiedBy>
  <cp:revision/>
  <dcterms:created xsi:type="dcterms:W3CDTF">2026-01-19T03:17:39Z</dcterms:created>
  <dcterms:modified xsi:type="dcterms:W3CDTF">2026-03-19T11:06:10Z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  <property fmtid="{D5CDD505-2E9C-101B-9397-08002B2CF9AE}" pid="3" name="MediaServiceImageTags">
    <vt:lpwstr/>
  </property>
</Properties>
</file>