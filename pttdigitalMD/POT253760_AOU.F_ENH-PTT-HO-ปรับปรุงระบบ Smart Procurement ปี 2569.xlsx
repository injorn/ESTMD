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ttgrp.sharepoint.com/sites/NewSmartContract/Shared Documents/General/00_Phase 8/01_ตั้งงบประมาณพัฒนาระบบ Smart Procurement ปี 2569/"/>
    </mc:Choice>
  </mc:AlternateContent>
  <xr:revisionPtr revIDLastSave="2470" documentId="13_ncr:1_{30BDAB28-FBFB-4EE4-A790-BCC246D56B86}" xr6:coauthVersionLast="47" xr6:coauthVersionMax="47" xr10:uidLastSave="{5D47AF7B-077D-49AE-B007-7E8B09BCE0AC}"/>
  <bookViews>
    <workbookView xWindow="0" yWindow="640" windowWidth="28800" windowHeight="15480" xr2:uid="{00000000-000D-0000-FFFF-FFFF00000000}"/>
  </bookViews>
  <sheets>
    <sheet name="Resource_Release" sheetId="21" r:id="rId1"/>
    <sheet name="PTTDigital_Manday_Release" sheetId="9" r:id="rId2"/>
    <sheet name="API" sheetId="23" r:id="rId3"/>
    <sheet name="Requirements" sheetId="22" r:id="rId4"/>
    <sheet name="Project Timeline" sheetId="15" r:id="rId5"/>
    <sheet name="Performance Tuning" sheetId="18" r:id="rId6"/>
    <sheet name="POT_Summary" sheetId="16" r:id="rId7"/>
  </sheets>
  <definedNames>
    <definedName name="_xlnm._FilterDatabase" localSheetId="5" hidden="1">'Performance Tuning'!$A$1:$I$1</definedName>
    <definedName name="_xlnm._FilterDatabase" localSheetId="3" hidden="1">Requirements!$B$1:$T$1</definedName>
    <definedName name="LstLevel">#REF!</definedName>
    <definedName name="LstStaff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9" l="1"/>
  <c r="U37" i="22"/>
  <c r="U32" i="22"/>
  <c r="U31" i="22"/>
  <c r="U30" i="22"/>
  <c r="S2" i="22"/>
  <c r="J26" i="22"/>
  <c r="O44" i="22"/>
  <c r="O43" i="22"/>
  <c r="O45" i="22"/>
  <c r="N42" i="22"/>
  <c r="N45" i="22" s="1"/>
  <c r="R37" i="22"/>
  <c r="R38" i="22" s="1"/>
  <c r="Q37" i="22"/>
  <c r="Q38" i="22" s="1"/>
  <c r="P37" i="22"/>
  <c r="P38" i="22" s="1"/>
  <c r="O37" i="22"/>
  <c r="O38" i="22" s="1"/>
  <c r="T38" i="22" s="1"/>
  <c r="N37" i="22"/>
  <c r="N38" i="22" s="1"/>
  <c r="M37" i="22"/>
  <c r="M38" i="22" s="1"/>
  <c r="J12" i="22"/>
  <c r="S4" i="22"/>
  <c r="T4" i="22" s="1"/>
  <c r="S36" i="22"/>
  <c r="T36" i="22" s="1"/>
  <c r="S35" i="22"/>
  <c r="T35" i="22" s="1"/>
  <c r="S34" i="22"/>
  <c r="T34" i="22" s="1"/>
  <c r="T37" i="22" s="1"/>
  <c r="S33" i="22"/>
  <c r="T33" i="22" s="1"/>
  <c r="S32" i="22"/>
  <c r="T32" i="22" s="1"/>
  <c r="S31" i="22"/>
  <c r="T31" i="22" s="1"/>
  <c r="S30" i="22"/>
  <c r="T30" i="22" s="1"/>
  <c r="S29" i="22"/>
  <c r="T29" i="22" s="1"/>
  <c r="S28" i="22"/>
  <c r="T28" i="22" s="1"/>
  <c r="S27" i="22"/>
  <c r="T27" i="22" s="1"/>
  <c r="S26" i="22"/>
  <c r="T26" i="22" s="1"/>
  <c r="S25" i="22"/>
  <c r="T25" i="22" s="1"/>
  <c r="S24" i="22"/>
  <c r="T24" i="22" s="1"/>
  <c r="S23" i="22"/>
  <c r="T23" i="22" s="1"/>
  <c r="S22" i="22"/>
  <c r="T22" i="22" s="1"/>
  <c r="S21" i="22"/>
  <c r="T21" i="22" s="1"/>
  <c r="S20" i="22"/>
  <c r="T20" i="22" s="1"/>
  <c r="S19" i="22"/>
  <c r="T19" i="22" s="1"/>
  <c r="S18" i="22"/>
  <c r="T18" i="22" s="1"/>
  <c r="S17" i="22"/>
  <c r="T17" i="22" s="1"/>
  <c r="S16" i="22"/>
  <c r="T16" i="22" s="1"/>
  <c r="S15" i="22"/>
  <c r="T15" i="22" s="1"/>
  <c r="S14" i="22"/>
  <c r="T14" i="22" s="1"/>
  <c r="S13" i="22"/>
  <c r="T13" i="22" s="1"/>
  <c r="S12" i="22"/>
  <c r="T12" i="22" s="1"/>
  <c r="S11" i="22"/>
  <c r="T11" i="22" s="1"/>
  <c r="S10" i="22"/>
  <c r="T10" i="22" s="1"/>
  <c r="S9" i="22"/>
  <c r="T9" i="22" s="1"/>
  <c r="S8" i="22"/>
  <c r="T8" i="22" s="1"/>
  <c r="S7" i="22"/>
  <c r="T7" i="22" s="1"/>
  <c r="S6" i="22"/>
  <c r="T6" i="22" s="1"/>
  <c r="S5" i="22"/>
  <c r="T5" i="22" s="1"/>
  <c r="S3" i="22"/>
  <c r="T3" i="22" s="1"/>
  <c r="L41" i="9"/>
  <c r="U38" i="22" l="1"/>
  <c r="T2" i="22"/>
  <c r="L5" i="9"/>
  <c r="L45" i="9"/>
  <c r="I13" i="21"/>
  <c r="I12" i="21"/>
  <c r="I5" i="21"/>
  <c r="I6" i="21"/>
  <c r="I7" i="21"/>
  <c r="I8" i="21"/>
  <c r="I9" i="21"/>
  <c r="I10" i="21"/>
  <c r="I11" i="21"/>
  <c r="I15" i="21"/>
  <c r="I16" i="21"/>
  <c r="I17" i="21"/>
  <c r="J36" i="22"/>
  <c r="J35" i="22"/>
  <c r="J34" i="22"/>
  <c r="J33" i="22"/>
  <c r="I32" i="22"/>
  <c r="I31" i="22"/>
  <c r="I30" i="22"/>
  <c r="I37" i="22" s="1"/>
  <c r="J29" i="22"/>
  <c r="J28" i="22"/>
  <c r="J27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1" i="22"/>
  <c r="J10" i="22"/>
  <c r="J9" i="22"/>
  <c r="J8" i="22"/>
  <c r="J7" i="22"/>
  <c r="J6" i="22"/>
  <c r="J5" i="22"/>
  <c r="J4" i="22"/>
  <c r="J3" i="22"/>
  <c r="J2" i="22"/>
  <c r="I4" i="21"/>
  <c r="G14" i="21"/>
  <c r="I14" i="21" s="1"/>
  <c r="G18" i="21"/>
  <c r="J30" i="22" l="1"/>
  <c r="J31" i="22"/>
  <c r="J32" i="22"/>
  <c r="I18" i="21"/>
  <c r="I22" i="21" s="1"/>
  <c r="G2" i="16" s="1"/>
  <c r="E41" i="9"/>
  <c r="E5" i="9" s="1"/>
  <c r="O41" i="9"/>
  <c r="O45" i="9" s="1"/>
  <c r="P41" i="9"/>
  <c r="P45" i="9" s="1"/>
  <c r="M41" i="9"/>
  <c r="M45" i="9" s="1"/>
  <c r="I41" i="9"/>
  <c r="I45" i="9" s="1"/>
  <c r="H41" i="9"/>
  <c r="H45" i="9" s="1"/>
  <c r="J41" i="9"/>
  <c r="J45" i="9" s="1"/>
  <c r="K41" i="9"/>
  <c r="K5" i="9" s="1"/>
  <c r="N41" i="9"/>
  <c r="N5" i="9" s="1"/>
  <c r="E45" i="9" l="1"/>
  <c r="O5" i="9"/>
  <c r="P5" i="9"/>
  <c r="M5" i="9"/>
  <c r="H5" i="9"/>
  <c r="I5" i="9"/>
  <c r="J5" i="9"/>
  <c r="N45" i="9"/>
  <c r="K45" i="9"/>
  <c r="F41" i="9" l="1"/>
  <c r="F45" i="9" s="1"/>
  <c r="F5" i="9" l="1"/>
  <c r="G41" i="9" l="1"/>
  <c r="G45" i="9" l="1"/>
  <c r="G5" i="9"/>
  <c r="D41" i="9" l="1"/>
  <c r="D5" i="9" l="1"/>
  <c r="D4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Pimsupak Tammalakkhana</author>
  </authors>
  <commentList>
    <comment ref="H3" authorId="0" shapeId="0" xr:uid="{95B8859C-CE9F-C646-9422-ED658AE93D8E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ให้ใส่</t>
        </r>
        <r>
          <rPr>
            <sz val="9"/>
            <color rgb="FF000000"/>
            <rFont val="Tahoma"/>
            <family val="2"/>
          </rPr>
          <t xml:space="preserve"> Cost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PM </t>
        </r>
        <r>
          <rPr>
            <sz val="9"/>
            <color rgb="FF000000"/>
            <rFont val="Tahoma"/>
            <family val="2"/>
          </rPr>
          <t>ไม่ทราบให้ว่างไว้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C24" authorId="0" shapeId="0" xr:uid="{079CB968-20D7-7F42-A418-02EC93449029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ระบุค่าเดินทาง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Project </t>
        </r>
        <r>
          <rPr>
            <sz val="9"/>
            <color rgb="FF000000"/>
            <rFont val="Tahoma"/>
            <family val="2"/>
          </rPr>
          <t>ไหนต้องย่อยรายละเอียดการเดินทางแยก</t>
        </r>
        <r>
          <rPr>
            <sz val="9"/>
            <color rgb="FF000000"/>
            <rFont val="Tahoma"/>
            <family val="2"/>
          </rPr>
          <t xml:space="preserve"> Sheet Declare </t>
        </r>
        <r>
          <rPr>
            <sz val="9"/>
            <color rgb="FF000000"/>
            <rFont val="Tahoma"/>
            <family val="2"/>
          </rPr>
          <t>มาอีกอัน</t>
        </r>
      </text>
    </comment>
  </commentList>
</comments>
</file>

<file path=xl/sharedStrings.xml><?xml version="1.0" encoding="utf-8"?>
<sst xmlns="http://schemas.openxmlformats.org/spreadsheetml/2006/main" count="576" uniqueCount="358">
  <si>
    <t>Team Information</t>
  </si>
  <si>
    <t>Total Manday (Day)</t>
  </si>
  <si>
    <t>No.</t>
  </si>
  <si>
    <t>Emp Code</t>
  </si>
  <si>
    <t>Name</t>
  </si>
  <si>
    <t>Type</t>
  </si>
  <si>
    <t>Role</t>
  </si>
  <si>
    <t>Level</t>
  </si>
  <si>
    <t>Planned (Day)</t>
  </si>
  <si>
    <t>Manday Rate (Baht)</t>
  </si>
  <si>
    <t>Manday (Baht)</t>
  </si>
  <si>
    <t>คุณภาณุมาศ ชลิศพราพงศ์</t>
  </si>
  <si>
    <t>Outsource</t>
  </si>
  <si>
    <t>Project Manager</t>
  </si>
  <si>
    <t>Senior Officer</t>
  </si>
  <si>
    <t>คุณอัตยะ แก้วชัย</t>
  </si>
  <si>
    <t>System Analyst</t>
  </si>
  <si>
    <t>Officer</t>
  </si>
  <si>
    <t>คุณกาญจนา วัฒนา</t>
  </si>
  <si>
    <t>Business Anakyst</t>
  </si>
  <si>
    <t>คุณวรินรำไพ ไชยยนต์</t>
  </si>
  <si>
    <t>BA</t>
  </si>
  <si>
    <t>คุณศุภกานต์ สระแก้ว</t>
  </si>
  <si>
    <t>BA&amp;Tester</t>
  </si>
  <si>
    <t>คุณเดชาพจน์ สุคันธรส</t>
  </si>
  <si>
    <t>Tech. Lead/Developer</t>
  </si>
  <si>
    <t>คุณเจตพัฒน์ ทิตอร่าม</t>
  </si>
  <si>
    <t>Developer</t>
  </si>
  <si>
    <t>คุณกริชนะยุทธ บุญหนุน</t>
  </si>
  <si>
    <t>คุณณัฐชา ตังศิริรัตน์</t>
  </si>
  <si>
    <t>PTT Digital</t>
  </si>
  <si>
    <t>SAP Functional</t>
  </si>
  <si>
    <t>คุณพัชร มีสวัสดิ์</t>
  </si>
  <si>
    <t>DevOps</t>
  </si>
  <si>
    <t>คุณภานุวัฒน์ ไผ่ตาแก้ว</t>
  </si>
  <si>
    <t>API Services</t>
  </si>
  <si>
    <t>ศิริณัฏฐ์ วัฒนากิจสกุล</t>
  </si>
  <si>
    <t>Technical Review</t>
  </si>
  <si>
    <t>คุณชาญวุฒิ ช่างการ</t>
  </si>
  <si>
    <t>Security Scan</t>
  </si>
  <si>
    <t>คุณสินวิสาข์ เนียมจั่น</t>
  </si>
  <si>
    <t>QA, QC</t>
  </si>
  <si>
    <t>Total</t>
  </si>
  <si>
    <t>Other Information</t>
  </si>
  <si>
    <t>Total Amount (Baht)</t>
  </si>
  <si>
    <t>Hardware</t>
  </si>
  <si>
    <t>-</t>
  </si>
  <si>
    <t>Software DevOps (Size S/10เดือน)</t>
  </si>
  <si>
    <t>รวม ค่าบริการอื่น ๆ แล้ว</t>
  </si>
  <si>
    <t>License</t>
  </si>
  <si>
    <t>Allowance</t>
  </si>
  <si>
    <t>ค่าดำเนินโครงการโดยที่ปรึกษาภายนอก</t>
  </si>
  <si>
    <t>POT211011  ENH-Digital Procurement Project : พัฒนาปรับปรุงระบบ Smart Procurement ประจำปี 2564</t>
  </si>
  <si>
    <t>(ระยะเวลาโครงการ …285…. วัน)</t>
  </si>
  <si>
    <t>Of1</t>
  </si>
  <si>
    <t>Phase</t>
  </si>
  <si>
    <t>Details</t>
  </si>
  <si>
    <t>Deliverables</t>
  </si>
  <si>
    <t>คุณภาณุมาศ ชลิศราพงศ์</t>
  </si>
  <si>
    <t>กริชนะยุทธ บุญหนุน</t>
  </si>
  <si>
    <t>Business Development</t>
  </si>
  <si>
    <t>Gather Initial Requirements</t>
  </si>
  <si>
    <t>Proposal</t>
  </si>
  <si>
    <t>Vendor Selection</t>
  </si>
  <si>
    <t>Impact analyst</t>
  </si>
  <si>
    <t>Project Planning</t>
  </si>
  <si>
    <t>Kick-Off Meeting</t>
  </si>
  <si>
    <t>Create Project Plan, Other Plans and Integrate to Project Plan</t>
  </si>
  <si>
    <t>Prepare and setup Development Environment</t>
  </si>
  <si>
    <t>Requirement Development</t>
  </si>
  <si>
    <t>Peer Review Requirement Specification</t>
  </si>
  <si>
    <t>SRS,
Function Spec</t>
  </si>
  <si>
    <t>Confirm Requirement Specification with Customer</t>
  </si>
  <si>
    <t>Sign off Requirement Specification</t>
  </si>
  <si>
    <t>Create Baseline for Design(CM)</t>
  </si>
  <si>
    <t>Design</t>
  </si>
  <si>
    <t>Peer Review Design Specification</t>
  </si>
  <si>
    <t>Sign-Off Requirement Specification</t>
  </si>
  <si>
    <t>Clarify Design</t>
  </si>
  <si>
    <t>Sign off Design Specification</t>
  </si>
  <si>
    <t>Peer Review Technical Specification</t>
  </si>
  <si>
    <t>Software Development</t>
  </si>
  <si>
    <t>Peer Review Software Implementation &amp; Unit Test</t>
  </si>
  <si>
    <t>Test Script/ Test Result
,Sign-Off UAT</t>
  </si>
  <si>
    <t>Create Baseline for Testing</t>
  </si>
  <si>
    <t>Integration Test (SIT)</t>
  </si>
  <si>
    <t>Train The Trainer &amp; User Acceptance Test (UAT)</t>
  </si>
  <si>
    <t>Sign-Off UAT</t>
  </si>
  <si>
    <t xml:space="preserve">Perform Security Test </t>
  </si>
  <si>
    <t>Create Baseline for Final Preparation</t>
  </si>
  <si>
    <t>Development **</t>
  </si>
  <si>
    <t>Final Preparation</t>
  </si>
  <si>
    <t>Develop Deployment Plan &amp; Readiness Checklist</t>
  </si>
  <si>
    <t>User Manual,
Training Materials</t>
  </si>
  <si>
    <t>Create release documents</t>
  </si>
  <si>
    <t>Prepare and conduct Training</t>
  </si>
  <si>
    <t>Prepare and perform Data migration/conversion</t>
  </si>
  <si>
    <t>Prepare and setup Production Environment</t>
  </si>
  <si>
    <t>Technical Training</t>
  </si>
  <si>
    <t xml:space="preserve">Create Final Baseline </t>
  </si>
  <si>
    <t>Project Closure</t>
  </si>
  <si>
    <t>Go-live Support and Go-live Sign off</t>
  </si>
  <si>
    <t>Sign-Off GO Live</t>
  </si>
  <si>
    <t>Evaluate supplier/vendor</t>
  </si>
  <si>
    <t>Survey Customer Satisfaction</t>
  </si>
  <si>
    <t>Create Project closure report and Completion sign-off</t>
  </si>
  <si>
    <t>Junior = 8,500 per day</t>
  </si>
  <si>
    <t xml:space="preserve"> </t>
  </si>
  <si>
    <t>Digital Rev</t>
  </si>
  <si>
    <t>Senior = 14,000 per day</t>
  </si>
  <si>
    <t>Rev/ Day</t>
  </si>
  <si>
    <t>Summary</t>
  </si>
  <si>
    <t>API Name</t>
  </si>
  <si>
    <t>Detail</t>
  </si>
  <si>
    <t>PTT_PW_ANNOUNCEFILE</t>
  </si>
  <si>
    <t>Edit</t>
  </si>
  <si>
    <t>ส่งเอกสารประกาศไปที่ Procurement Website</t>
  </si>
  <si>
    <t>PTT_PW_SendDataAnnouncement</t>
  </si>
  <si>
    <t>สำหรับแจ้งประกาศงานพัสดุ ไปที่ Procurement Website</t>
  </si>
  <si>
    <t>PTT_PW_requestanounce</t>
  </si>
  <si>
    <t>สำหรับแจ้งประกาศงานพาณิชย์ ไปที่ PWProcurement Website</t>
  </si>
  <si>
    <t>PTT_VM_ReceiveAnnouncement</t>
  </si>
  <si>
    <t>รับข้อมูลประกาศและรายการผู้ค้ากลุ่มงาน AVL จากระบบ Smart Procurement เพื่อแจ้งเตือนให้เข้าร่วมซื้อแบบและยื่นซอง</t>
  </si>
  <si>
    <t>Ref. No</t>
  </si>
  <si>
    <t>No</t>
  </si>
  <si>
    <t>Proposal ID</t>
  </si>
  <si>
    <t>โมดูล</t>
  </si>
  <si>
    <t>Requirement Detail</t>
  </si>
  <si>
    <t>Raise By</t>
  </si>
  <si>
    <t>Internal Remark</t>
  </si>
  <si>
    <t>รอบที่ 3 (Final)
(15 ก.ย. 68)</t>
  </si>
  <si>
    <t>นจ. Priority</t>
  </si>
  <si>
    <t>อธิบายว่าทำไม MD ลดลง/เพิ่มขึ้น
(Internal Remark)</t>
  </si>
  <si>
    <t>SA</t>
  </si>
  <si>
    <t>Dev</t>
  </si>
  <si>
    <t>Tester</t>
  </si>
  <si>
    <t>Other</t>
  </si>
  <si>
    <t>EventDB</t>
  </si>
  <si>
    <t>Sum MD</t>
  </si>
  <si>
    <t>Sum MD
(+ 30%)</t>
  </si>
  <si>
    <t>Revise Sum MD
(+ 30%)</t>
  </si>
  <si>
    <t>PPS_001</t>
  </si>
  <si>
    <t>All</t>
  </si>
  <si>
    <t>ยกเลิกการเชื่อมโยงข้อมูล API จาก ระบบจัดซื้อจัดจ้างภาครัฐ (e-GP) กรมบัญชีกลาง</t>
  </si>
  <si>
    <t>คุณแก้ว นจ.</t>
  </si>
  <si>
    <t>N</t>
  </si>
  <si>
    <t>MUST</t>
  </si>
  <si>
    <t>PPS_002</t>
  </si>
  <si>
    <t>Landing Page</t>
  </si>
  <si>
    <t>เพิ่ม icon ระบบ Procurement Website (Backend) ไปที่หน้า Landing Page</t>
  </si>
  <si>
    <t>PPS_003</t>
  </si>
  <si>
    <t>Project</t>
  </si>
  <si>
    <t>ปรับการส่งอีเมลแจ้งผลการสร้าง Project Creation ให้ส่งถึงผู้จัดทำ TOR และคณะผู้จัดทำ TOR ฉบับเดียวกัน</t>
  </si>
  <si>
    <t>PPS_004</t>
  </si>
  <si>
    <t>TOR</t>
  </si>
  <si>
    <t>ปรับการดาวน์โหลดเอกสาร TOR ที่ปุ่ม “TOR Preview” รองรับไฟล์ขนาดใหญ่</t>
  </si>
  <si>
    <t>คุณปิยะวัฒน์ จตุจินดา</t>
  </si>
  <si>
    <t>PPS_005</t>
  </si>
  <si>
    <t>TOR&amp;EA</t>
  </si>
  <si>
    <t>เพิ่มการแนบแบบฟอร์ม TPA (F-ปตท.-0044) อัตโนมัติ ในขั้นตอนการเชิญ/ประกาศ e-Announcement &amp; Invitation</t>
  </si>
  <si>
    <t>Y</t>
  </si>
  <si>
    <t>เดิมประเมินแบบสร้างแบบฟอร์มในระบบ
เปลี่ยนเป็นการแนบแบบฟอร์มในขั้นตอน EA
--
ลดลง 13 MD</t>
  </si>
  <si>
    <t>PPS_006</t>
  </si>
  <si>
    <t>STD</t>
  </si>
  <si>
    <t>ปรับระบบในขั้นตอนการระบุราคากลาง ให้สามารถเพิ่มรายการวงเงินงบประมาณได้หลายรายการ และแยกการคำนวณ VAT</t>
  </si>
  <si>
    <t>นจ. หารือวันที่ 4 ส.ค.</t>
  </si>
  <si>
    <t>PPS_007</t>
  </si>
  <si>
    <t>เพิ่มการส่งอีเมลแจ้ง CC ผู้อนุมัติของราคากลาง ในขั้นตอน Recall ใบงาน</t>
  </si>
  <si>
    <t>คุณปิยะภรณ์ ธนังธีรพงษ์</t>
  </si>
  <si>
    <t>PPS_008</t>
  </si>
  <si>
    <t>PR</t>
  </si>
  <si>
    <t>ปรับ PR Online ให้ข้าม Budget Holder (R0) กรณีการซื้อต้นทุน (K J) และ Stock/Subcontract เนื่องจากไม่มีการตั้งงบประมาณ</t>
  </si>
  <si>
    <t>120ล้าน</t>
  </si>
  <si>
    <t>PPS_009</t>
  </si>
  <si>
    <t>เพิ่มการตรวจสอบ (Validation) การแต่งตั้งคณะกรรมการจัดหาสินค้า กรณีมูลค่างานเกิน 120 ล้านบาท</t>
  </si>
  <si>
    <t>PPS_010</t>
  </si>
  <si>
    <t>EA</t>
  </si>
  <si>
    <t>เพิ่มช่องกรอกหมายเหตุในสร้างหน้าประกาศแก้ไข</t>
  </si>
  <si>
    <t>คุณศุภกฤษฎิ์ พนานุรัตน์</t>
  </si>
  <si>
    <t>PPS_011</t>
  </si>
  <si>
    <t>เพิ่ม CC ผู้ชี้แจงแบบและรายงานสรุปผลชี้แจงแบบ ในอีเมลแจ้งสรุปผลการชี้แจงแบบ</t>
  </si>
  <si>
    <t>คุณมัทรี ขัตติยะ</t>
  </si>
  <si>
    <t>เพิ่ม Scope 
โดยกำหนดให้ระบบส่ง สรุปข้อมูลผู้รับเอกสารประกอบการเสนอราคา/แบบฟอร์มลงนามผู้เข้ารับฟังคำชี้แจง เมื่อพ้นระยะเวลาซื้อ/รับแบบทันที หรือหลังจากเชิญเสนอราคา(กรณีมีการชี้แจงแบบ) ไปยัง ผู้ชี้แจง/พนักงานจัดหา cc พนักงานขายแบบ (remove duplicate) รวมถึงอีเมลแจ้งผลการชี้แจงแบบ
--
เพิ่ม 10 MD</t>
  </si>
  <si>
    <t>PPS_012</t>
  </si>
  <si>
    <t>ปรับปรุงการขออนุมัติแก้ไข ให้สามารถแก้ไข “วันที่สรุปผลยื่นซอง” ของผู้ค้า ให้สอดคล้องกับวันที่รับซองจริง</t>
  </si>
  <si>
    <t>คุณพัทธิดา ตันติสมสุข</t>
  </si>
  <si>
    <t>เดิมประเมิน กรณีแก้ไขวันที่สำหรับต่าง ๆ ต้องตรวจสอบวันที่อื่นที่เป็น Consequence กันทั้งหมด
เปลี่ยนเป็นแก้ไขเฉพาะวันที่ยื่นซอง และวันที่สรุปผลผู้มายื่นซอง และเป็นงาน วิธีพิเศษ, วิธีตกลงราคา และยื่นที่ สนญ. เท่านั้น
--
ลดลง 15 MD</t>
  </si>
  <si>
    <t>PPS_013</t>
  </si>
  <si>
    <t>เพิ่ม “ประกาศแก้ไข” และ “ประกาศยกเลิก” เวอร์ชันภาษาอังกฤษ</t>
  </si>
  <si>
    <t>PPS_014</t>
  </si>
  <si>
    <t>เพิ่มปุ่มยกเลิกประกาศ ในงานสถานะ “WAITING FOR QUOTATION”</t>
  </si>
  <si>
    <t>PPS_015</t>
  </si>
  <si>
    <t>EA&amp;P2P</t>
  </si>
  <si>
    <t>วิธีการจัดหาตกลงราคา หรือ วิธีพิเศษ ปรับให้เลือกวันที่ยื่นซองเป็นวันหยุดได้</t>
  </si>
  <si>
    <t>PPS_016</t>
  </si>
  <si>
    <t>PTT Bid</t>
  </si>
  <si>
    <t>ปรับการดาวน์โหลดเอกสารจัดซื้อจัดจ้าง กรณีเอกสารมีขนาดใหญ่ที่ PTT Bid Submission</t>
  </si>
  <si>
    <t>เดิมประเมิน Gen TOR ใหม่ทั้งหมด
เปลี่ยนเป็นดึง TOR จากโมดูล TOR Online
--
ลดลง 3 MD</t>
  </si>
  <si>
    <t>PPS_017</t>
  </si>
  <si>
    <t>ปรับข้อความแจ้งรับ/ซื้อเอกสารจัดซื้อจัดจ้างได้ทุกเวลาผ่าน PTT Bid Submission</t>
  </si>
  <si>
    <t>เดิมจะปรับที่หน้า Web และ ประกาศฯ (PDF)
เปลี่ยนเป็นปรับเฉพาะที่ ประกาศฯ (PDF) เท่านั้น
--
ลดลง 2 MD</t>
  </si>
  <si>
    <t>PPS_018</t>
  </si>
  <si>
    <t>TE</t>
  </si>
  <si>
    <t>ปรับอีเมลและหนังสือแจ้งผลผู้ชนะ เพิ่มการแสดงชื่อหน่วยงานและตำแหน่ง ในขั้นตอนของการจัดทำสรุปผลจัดหา</t>
  </si>
  <si>
    <t>คุณสพิชญา นุ่นงาม</t>
  </si>
  <si>
    <t>PPS_019</t>
  </si>
  <si>
    <t>ปรับช่องกรอกอีเมลแจ้งผลการพิจารณาให้สามารถกรอกได้มากขึ้น ในขั้นตอนการสร้างรายงานสรุปผลการจัดหา</t>
  </si>
  <si>
    <t>เดิมจะปรับที่หน้า Web และ DB data len 
เปลี่ยนเป็นปรับที่ DB data len เท่านั้น
--
ลดลง 2 MD</t>
  </si>
  <si>
    <t>PPS_020</t>
  </si>
  <si>
    <t>ปรับเงื่อนไขการพิจารณาซอง ให้สามารถระบุไม่พิจารณาซองได้ เนื่องจากคุณสมบัติไม่ผ่าน</t>
  </si>
  <si>
    <t>คุณจุติพล สวัสดิ์พานิช</t>
  </si>
  <si>
    <t>PPS_021</t>
  </si>
  <si>
    <t xml:space="preserve">เพิ่ม CC อีเมล TE ยกเลิก งานพัสดุ ที่มีการส่งออกไปยังผู้จัดการส่วนจัดหา </t>
  </si>
  <si>
    <t>คุณนราพร ชูแสง</t>
  </si>
  <si>
    <t>PPS_022</t>
  </si>
  <si>
    <t>ปรับการกรอกคะแนน งานเกณฑ์ราคา-ประสิทธิภาพ และการระบุราคาที่เสนอ หน้าสรุปผลจัดหา</t>
  </si>
  <si>
    <t>PPS_023</t>
  </si>
  <si>
    <t>เพิ่ม “ความเห็น” ตามเหตุผลขอยกเลิกจัดหา ในรายงานขออนุมัติยกเลิกจัดหา</t>
  </si>
  <si>
    <t>PPS_024</t>
  </si>
  <si>
    <t>P2P-DE</t>
  </si>
  <si>
    <t>หน้า Document Entry ต้องการเปิดให้ระบุวันที่สำคัญต่าง ๆ ใน Section PO ได้ทุกกรณี</t>
  </si>
  <si>
    <t>คุณสุพิชญา นุ่นงาม</t>
  </si>
  <si>
    <t>PPS_025</t>
  </si>
  <si>
    <t>TA/EA/TE/P2P</t>
  </si>
  <si>
    <t>เพิ่มการส่งข้อมูลและเอกสารแนบ สำหรับการประกาศต่าง ๆ ของานพัสดุ และประกาศยกเลิกงานจัดหาเชิงพาณิชย์ ไปที่ Procurement Website</t>
  </si>
  <si>
    <t>ปรับเพิ่มขึ้น เพราะมีการ Interface ไปที่ PW ด้วย บวกเพิ่ม 1 MD
แต่ Scope งานจะปรับแค่ โมดูล: Draft of TOR Announcement, e-Announcement &amp; Invitation, Tender Evaluation เท่า
ไม่มีโมดูล P2P- Document Entry 
---
เพิ่ม 1 MD</t>
  </si>
  <si>
    <t>PPS_026</t>
  </si>
  <si>
    <t>EA/TE</t>
  </si>
  <si>
    <t>งานจัดหาเชิงพาณิชย์ วิธีการจัดหา e-Auction เพิ่มการตรวจสอบ (Validation) ในการจัดทำรายงานสรุปผลจัดหา</t>
  </si>
  <si>
    <t>PPS_027</t>
  </si>
  <si>
    <t>งานจัดหาเชิงพาณิชย์ วิธีการจัดหา e-Auction เพิ่มอีเมลแจ้งตลาดกลาง เพื่อให้ตลาดกลางทราบกำหนดการต่าง ๆ ในขั้นตอนการประกาศฯ/การเชิญฯ ที่โมดูล e-Announcement &amp; Invitation</t>
  </si>
  <si>
    <t>PPS_028</t>
  </si>
  <si>
    <t>งานจัดหาเชิงพาณิชย์ วิธีการจัดหา e-Auction เพิ่มอีเมลแจ้งตลาดกลาง เพื่อให้ตลาดกลางทราบกำหนดการต่าง ๆ ในขั้นตอนการทำสรุปผลจัดหา ที่โมดูล Tender Evaluation</t>
  </si>
  <si>
    <t>PPS_029</t>
  </si>
  <si>
    <t>ปรับเนื้อหาอีเมลและตัวเลือกเหตุผลในการแจ้งผลผู้ไม่ผ่านการพิจารณา และเพิ่มการ Stamp electronic approval ที่หนังสือขออนุมัติจัดหาสินค้า ทั้งพาณิชย์และพัสดุ</t>
  </si>
  <si>
    <t>นจ. จากเมลวันที่ 26 ส.ค.</t>
  </si>
  <si>
    <t>New</t>
  </si>
  <si>
    <t>PPS_030</t>
  </si>
  <si>
    <t>PR,TOR</t>
  </si>
  <si>
    <t>ในกรณีทำ TOR Amendment ปรับให้สามารถขอ Recall PR เพื่อสร้าง PR ใหม่ได้</t>
  </si>
  <si>
    <t>PPS_031</t>
  </si>
  <si>
    <t>ปรับระบบให้บังคับระบุผู้คำนวณหลักประกันสัญญา และผู้รับผิดชอบคืนหลักประกันสัญญา กรณีมีการวางหลักประกันสัญญา</t>
  </si>
  <si>
    <t>นจ. จากเมลวันที่ 2 ก.ย.</t>
  </si>
  <si>
    <t>PPS_032</t>
  </si>
  <si>
    <t xml:space="preserve">ปรับเงื่อนไขการแก้ไขสัญญา และการส่งอีเมล ใน Document Entry </t>
  </si>
  <si>
    <t>PPS_033</t>
  </si>
  <si>
    <t>Performance Tuning เพิ่มประสิทธิภาพการทำงานระบบ โมดูล PR Online, e-Announcement &amp; Invitation, Tender Evaluation</t>
  </si>
  <si>
    <t xml:space="preserve">นจ. </t>
  </si>
  <si>
    <t>User เลือกปรับ Performance เฉพาะโมดูล  PR, EA, TE เท่านั้น</t>
  </si>
  <si>
    <t>PPS_034</t>
  </si>
  <si>
    <t>TE-CA</t>
  </si>
  <si>
    <t>เพิ่มช่องให้กรอกอีเมลเพิ่มเติม ที่หน้านัดหมายลงนามสัญญา (Contract Appointment)</t>
  </si>
  <si>
    <t>นจ. จากเมลวันที่ 8 ต.ค.</t>
  </si>
  <si>
    <t>PPS_035</t>
  </si>
  <si>
    <t>ราคากลาง</t>
  </si>
  <si>
    <t>เพิ่มการตรวจสอบ (Validation) แจ้งเตือนเมื่อพบว่า “ราคากลาง” สูงกว่า “วงเงินงบประมาณ” และบังคับแนบเอกสาร</t>
  </si>
  <si>
    <t>เพิ่ม +30%  By Role
โดยRole BA จะรวม MD ของ Evenstore ด้วย</t>
  </si>
  <si>
    <t>Summary - Check MD &amp; Amount</t>
  </si>
  <si>
    <t>PM</t>
  </si>
  <si>
    <t>Business Requirement</t>
  </si>
  <si>
    <t>Technical</t>
  </si>
  <si>
    <t>Project Activity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</si>
  <si>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</si>
  <si>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</si>
  <si>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</si>
  <si>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</si>
  <si>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</si>
  <si>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</si>
  <si>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</si>
  <si>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</si>
  <si>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w1</t>
  </si>
  <si>
    <t>w2</t>
  </si>
  <si>
    <t>w3</t>
  </si>
  <si>
    <t>w4</t>
  </si>
  <si>
    <t>Project Kick-off</t>
  </si>
  <si>
    <t>Requirement Gathering</t>
  </si>
  <si>
    <t>Analysis &amp; Design</t>
  </si>
  <si>
    <t>Development &amp; Unit Test</t>
  </si>
  <si>
    <t>System Integration Test (SIT)</t>
  </si>
  <si>
    <t>User Acceptance Testing (UAT)</t>
  </si>
  <si>
    <t>Final Preparation &amp; Production Deployment</t>
  </si>
  <si>
    <t>Go-live</t>
  </si>
  <si>
    <t>Support after Go-live</t>
  </si>
  <si>
    <t>Topic</t>
  </si>
  <si>
    <t>รายละเอียด</t>
  </si>
  <si>
    <t>MDs</t>
  </si>
  <si>
    <t>Revise MDs</t>
  </si>
  <si>
    <t>UI Change ?</t>
  </si>
  <si>
    <t>งาน Support ?</t>
  </si>
  <si>
    <t>Remark</t>
  </si>
  <si>
    <t>นจ. Confirm</t>
  </si>
  <si>
    <t>เพิ่ม Resource RAM, CPU
จาก XXXX เป็น XXXX</t>
  </si>
  <si>
    <t>ดูรายละเอียดได้ที่ไฟล์ Consol โดยอย่างน้อยต้อง X2 เข้าไป
เพิ่มใน POWER ได้เลย</t>
  </si>
  <si>
    <t>ปรับ Job Schedule แต่ละ Pod ต้องแยกการทำงาน เพื่อให้ทำงานได้เร็วขึ้น</t>
  </si>
  <si>
    <t>ต้อง POC</t>
  </si>
  <si>
    <t>Repo ละ 1 MD ที่มี Job Schedule
- Job Realtime
- Job Daily</t>
  </si>
  <si>
    <t xml:space="preserve">ปรับ Code Tuning </t>
  </si>
  <si>
    <t>โมดูล Project Creation</t>
  </si>
  <si>
    <t>ไม่ต้องปรับ เพราะระบบไม่ช้า</t>
  </si>
  <si>
    <t>โมดูล TOR Template</t>
  </si>
  <si>
    <t>โมดูล TOR Online</t>
  </si>
  <si>
    <t>ปรับ Print Preview โดย</t>
  </si>
  <si>
    <t>กรณี Status Draft เพิ่ม % Gen TOR แต่รอนานเหมือนเดิม เพราะระยะเวลาขึ้นอยู่กับขนาด TOR และเอกสารแนบ Tab B</t>
  </si>
  <si>
    <t>ลบออกแล้ว</t>
  </si>
  <si>
    <t>กรณี Status Completed Gen file ตั้งแต่ TOR Completed (จะช้าแค่ครั้งแรกที่มีการ Gen TOR เท่านั้น)</t>
  </si>
  <si>
    <t>รวมการนำไฟล์ TOR ไปใช้ที่อื่น เช่น TOR Amend, EA เชิญผู้ค้า, Doc Entry Send to SAP PO 
* ไม่รวม TOR Online และ PTT Bid เพราะประเมินแยกไว้แล้ว</t>
  </si>
  <si>
    <t>โมดูล PR</t>
  </si>
  <si>
    <t>ปรับฟิล Json เป็น Structured Data</t>
  </si>
  <si>
    <t>มีใช้ที่ TOR Online, EA, PTT Bid, TE, P2P
** ยังไม่ทำ เพราะปรับแล้วกระทบหลายจุด เหมือนทำระบบใหม่</t>
  </si>
  <si>
    <t>หน้า Advance Search ปรับดังนี้
- เปลี่ยนการค้นหาจาก Query เป็น View
- ฟิล วันที่สร้าง กำหนดให้อยู่ในช่วง 3 เดือน
- เพิ่ม Validate เลือกการค้นหาอย่างน้อย 1 ฟิล</t>
  </si>
  <si>
    <r>
      <t xml:space="preserve">หน้า My Task ปรับดังนี้
- ปรับให้ดึงที่ Smart Procuement 100% </t>
    </r>
    <r>
      <rPr>
        <sz val="18"/>
        <color rgb="FFFF0000"/>
        <rFont val="Cordia New"/>
        <family val="2"/>
      </rPr>
      <t>*</t>
    </r>
    <r>
      <rPr>
        <sz val="18"/>
        <color theme="1"/>
        <rFont val="Cordia New"/>
        <family val="2"/>
      </rPr>
      <t xml:space="preserve"> ยกเว้น PR From PM</t>
    </r>
  </si>
  <si>
    <t>ปัจจุบันจะดึง API จาก SAP ด้วย ทำให้การดึงข้อมูลช้า</t>
  </si>
  <si>
    <t>หน้า PR Detail ปรับดังนี้
- กรณีที่ PR Completed แล้ว ปรับให้ดึงที่ Smart Procuement 100%</t>
  </si>
  <si>
    <t>หน้า PR Detail ปุ่ม Re-Assign</t>
  </si>
  <si>
    <t>ปรับไม่ได้ เพราะต้อง Send to SAP ทุกครั้งที่มีการ Re-Assign
** รอดูตอนขึ้น POWER ไปก่อน</t>
  </si>
  <si>
    <t>โมดูลราคากลาง</t>
  </si>
  <si>
    <t>N/A</t>
  </si>
  <si>
    <t>โมดูล TA</t>
  </si>
  <si>
    <t>โมดูล EA</t>
  </si>
  <si>
    <t>เมนู งานประกาศ &gt; รายการประกาศ &gt; หน้า Advance Search
- ปรับ Stored Procedure</t>
  </si>
  <si>
    <t xml:space="preserve">Advance Search ใช้หลาย Menu
</t>
  </si>
  <si>
    <t>เมนู งานประกาศ &gt; รายการประกาศ &gt; หน้า Detail
- ปรับวิธีการตรวจสอบไฟล์แนบ</t>
  </si>
  <si>
    <t>เมนู งานประกาศ &gt; สร้างประกาศ &gt; หน้า Detail
- ปรับวิธีการตรวจสอบไฟล์แนบ</t>
  </si>
  <si>
    <t>เมนู งานประกาศ &gt; ประกาศแก้ไข &gt; หน้า Detail
- ปรับวิธีการตรวจสอบไฟล์แนบ</t>
  </si>
  <si>
    <t>เมนู งานเชิญเสนอราคา &gt; สร้างการเชิญเสนอราคา &gt; หน้า Detail</t>
  </si>
  <si>
    <t>เมนู งานขายแบบ
- ปรับการค้นหา</t>
  </si>
  <si>
    <t>เมนู งานชี้แจงแบบ
- ปรับการค้นหา</t>
  </si>
  <si>
    <t>เมนู งานยื่นซอง
- ปรับการค้นหา</t>
  </si>
  <si>
    <t>เมนู งานบันทึกแก้ไข &gt; รายการขออนุมัติแก้ไข
- ปรับการค้นหา
- เพิ่มขอบเขตวันที่ขอแก้ไข 3 เดือน, สถานะรายการขอแก้ไข</t>
  </si>
  <si>
    <t>PTT Bid Submission</t>
  </si>
  <si>
    <t>เปลี่ยนวิธีการดาวน์โหลดเอกสารแบบ เป็นดึงไฟล์ TOR จากไฟล์ที่ Gen ไว้แล้ว</t>
  </si>
  <si>
    <t>ประเมินแล้ว</t>
  </si>
  <si>
    <t>เพิ่มการตรวจสอบไฟล์ก่อน Submit ยื่นซอง</t>
  </si>
  <si>
    <t>ย้ายไปที่ Requirement PTT Bid</t>
  </si>
  <si>
    <t>เมนู "ค้นหา" ในหน้ารายละเอียด ถ้ามีผู้ค้าซื้อแบบ และยื่นซองเยอะ จะทำงานช้า เพราะใช้วิธี Join ข้อมูลหลายที่ ต้องปรับเป็นวิธีดึงข้อมูลที่ Backend</t>
  </si>
  <si>
    <t>เปลี่่ยนวิธีการอัพโหลดไฟล์จาก Openshift ไปที่ File Server (FTPs) + Move file เก่า</t>
  </si>
  <si>
    <t>อธิบายในมุมประโยชน์ที่ User ที่ได้รับ</t>
  </si>
  <si>
    <t>โมดูล TE</t>
  </si>
  <si>
    <t>ค้นหารายการสรุปผลการจัดหา
- ปรับการค้นหาให้เร็วขึ้น
- เพิ่ม Filter วันที่ขออนุมัติจัดหา TE จาก...ถึง.... กำหนดให้อยู่ในช่วง 3 เดือน
- เพิ่ม Default สถานะ ที่ไม่ใช่ COMPLETED, COMPLETED (PROJECT_COMPLETED) เพื่อให้แสดงเฉพาะงานที่กำลังดำเนินการ</t>
  </si>
  <si>
    <t>เมนู พิจารณารายงาน
- เพิ่ม Fillter วันที่ขออนุมัติจัดหา TE จาก...ถึง.... กำหนดให้อยู่ในช่วง 3 เดือน</t>
  </si>
  <si>
    <t>เมนู หน่วยงานจัดหาตรวจสอบ
- เพิ่ม Fillter วันที่ขออนุมัติจัดหา TE จาก...ถึง.... กำหนดให้อยู่ในช่วง 3 เดือน</t>
  </si>
  <si>
    <t>เมนู ลงนามสัญญา &gt; ค้นหารายการนัดหมาย
- เพิ่ม Fillter วันที่สร้างนัดหมายฯ จาก...ถึง.... กำหนดให้อยู่ในช่วง 3 เดือน
- เพิ่ม Default สถานะ ที่ไม่ใช่ COMPLETED, COMPLETED (PROJECT_COMPLETED) เพื่อให้แสดงเฉพาะงานที่กำลังดำเนินการ</t>
  </si>
  <si>
    <t>โมดูล P2P</t>
  </si>
  <si>
    <t>เมนู P2P Tracking
- ปรับการค้นหา + Advance Search</t>
  </si>
  <si>
    <t>เมนู P2P Tracking
- ปรับหน้ารายละเอียด เป็นวิธีดึงข้อมูลแต่ละ Tab</t>
  </si>
  <si>
    <t>POT NO. </t>
  </si>
  <si>
    <t>POTENTIAL NAME </t>
  </si>
  <si>
    <t>CUSTOMER </t>
  </si>
  <si>
    <t>SALE </t>
  </si>
  <si>
    <t>PM </t>
  </si>
  <si>
    <t>Job code</t>
  </si>
  <si>
    <t>Amount Total (Estimate)</t>
  </si>
  <si>
    <t>POT253760</t>
  </si>
  <si>
    <t>ENH-PTT-HO-ปรับปรุงระบบ Smart Procurement ปี 2569</t>
  </si>
  <si>
    <t>บริษัท ปตท. จำกัด (มหาชน)</t>
  </si>
  <si>
    <t>Kanthida Khumsora</t>
  </si>
  <si>
    <t>Phanumas Chalisarapong</t>
  </si>
  <si>
    <t>999999999999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</si>
</sst>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#,##0.0"/>
    <numFmt numFmtId="166" formatCode="_(* #,##0_);_(* \(#,##0\);_(* &quot;-&quot;??_);_(@_)"/>
    <numFmt numFmtId="169" formatCode="_(* #,##0.0_);_(* \(#,##0.0\);_(* &quot;-&quot;??_);_(@_)"/>
    <numFmt numFmtId="170" formatCode="&quot;฿&quot;#,##0.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ordia New"/>
      <family val="2"/>
    </font>
    <font>
      <b/>
      <sz val="14"/>
      <color theme="1"/>
      <name val="Cordia New"/>
      <family val="2"/>
    </font>
    <font>
      <b/>
      <sz val="11"/>
      <color theme="1"/>
      <name val="Calibri"/>
      <family val="2"/>
      <scheme val="minor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b/>
      <sz val="14"/>
      <color rgb="FF00B050"/>
      <name val="Calibri"/>
      <family val="2"/>
      <scheme val="minor"/>
    </font>
    <font>
      <b/>
      <sz val="9"/>
      <color theme="1"/>
      <name val="Tahoma"/>
      <family val="2"/>
    </font>
    <font>
      <sz val="10"/>
      <color rgb="FFFF0000"/>
      <name val="Calibri"/>
      <family val="2"/>
      <charset val="222"/>
      <scheme val="minor"/>
    </font>
    <font>
      <b/>
      <sz val="14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trike/>
      <sz val="9"/>
      <color theme="1"/>
      <name val="Tahoma"/>
      <family val="2"/>
    </font>
    <font>
      <b/>
      <sz val="14"/>
      <color rgb="FF000000"/>
      <name val="Cordia New"/>
      <family val="2"/>
    </font>
    <font>
      <sz val="10"/>
      <color rgb="FFFF0000"/>
      <name val="Tahoma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0"/>
      <color theme="1"/>
      <name val="Arial"/>
      <family val="2"/>
    </font>
    <font>
      <sz val="11"/>
      <color rgb="FF444444"/>
      <name val="Calibri"/>
      <family val="2"/>
    </font>
    <font>
      <b/>
      <sz val="16"/>
      <color theme="0"/>
      <name val="Cordia New"/>
      <family val="2"/>
    </font>
    <font>
      <sz val="16"/>
      <color theme="1"/>
      <name val="Cordia New"/>
      <family val="2"/>
    </font>
    <font>
      <sz val="16"/>
      <color rgb="FF000000"/>
      <name val="Cordia New"/>
      <family val="2"/>
    </font>
    <font>
      <b/>
      <sz val="16"/>
      <color theme="1"/>
      <name val="Cordia New"/>
      <family val="2"/>
    </font>
    <font>
      <u/>
      <sz val="11"/>
      <color theme="10"/>
      <name val="Calibri"/>
      <family val="2"/>
      <scheme val="minor"/>
    </font>
    <font>
      <u/>
      <sz val="16"/>
      <color theme="10"/>
      <name val="Cordia New"/>
      <family val="2"/>
    </font>
    <font>
      <b/>
      <sz val="18"/>
      <color theme="1"/>
      <name val="Cordia New"/>
      <family val="2"/>
    </font>
    <font>
      <sz val="18"/>
      <color theme="1"/>
      <name val="Cordia New"/>
      <family val="2"/>
    </font>
    <font>
      <b/>
      <sz val="10"/>
      <color theme="1"/>
      <name val="Tahoma"/>
      <family val="2"/>
    </font>
    <font>
      <sz val="16"/>
      <color rgb="FFFF0000"/>
      <name val="Cordia New"/>
      <family val="2"/>
    </font>
    <font>
      <sz val="18"/>
      <color rgb="FFFF0000"/>
      <name val="Cordia New"/>
      <family val="2"/>
    </font>
    <font>
      <strike/>
      <sz val="9"/>
      <color rgb="FF000000"/>
      <name val="Tahoma"/>
      <family val="2"/>
    </font>
    <font>
      <sz val="16"/>
      <color rgb="FF000000"/>
      <name val="Cordia New"/>
    </font>
    <font>
      <sz val="14"/>
      <color theme="1"/>
      <name val="Cordia New"/>
    </font>
    <font>
      <sz val="16"/>
      <color theme="1"/>
      <name val="Cordia New"/>
    </font>
    <font>
      <b/>
      <sz val="14"/>
      <color theme="1"/>
      <name val="Cordia New"/>
    </font>
    <font>
      <b/>
      <sz val="16"/>
      <color theme="1"/>
      <name val="Cordia New"/>
    </font>
  </fonts>
  <fills count="2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21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right"/>
    </xf>
    <xf numFmtId="0" fontId="10" fillId="0" borderId="0" xfId="1" applyFont="1"/>
    <xf numFmtId="0" fontId="10" fillId="0" borderId="0" xfId="1" applyFont="1" applyAlignment="1">
      <alignment horizontal="center"/>
    </xf>
    <xf numFmtId="1" fontId="10" fillId="0" borderId="0" xfId="1" applyNumberFormat="1" applyFont="1"/>
    <xf numFmtId="4" fontId="10" fillId="0" borderId="0" xfId="1" applyNumberFormat="1" applyFont="1"/>
    <xf numFmtId="166" fontId="9" fillId="10" borderId="1" xfId="4" applyNumberFormat="1" applyFont="1" applyFill="1" applyBorder="1" applyAlignment="1">
      <alignment vertical="center" wrapText="1"/>
    </xf>
    <xf numFmtId="166" fontId="10" fillId="0" borderId="0" xfId="1" applyNumberFormat="1" applyFont="1"/>
    <xf numFmtId="0" fontId="10" fillId="0" borderId="1" xfId="1" applyFont="1" applyBorder="1" applyAlignment="1">
      <alignment horizontal="center"/>
    </xf>
    <xf numFmtId="0" fontId="10" fillId="0" borderId="1" xfId="1" applyFont="1" applyBorder="1"/>
    <xf numFmtId="169" fontId="10" fillId="13" borderId="1" xfId="4" quotePrefix="1" applyNumberFormat="1" applyFont="1" applyFill="1" applyBorder="1"/>
    <xf numFmtId="166" fontId="10" fillId="13" borderId="1" xfId="4" quotePrefix="1" applyNumberFormat="1" applyFont="1" applyFill="1" applyBorder="1"/>
    <xf numFmtId="0" fontId="9" fillId="12" borderId="1" xfId="1" applyFont="1" applyFill="1" applyBorder="1" applyAlignment="1">
      <alignment horizontal="center" vertical="center"/>
    </xf>
    <xf numFmtId="1" fontId="9" fillId="10" borderId="1" xfId="4" applyNumberFormat="1" applyFont="1" applyFill="1" applyBorder="1" applyAlignment="1">
      <alignment horizontal="center" vertical="center" wrapText="1"/>
    </xf>
    <xf numFmtId="4" fontId="9" fillId="10" borderId="1" xfId="4" applyNumberFormat="1" applyFont="1" applyFill="1" applyBorder="1" applyAlignment="1">
      <alignment horizontal="center" vertical="center" wrapText="1"/>
    </xf>
    <xf numFmtId="4" fontId="10" fillId="0" borderId="1" xfId="4" applyNumberFormat="1" applyFont="1" applyBorder="1" applyAlignment="1">
      <alignment horizontal="right"/>
    </xf>
    <xf numFmtId="0" fontId="11" fillId="0" borderId="1" xfId="1" applyFont="1" applyBorder="1"/>
    <xf numFmtId="0" fontId="10" fillId="0" borderId="1" xfId="0" applyFont="1" applyBorder="1" applyAlignment="1">
      <alignment vertical="center" wrapText="1"/>
    </xf>
    <xf numFmtId="165" fontId="10" fillId="11" borderId="1" xfId="4" applyNumberFormat="1" applyFont="1" applyFill="1" applyBorder="1" applyAlignment="1">
      <alignment horizontal="center"/>
    </xf>
    <xf numFmtId="0" fontId="11" fillId="11" borderId="1" xfId="1" applyFont="1" applyFill="1" applyBorder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6" fillId="0" borderId="17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15" borderId="17" xfId="0" applyFont="1" applyFill="1" applyBorder="1" applyAlignment="1">
      <alignment vertical="center" wrapText="1"/>
    </xf>
    <xf numFmtId="0" fontId="6" fillId="15" borderId="13" xfId="0" applyFont="1" applyFill="1" applyBorder="1" applyAlignment="1">
      <alignment vertical="center" wrapText="1"/>
    </xf>
    <xf numFmtId="0" fontId="5" fillId="16" borderId="12" xfId="0" applyFont="1" applyFill="1" applyBorder="1" applyAlignment="1">
      <alignment vertical="center" wrapText="1"/>
    </xf>
    <xf numFmtId="0" fontId="5" fillId="16" borderId="13" xfId="0" applyFont="1" applyFill="1" applyBorder="1" applyAlignment="1">
      <alignment vertical="center" wrapText="1"/>
    </xf>
    <xf numFmtId="0" fontId="5" fillId="16" borderId="13" xfId="0" applyFont="1" applyFill="1" applyBorder="1" applyAlignment="1">
      <alignment horizontal="center" vertical="center" wrapText="1"/>
    </xf>
    <xf numFmtId="0" fontId="16" fillId="0" borderId="0" xfId="0" applyFont="1"/>
    <xf numFmtId="0" fontId="17" fillId="11" borderId="11" xfId="0" applyFont="1" applyFill="1" applyBorder="1" applyAlignment="1">
      <alignment horizontal="center"/>
    </xf>
    <xf numFmtId="170" fontId="12" fillId="5" borderId="19" xfId="0" applyNumberFormat="1" applyFont="1" applyFill="1" applyBorder="1"/>
    <xf numFmtId="170" fontId="13" fillId="5" borderId="20" xfId="0" applyNumberFormat="1" applyFont="1" applyFill="1" applyBorder="1" applyAlignment="1">
      <alignment horizontal="right" vertical="center"/>
    </xf>
    <xf numFmtId="0" fontId="4" fillId="0" borderId="18" xfId="0" applyFont="1" applyBorder="1"/>
    <xf numFmtId="170" fontId="18" fillId="17" borderId="15" xfId="0" applyNumberFormat="1" applyFont="1" applyFill="1" applyBorder="1" applyAlignment="1">
      <alignment horizontal="left" indent="1"/>
    </xf>
    <xf numFmtId="170" fontId="19" fillId="17" borderId="1" xfId="0" applyNumberFormat="1" applyFont="1" applyFill="1" applyBorder="1" applyAlignment="1">
      <alignment horizontal="right" vertical="center"/>
    </xf>
    <xf numFmtId="170" fontId="14" fillId="8" borderId="21" xfId="0" applyNumberFormat="1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 wrapText="1"/>
    </xf>
    <xf numFmtId="43" fontId="10" fillId="0" borderId="0" xfId="3" applyFont="1"/>
    <xf numFmtId="43" fontId="10" fillId="0" borderId="0" xfId="1" applyNumberFormat="1" applyFont="1"/>
    <xf numFmtId="0" fontId="6" fillId="15" borderId="16" xfId="0" applyFont="1" applyFill="1" applyBorder="1" applyAlignment="1">
      <alignment horizontal="center" vertical="center" wrapText="1"/>
    </xf>
    <xf numFmtId="0" fontId="6" fillId="15" borderId="18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horizontal="center" vertical="center" wrapText="1"/>
    </xf>
    <xf numFmtId="0" fontId="5" fillId="14" borderId="18" xfId="0" applyFont="1" applyFill="1" applyBorder="1" applyAlignment="1">
      <alignment vertical="center" wrapText="1"/>
    </xf>
    <xf numFmtId="0" fontId="5" fillId="14" borderId="14" xfId="0" applyFont="1" applyFill="1" applyBorder="1" applyAlignment="1">
      <alignment vertical="center" wrapText="1"/>
    </xf>
    <xf numFmtId="0" fontId="5" fillId="14" borderId="18" xfId="0" applyFont="1" applyFill="1" applyBorder="1" applyAlignment="1">
      <alignment horizontal="center" vertical="center" wrapText="1"/>
    </xf>
    <xf numFmtId="4" fontId="10" fillId="18" borderId="1" xfId="1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2" fillId="0" borderId="0" xfId="1" applyFont="1"/>
    <xf numFmtId="0" fontId="2" fillId="0" borderId="1" xfId="0" quotePrefix="1" applyFont="1" applyBorder="1" applyAlignment="1">
      <alignment horizontal="center" vertical="top"/>
    </xf>
    <xf numFmtId="164" fontId="0" fillId="0" borderId="0" xfId="0" applyNumberFormat="1"/>
    <xf numFmtId="0" fontId="24" fillId="19" borderId="27" xfId="0" applyFont="1" applyFill="1" applyBorder="1" applyAlignment="1">
      <alignment horizontal="center" readingOrder="1"/>
    </xf>
    <xf numFmtId="0" fontId="23" fillId="15" borderId="26" xfId="0" applyFont="1" applyFill="1" applyBorder="1" applyAlignment="1">
      <alignment horizontal="center" vertical="center" readingOrder="1"/>
    </xf>
    <xf numFmtId="0" fontId="25" fillId="21" borderId="27" xfId="0" applyFont="1" applyFill="1" applyBorder="1" applyAlignment="1">
      <alignment readingOrder="1"/>
    </xf>
    <xf numFmtId="0" fontId="25" fillId="15" borderId="27" xfId="0" applyFont="1" applyFill="1" applyBorder="1" applyAlignment="1">
      <alignment readingOrder="1"/>
    </xf>
    <xf numFmtId="0" fontId="26" fillId="0" borderId="27" xfId="0" applyFont="1" applyBorder="1" applyAlignment="1">
      <alignment readingOrder="1"/>
    </xf>
    <xf numFmtId="0" fontId="23" fillId="0" borderId="26" xfId="0" applyFont="1" applyBorder="1" applyAlignment="1">
      <alignment horizontal="center" vertical="center" readingOrder="1"/>
    </xf>
    <xf numFmtId="0" fontId="23" fillId="0" borderId="27" xfId="0" applyFont="1" applyBorder="1" applyAlignment="1">
      <alignment readingOrder="1"/>
    </xf>
    <xf numFmtId="0" fontId="25" fillId="0" borderId="27" xfId="0" applyFont="1" applyBorder="1" applyAlignment="1">
      <alignment readingOrder="1"/>
    </xf>
    <xf numFmtId="0" fontId="23" fillId="0" borderId="27" xfId="0" applyFont="1" applyBorder="1" applyAlignment="1">
      <alignment wrapText="1" readingOrder="1"/>
    </xf>
    <xf numFmtId="0" fontId="27" fillId="22" borderId="1" xfId="0" applyFont="1" applyFill="1" applyBorder="1" applyAlignment="1">
      <alignment horizontal="center" vertical="top" wrapText="1"/>
    </xf>
    <xf numFmtId="0" fontId="28" fillId="0" borderId="1" xfId="0" applyFont="1" applyBorder="1" applyAlignment="1">
      <alignment vertical="top"/>
    </xf>
    <xf numFmtId="0" fontId="28" fillId="0" borderId="1" xfId="0" applyFont="1" applyBorder="1" applyAlignment="1">
      <alignment vertical="top" wrapText="1"/>
    </xf>
    <xf numFmtId="0" fontId="29" fillId="15" borderId="1" xfId="0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28" fillId="0" borderId="1" xfId="0" applyFont="1" applyBorder="1" applyAlignment="1" applyProtection="1">
      <alignment horizontal="left" vertical="top" wrapText="1"/>
      <protection locked="0"/>
    </xf>
    <xf numFmtId="0" fontId="29" fillId="0" borderId="1" xfId="0" applyFont="1" applyBorder="1" applyAlignment="1" applyProtection="1">
      <alignment horizontal="left" vertical="top" wrapText="1"/>
      <protection locked="0"/>
    </xf>
    <xf numFmtId="0" fontId="32" fillId="0" borderId="1" xfId="7" applyFont="1" applyBorder="1" applyAlignment="1">
      <alignment vertical="top"/>
    </xf>
    <xf numFmtId="0" fontId="28" fillId="0" borderId="0" xfId="0" applyFont="1" applyAlignment="1">
      <alignment vertical="top" wrapText="1"/>
    </xf>
    <xf numFmtId="0" fontId="28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8" fillId="0" borderId="1" xfId="0" applyFont="1" applyBorder="1" applyAlignment="1">
      <alignment horizontal="right" vertical="top"/>
    </xf>
    <xf numFmtId="0" fontId="30" fillId="13" borderId="28" xfId="0" applyFont="1" applyFill="1" applyBorder="1" applyAlignment="1">
      <alignment vertical="top"/>
    </xf>
    <xf numFmtId="4" fontId="10" fillId="0" borderId="5" xfId="4" applyNumberFormat="1" applyFont="1" applyBorder="1"/>
    <xf numFmtId="43" fontId="35" fillId="0" borderId="28" xfId="3" applyFont="1" applyBorder="1"/>
    <xf numFmtId="0" fontId="28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4" fontId="10" fillId="5" borderId="1" xfId="1" applyNumberFormat="1" applyFont="1" applyFill="1" applyBorder="1" applyAlignment="1">
      <alignment horizontal="center"/>
    </xf>
    <xf numFmtId="4" fontId="10" fillId="3" borderId="1" xfId="1" applyNumberFormat="1" applyFont="1" applyFill="1" applyBorder="1" applyAlignment="1">
      <alignment horizontal="center"/>
    </xf>
    <xf numFmtId="4" fontId="10" fillId="9" borderId="1" xfId="1" applyNumberFormat="1" applyFont="1" applyFill="1" applyBorder="1" applyAlignment="1">
      <alignment horizontal="center"/>
    </xf>
    <xf numFmtId="1" fontId="30" fillId="13" borderId="28" xfId="0" applyNumberFormat="1" applyFont="1" applyFill="1" applyBorder="1" applyAlignment="1">
      <alignment vertical="top"/>
    </xf>
    <xf numFmtId="0" fontId="27" fillId="22" borderId="1" xfId="0" applyFont="1" applyFill="1" applyBorder="1" applyAlignment="1">
      <alignment horizontal="center" vertical="top"/>
    </xf>
    <xf numFmtId="43" fontId="30" fillId="13" borderId="28" xfId="0" applyNumberFormat="1" applyFont="1" applyFill="1" applyBorder="1" applyAlignment="1">
      <alignment vertical="top"/>
    </xf>
    <xf numFmtId="43" fontId="30" fillId="13" borderId="28" xfId="0" applyNumberFormat="1" applyFont="1" applyFill="1" applyBorder="1" applyAlignment="1">
      <alignment horizontal="center" vertical="top"/>
    </xf>
    <xf numFmtId="0" fontId="36" fillId="0" borderId="1" xfId="0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0" fontId="27" fillId="22" borderId="3" xfId="0" applyFont="1" applyFill="1" applyBorder="1" applyAlignment="1">
      <alignment horizontal="center" vertical="top"/>
    </xf>
    <xf numFmtId="0" fontId="27" fillId="22" borderId="3" xfId="0" applyFont="1" applyFill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43" fontId="0" fillId="0" borderId="5" xfId="3" applyFont="1" applyBorder="1" applyAlignment="1">
      <alignment horizontal="center" vertical="top"/>
    </xf>
    <xf numFmtId="0" fontId="28" fillId="0" borderId="1" xfId="0" applyFont="1" applyBorder="1" applyAlignment="1">
      <alignment horizontal="center" vertical="top" wrapText="1"/>
    </xf>
    <xf numFmtId="0" fontId="28" fillId="0" borderId="4" xfId="0" applyFont="1" applyBorder="1" applyAlignment="1">
      <alignment vertical="top" wrapText="1"/>
    </xf>
    <xf numFmtId="0" fontId="28" fillId="0" borderId="34" xfId="0" applyFont="1" applyBorder="1" applyAlignment="1">
      <alignment vertical="top" wrapText="1"/>
    </xf>
    <xf numFmtId="0" fontId="29" fillId="0" borderId="2" xfId="0" applyFont="1" applyBorder="1" applyAlignment="1">
      <alignment vertical="top" wrapText="1"/>
    </xf>
    <xf numFmtId="0" fontId="38" fillId="15" borderId="17" xfId="0" applyFont="1" applyFill="1" applyBorder="1" applyAlignment="1">
      <alignment vertical="center" wrapText="1"/>
    </xf>
    <xf numFmtId="0" fontId="6" fillId="15" borderId="18" xfId="0" applyFont="1" applyFill="1" applyBorder="1" applyAlignment="1">
      <alignment vertical="center" wrapText="1"/>
    </xf>
    <xf numFmtId="0" fontId="6" fillId="15" borderId="12" xfId="0" applyFont="1" applyFill="1" applyBorder="1" applyAlignment="1">
      <alignment vertical="center" wrapText="1"/>
    </xf>
    <xf numFmtId="0" fontId="15" fillId="15" borderId="18" xfId="0" applyFont="1" applyFill="1" applyBorder="1" applyAlignment="1">
      <alignment vertical="center" wrapText="1"/>
    </xf>
    <xf numFmtId="0" fontId="30" fillId="23" borderId="28" xfId="0" applyFont="1" applyFill="1" applyBorder="1" applyAlignment="1">
      <alignment horizontal="center" vertical="center"/>
    </xf>
    <xf numFmtId="0" fontId="30" fillId="23" borderId="28" xfId="0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28" xfId="0" applyFont="1" applyBorder="1" applyAlignment="1">
      <alignment vertical="center"/>
    </xf>
    <xf numFmtId="0" fontId="29" fillId="0" borderId="28" xfId="0" applyFont="1" applyBorder="1"/>
    <xf numFmtId="0" fontId="10" fillId="0" borderId="1" xfId="1" applyFont="1" applyBorder="1" applyAlignment="1">
      <alignment vertical="top"/>
    </xf>
    <xf numFmtId="0" fontId="28" fillId="0" borderId="28" xfId="0" applyFont="1" applyBorder="1" applyAlignment="1">
      <alignment wrapText="1"/>
    </xf>
    <xf numFmtId="0" fontId="33" fillId="7" borderId="28" xfId="0" applyFont="1" applyFill="1" applyBorder="1"/>
    <xf numFmtId="0" fontId="34" fillId="0" borderId="28" xfId="0" applyFont="1" applyBorder="1" applyAlignment="1">
      <alignment horizontal="center" vertical="top"/>
    </xf>
    <xf numFmtId="0" fontId="0" fillId="0" borderId="28" xfId="0" applyBorder="1"/>
    <xf numFmtId="0" fontId="33" fillId="5" borderId="28" xfId="0" applyFont="1" applyFill="1" applyBorder="1"/>
    <xf numFmtId="0" fontId="39" fillId="0" borderId="1" xfId="0" applyFont="1" applyBorder="1" applyAlignment="1">
      <alignment vertical="top" wrapText="1"/>
    </xf>
    <xf numFmtId="0" fontId="29" fillId="0" borderId="0" xfId="0" applyFont="1" applyAlignment="1">
      <alignment vertical="top" wrapText="1"/>
    </xf>
    <xf numFmtId="0" fontId="6" fillId="4" borderId="13" xfId="0" applyFont="1" applyFill="1" applyBorder="1" applyAlignment="1">
      <alignment vertical="center" wrapText="1"/>
    </xf>
    <xf numFmtId="0" fontId="10" fillId="0" borderId="0" xfId="1" applyFont="1" applyAlignment="1">
      <alignment wrapText="1"/>
    </xf>
    <xf numFmtId="43" fontId="30" fillId="13" borderId="22" xfId="0" applyNumberFormat="1" applyFont="1" applyFill="1" applyBorder="1" applyAlignment="1">
      <alignment vertical="top"/>
    </xf>
    <xf numFmtId="43" fontId="0" fillId="0" borderId="7" xfId="3" applyFont="1" applyBorder="1" applyAlignment="1">
      <alignment horizontal="center" vertical="top"/>
    </xf>
    <xf numFmtId="43" fontId="0" fillId="0" borderId="9" xfId="3" applyFont="1" applyBorder="1" applyAlignment="1">
      <alignment horizontal="center" vertical="top"/>
    </xf>
    <xf numFmtId="43" fontId="0" fillId="0" borderId="8" xfId="3" applyFont="1" applyBorder="1" applyAlignment="1">
      <alignment horizontal="center" vertical="top"/>
    </xf>
    <xf numFmtId="0" fontId="40" fillId="0" borderId="28" xfId="0" applyFont="1" applyBorder="1" applyAlignment="1">
      <alignment horizontal="left" vertical="top" wrapText="1"/>
    </xf>
    <xf numFmtId="0" fontId="40" fillId="0" borderId="28" xfId="0" applyFont="1" applyBorder="1" applyAlignment="1">
      <alignment vertical="top"/>
    </xf>
    <xf numFmtId="0" fontId="41" fillId="0" borderId="28" xfId="0" applyFont="1" applyBorder="1" applyAlignment="1">
      <alignment vertical="top"/>
    </xf>
    <xf numFmtId="0" fontId="42" fillId="6" borderId="28" xfId="0" applyFont="1" applyFill="1" applyBorder="1" applyAlignment="1">
      <alignment horizontal="center" vertical="center" wrapText="1"/>
    </xf>
    <xf numFmtId="0" fontId="28" fillId="0" borderId="28" xfId="0" applyFont="1" applyBorder="1" applyAlignment="1">
      <alignment horizontal="right" vertical="top"/>
    </xf>
    <xf numFmtId="0" fontId="30" fillId="4" borderId="28" xfId="0" applyFont="1" applyFill="1" applyBorder="1" applyAlignment="1">
      <alignment horizontal="center" vertical="top" wrapText="1"/>
    </xf>
    <xf numFmtId="0" fontId="30" fillId="2" borderId="28" xfId="0" applyFont="1" applyFill="1" applyBorder="1" applyAlignment="1">
      <alignment horizontal="center" vertical="top" wrapText="1"/>
    </xf>
    <xf numFmtId="0" fontId="42" fillId="6" borderId="22" xfId="0" applyFont="1" applyFill="1" applyBorder="1" applyAlignment="1">
      <alignment horizontal="center" vertical="center"/>
    </xf>
    <xf numFmtId="43" fontId="40" fillId="0" borderId="22" xfId="3" applyFont="1" applyBorder="1" applyAlignment="1">
      <alignment horizontal="center" vertical="top"/>
    </xf>
    <xf numFmtId="43" fontId="41" fillId="0" borderId="22" xfId="3" applyFont="1" applyBorder="1" applyAlignment="1">
      <alignment horizontal="center" vertical="top"/>
    </xf>
    <xf numFmtId="0" fontId="41" fillId="0" borderId="28" xfId="0" applyFont="1" applyBorder="1" applyAlignment="1">
      <alignment vertical="top" wrapText="1"/>
    </xf>
    <xf numFmtId="0" fontId="0" fillId="0" borderId="28" xfId="0" applyBorder="1" applyAlignment="1">
      <alignment horizontal="left" vertical="top" wrapText="1"/>
    </xf>
    <xf numFmtId="0" fontId="41" fillId="0" borderId="0" xfId="0" applyFont="1"/>
    <xf numFmtId="0" fontId="41" fillId="0" borderId="28" xfId="0" applyFont="1" applyBorder="1"/>
    <xf numFmtId="0" fontId="41" fillId="0" borderId="35" xfId="0" applyFont="1" applyBorder="1" applyAlignment="1">
      <alignment vertical="top"/>
    </xf>
    <xf numFmtId="0" fontId="0" fillId="0" borderId="3" xfId="0" applyBorder="1" applyAlignment="1">
      <alignment horizontal="right" vertical="top"/>
    </xf>
    <xf numFmtId="0" fontId="30" fillId="13" borderId="35" xfId="0" applyFont="1" applyFill="1" applyBorder="1" applyAlignment="1">
      <alignment vertical="top"/>
    </xf>
    <xf numFmtId="0" fontId="43" fillId="3" borderId="28" xfId="0" applyFont="1" applyFill="1" applyBorder="1" applyAlignment="1">
      <alignment horizontal="right" vertical="top"/>
    </xf>
    <xf numFmtId="0" fontId="43" fillId="0" borderId="0" xfId="0" applyFont="1"/>
    <xf numFmtId="0" fontId="41" fillId="5" borderId="28" xfId="0" applyFont="1" applyFill="1" applyBorder="1"/>
    <xf numFmtId="0" fontId="41" fillId="13" borderId="28" xfId="0" applyFont="1" applyFill="1" applyBorder="1"/>
    <xf numFmtId="43" fontId="43" fillId="13" borderId="28" xfId="0" applyNumberFormat="1" applyFont="1" applyFill="1" applyBorder="1"/>
    <xf numFmtId="2" fontId="43" fillId="3" borderId="28" xfId="0" applyNumberFormat="1" applyFont="1" applyFill="1" applyBorder="1" applyAlignment="1">
      <alignment horizontal="right" vertical="top"/>
    </xf>
    <xf numFmtId="2" fontId="30" fillId="13" borderId="28" xfId="0" applyNumberFormat="1" applyFont="1" applyFill="1" applyBorder="1" applyAlignment="1">
      <alignment vertical="top"/>
    </xf>
    <xf numFmtId="2" fontId="43" fillId="13" borderId="28" xfId="0" applyNumberFormat="1" applyFont="1" applyFill="1" applyBorder="1" applyAlignment="1">
      <alignment horizontal="right" vertical="top"/>
    </xf>
    <xf numFmtId="0" fontId="43" fillId="13" borderId="28" xfId="0" applyFont="1" applyFill="1" applyBorder="1" applyAlignment="1">
      <alignment horizontal="right" vertical="top"/>
    </xf>
    <xf numFmtId="0" fontId="33" fillId="7" borderId="28" xfId="0" applyFont="1" applyFill="1" applyBorder="1" applyAlignment="1">
      <alignment horizontal="center" vertical="top"/>
    </xf>
    <xf numFmtId="0" fontId="34" fillId="0" borderId="28" xfId="0" applyFont="1" applyBorder="1" applyAlignment="1">
      <alignment horizontal="center" vertical="center"/>
    </xf>
    <xf numFmtId="0" fontId="34" fillId="0" borderId="28" xfId="0" applyFont="1" applyBorder="1" applyAlignment="1">
      <alignment wrapText="1"/>
    </xf>
    <xf numFmtId="0" fontId="34" fillId="0" borderId="28" xfId="0" applyFont="1" applyBorder="1" applyAlignment="1">
      <alignment horizontal="right"/>
    </xf>
    <xf numFmtId="0" fontId="34" fillId="0" borderId="28" xfId="0" applyFont="1" applyBorder="1" applyAlignment="1">
      <alignment vertical="top" wrapText="1"/>
    </xf>
    <xf numFmtId="0" fontId="34" fillId="0" borderId="28" xfId="0" applyFont="1" applyBorder="1" applyAlignment="1">
      <alignment vertical="top"/>
    </xf>
    <xf numFmtId="0" fontId="34" fillId="0" borderId="28" xfId="0" applyFont="1" applyBorder="1" applyAlignment="1">
      <alignment horizontal="right" vertical="top"/>
    </xf>
    <xf numFmtId="0" fontId="34" fillId="6" borderId="28" xfId="0" applyFont="1" applyFill="1" applyBorder="1" applyAlignment="1">
      <alignment horizontal="center" vertical="top"/>
    </xf>
    <xf numFmtId="0" fontId="34" fillId="0" borderId="28" xfId="0" applyFont="1" applyBorder="1"/>
    <xf numFmtId="0" fontId="34" fillId="0" borderId="28" xfId="0" applyFont="1" applyBorder="1" applyAlignment="1">
      <alignment horizontal="left" indent="1"/>
    </xf>
    <xf numFmtId="0" fontId="33" fillId="5" borderId="28" xfId="0" applyFont="1" applyFill="1" applyBorder="1" applyAlignment="1">
      <alignment horizontal="center" vertical="center"/>
    </xf>
    <xf numFmtId="0" fontId="33" fillId="5" borderId="28" xfId="0" applyFont="1" applyFill="1" applyBorder="1" applyAlignment="1">
      <alignment horizontal="left" indent="1"/>
    </xf>
    <xf numFmtId="0" fontId="33" fillId="5" borderId="28" xfId="0" applyFont="1" applyFill="1" applyBorder="1" applyAlignment="1">
      <alignment horizontal="right"/>
    </xf>
    <xf numFmtId="0" fontId="33" fillId="5" borderId="28" xfId="0" applyFont="1" applyFill="1" applyBorder="1" applyAlignment="1">
      <alignment horizontal="center" vertical="top"/>
    </xf>
    <xf numFmtId="0" fontId="34" fillId="0" borderId="28" xfId="0" applyFont="1" applyBorder="1" applyAlignment="1">
      <alignment horizontal="left" indent="2"/>
    </xf>
    <xf numFmtId="0" fontId="34" fillId="0" borderId="28" xfId="0" applyFont="1" applyBorder="1" applyAlignment="1">
      <alignment horizontal="left" wrapText="1" indent="3"/>
    </xf>
    <xf numFmtId="0" fontId="37" fillId="0" borderId="28" xfId="0" applyFont="1" applyBorder="1" applyAlignment="1">
      <alignment horizontal="left" wrapText="1" indent="3"/>
    </xf>
    <xf numFmtId="0" fontId="34" fillId="6" borderId="28" xfId="0" applyFont="1" applyFill="1" applyBorder="1" applyAlignment="1">
      <alignment vertical="top"/>
    </xf>
    <xf numFmtId="0" fontId="34" fillId="0" borderId="28" xfId="0" applyFont="1" applyBorder="1" applyAlignment="1">
      <alignment horizontal="left" vertical="top" wrapText="1" indent="3"/>
    </xf>
    <xf numFmtId="0" fontId="34" fillId="0" borderId="28" xfId="0" applyFont="1" applyBorder="1" applyAlignment="1">
      <alignment horizontal="left" vertical="top" indent="2"/>
    </xf>
    <xf numFmtId="0" fontId="34" fillId="0" borderId="28" xfId="0" applyFont="1" applyBorder="1" applyAlignment="1">
      <alignment horizontal="left" vertical="top" wrapText="1" indent="2"/>
    </xf>
    <xf numFmtId="0" fontId="34" fillId="3" borderId="28" xfId="0" applyFont="1" applyFill="1" applyBorder="1" applyAlignment="1">
      <alignment vertical="top"/>
    </xf>
    <xf numFmtId="0" fontId="34" fillId="0" borderId="28" xfId="0" applyFont="1" applyBorder="1" applyAlignment="1">
      <alignment horizontal="left" wrapText="1" indent="2"/>
    </xf>
    <xf numFmtId="0" fontId="34" fillId="3" borderId="28" xfId="0" applyFont="1" applyFill="1" applyBorder="1"/>
    <xf numFmtId="0" fontId="34" fillId="0" borderId="28" xfId="0" applyFont="1" applyBorder="1" applyAlignment="1">
      <alignment horizontal="left" vertical="top" wrapText="1" indent="1"/>
    </xf>
    <xf numFmtId="0" fontId="9" fillId="12" borderId="1" xfId="1" applyFont="1" applyFill="1" applyBorder="1" applyAlignment="1">
      <alignment horizontal="center" vertical="center"/>
    </xf>
    <xf numFmtId="166" fontId="9" fillId="10" borderId="8" xfId="4" applyNumberFormat="1" applyFont="1" applyFill="1" applyBorder="1" applyAlignment="1">
      <alignment horizontal="center" vertical="center" wrapText="1"/>
    </xf>
    <xf numFmtId="166" fontId="9" fillId="10" borderId="0" xfId="4" applyNumberFormat="1" applyFont="1" applyFill="1" applyBorder="1" applyAlignment="1">
      <alignment horizontal="center" vertical="center" wrapText="1"/>
    </xf>
    <xf numFmtId="166" fontId="9" fillId="10" borderId="9" xfId="4" applyNumberFormat="1" applyFont="1" applyFill="1" applyBorder="1" applyAlignment="1">
      <alignment horizontal="center" vertical="center" wrapText="1"/>
    </xf>
    <xf numFmtId="166" fontId="9" fillId="10" borderId="10" xfId="4" applyNumberFormat="1" applyFont="1" applyFill="1" applyBorder="1" applyAlignment="1">
      <alignment horizontal="center" vertical="center" wrapText="1"/>
    </xf>
    <xf numFmtId="0" fontId="9" fillId="12" borderId="5" xfId="1" applyFont="1" applyFill="1" applyBorder="1" applyAlignment="1">
      <alignment horizontal="center" vertical="center"/>
    </xf>
    <xf numFmtId="0" fontId="9" fillId="12" borderId="6" xfId="1" applyFont="1" applyFill="1" applyBorder="1" applyAlignment="1">
      <alignment horizontal="center" vertical="center"/>
    </xf>
    <xf numFmtId="0" fontId="9" fillId="12" borderId="4" xfId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14" borderId="16" xfId="0" applyFont="1" applyFill="1" applyBorder="1" applyAlignment="1">
      <alignment vertical="center" wrapText="1"/>
    </xf>
    <xf numFmtId="0" fontId="5" fillId="14" borderId="12" xfId="0" applyFont="1" applyFill="1" applyBorder="1" applyAlignment="1">
      <alignment vertical="center" wrapText="1"/>
    </xf>
    <xf numFmtId="0" fontId="5" fillId="14" borderId="16" xfId="0" applyFont="1" applyFill="1" applyBorder="1" applyAlignment="1">
      <alignment horizontal="center" vertical="center" wrapText="1"/>
    </xf>
    <xf numFmtId="0" fontId="5" fillId="14" borderId="12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5" fillId="15" borderId="16" xfId="0" applyFont="1" applyFill="1" applyBorder="1" applyAlignment="1">
      <alignment vertical="center" wrapText="1"/>
    </xf>
    <xf numFmtId="0" fontId="15" fillId="15" borderId="18" xfId="0" applyFont="1" applyFill="1" applyBorder="1" applyAlignment="1">
      <alignment vertical="center" wrapText="1"/>
    </xf>
    <xf numFmtId="0" fontId="15" fillId="15" borderId="12" xfId="0" applyFont="1" applyFill="1" applyBorder="1" applyAlignment="1">
      <alignment vertical="center" wrapText="1"/>
    </xf>
    <xf numFmtId="0" fontId="6" fillId="15" borderId="16" xfId="0" applyFont="1" applyFill="1" applyBorder="1" applyAlignment="1">
      <alignment horizontal="center" vertical="center" wrapText="1"/>
    </xf>
    <xf numFmtId="0" fontId="6" fillId="15" borderId="18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6" xfId="0" applyFont="1" applyFill="1" applyBorder="1" applyAlignment="1">
      <alignment horizontal="center" vertical="center"/>
    </xf>
    <xf numFmtId="0" fontId="25" fillId="3" borderId="22" xfId="0" applyFont="1" applyFill="1" applyBorder="1" applyAlignment="1">
      <alignment horizontal="left" vertical="top" readingOrder="1"/>
    </xf>
    <xf numFmtId="0" fontId="25" fillId="3" borderId="24" xfId="0" applyFont="1" applyFill="1" applyBorder="1" applyAlignment="1">
      <alignment horizontal="left" vertical="top" readingOrder="1"/>
    </xf>
    <xf numFmtId="0" fontId="25" fillId="3" borderId="23" xfId="0" applyFont="1" applyFill="1" applyBorder="1" applyAlignment="1">
      <alignment horizontal="left" vertical="top" readingOrder="1"/>
    </xf>
    <xf numFmtId="0" fontId="24" fillId="19" borderId="25" xfId="0" applyFont="1" applyFill="1" applyBorder="1" applyAlignment="1">
      <alignment horizontal="center" readingOrder="1"/>
    </xf>
    <xf numFmtId="0" fontId="24" fillId="19" borderId="24" xfId="0" applyFont="1" applyFill="1" applyBorder="1" applyAlignment="1">
      <alignment horizontal="center" readingOrder="1"/>
    </xf>
    <xf numFmtId="0" fontId="24" fillId="19" borderId="23" xfId="0" applyFont="1" applyFill="1" applyBorder="1" applyAlignment="1">
      <alignment horizontal="center" readingOrder="1"/>
    </xf>
    <xf numFmtId="0" fontId="24" fillId="19" borderId="22" xfId="0" applyFont="1" applyFill="1" applyBorder="1" applyAlignment="1">
      <alignment horizontal="center" readingOrder="1"/>
    </xf>
    <xf numFmtId="0" fontId="24" fillId="19" borderId="29" xfId="0" applyFont="1" applyFill="1" applyBorder="1" applyAlignment="1">
      <alignment horizontal="center" readingOrder="1"/>
    </xf>
    <xf numFmtId="0" fontId="24" fillId="20" borderId="30" xfId="0" applyFont="1" applyFill="1" applyBorder="1" applyAlignment="1">
      <alignment horizontal="center" vertical="center" readingOrder="1"/>
    </xf>
    <xf numFmtId="0" fontId="24" fillId="20" borderId="32" xfId="0" applyFont="1" applyFill="1" applyBorder="1" applyAlignment="1">
      <alignment horizontal="center" vertical="center" readingOrder="1"/>
    </xf>
    <xf numFmtId="0" fontId="24" fillId="19" borderId="31" xfId="0" applyFont="1" applyFill="1" applyBorder="1" applyAlignment="1">
      <alignment horizontal="center" vertical="center" readingOrder="1"/>
    </xf>
    <xf numFmtId="0" fontId="24" fillId="19" borderId="33" xfId="0" applyFont="1" applyFill="1" applyBorder="1" applyAlignment="1">
      <alignment horizontal="center" vertical="center" readingOrder="1"/>
    </xf>
  </cellXfs>
  <cellStyles count="8">
    <cellStyle name="Comma 3" xfId="4" xr:uid="{A9ACF537-4CF7-4E62-B662-6AEBC485A716}"/>
    <cellStyle name="Comma 3 2" xfId="6" xr:uid="{33C0F9B6-6122-472A-AEBB-32B062FEF459}"/>
    <cellStyle name="Comma 4" xfId="2" xr:uid="{FDE227A8-9867-4502-8FE0-E94680CF424E}"/>
    <cellStyle name="Comma 4 2" xfId="5" xr:uid="{9DD66DBF-FC04-4458-B4BC-E8A7FC2E9708}"/>
    <cellStyle name="Hyperlink" xfId="7" builtinId="8"/>
    <cellStyle name="Normal 3 2" xfId="1" xr:uid="{00000000-0005-0000-0000-000001000000}"/>
    <cellStyle name="จุลภาค" xfId="3" builtinId="3"/>
    <cellStyle name="ปกติ" xfId="0" builtinId="0"/>
  </cellStyles>
  <dxfs count="0"/>
  <tableStyles count="0" defaultTableStyle="TableStyleMedium2" defaultPivotStyle="PivotStyleLight16"/>
  <colors>
    <mruColors>
      <color rgb="FFCC99FF"/>
      <color rgb="FFCC99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65A3-6C18-F14F-BFC4-C0DFB8E73CC7}">
  <dimension ref="A1:I29"/>
  <sheetViews>
    <sheetView tabSelected="1" zoomScale="122" zoomScaleNormal="115" workbookViewId="0">
      <selection activeCell="D16" sqref="D16"/>
    </sheetView>
  </sheetViews>
  <sheetFormatPr defaultColWidth="9.140625" defaultRowHeight="12.75" customHeight="1" outlineLevelCol="1"/>
  <cols>
    <col min="1" max="1" width="9.140625" style="9"/>
    <col min="2" max="2" width="16" style="9" customWidth="1"/>
    <col min="3" max="3" width="30.140625" style="8" bestFit="1" customWidth="1"/>
    <col min="4" max="4" width="18.28515625" style="8" customWidth="1"/>
    <col min="5" max="5" width="21.42578125" style="8" customWidth="1"/>
    <col min="6" max="6" width="13.85546875" style="8" bestFit="1" customWidth="1"/>
    <col min="7" max="7" width="9.7109375" style="10" customWidth="1" outlineLevel="1"/>
    <col min="8" max="8" width="16.42578125" style="11" customWidth="1" outlineLevel="1"/>
    <col min="9" max="9" width="18" style="8" customWidth="1"/>
    <col min="10" max="10" width="3.85546875" style="8" customWidth="1"/>
    <col min="11" max="16384" width="9.140625" style="8"/>
  </cols>
  <sheetData>
    <row r="1" spans="1:9" ht="12.95" customHeight="1">
      <c r="A1" s="179" t="s">
        <v>0</v>
      </c>
      <c r="B1" s="179"/>
      <c r="C1" s="179"/>
      <c r="D1" s="179"/>
      <c r="E1" s="179"/>
      <c r="F1" s="179"/>
      <c r="G1" s="180" t="s">
        <v>1</v>
      </c>
      <c r="H1" s="181"/>
      <c r="I1" s="181"/>
    </row>
    <row r="2" spans="1:9">
      <c r="A2" s="179"/>
      <c r="B2" s="179"/>
      <c r="C2" s="179"/>
      <c r="D2" s="179"/>
      <c r="E2" s="179"/>
      <c r="F2" s="179"/>
      <c r="G2" s="182"/>
      <c r="H2" s="183"/>
      <c r="I2" s="183"/>
    </row>
    <row r="3" spans="1:9" ht="24.7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9" t="s">
        <v>8</v>
      </c>
      <c r="H3" s="20" t="s">
        <v>9</v>
      </c>
      <c r="I3" s="19" t="s">
        <v>10</v>
      </c>
    </row>
    <row r="4" spans="1:9">
      <c r="A4" s="14">
        <v>1</v>
      </c>
      <c r="B4" s="14">
        <v>642298</v>
      </c>
      <c r="C4" s="23" t="s">
        <v>11</v>
      </c>
      <c r="D4" s="14" t="s">
        <v>12</v>
      </c>
      <c r="E4" s="23" t="s">
        <v>13</v>
      </c>
      <c r="F4" s="14" t="s">
        <v>14</v>
      </c>
      <c r="G4" s="87">
        <v>64</v>
      </c>
      <c r="H4" s="21">
        <v>14000</v>
      </c>
      <c r="I4" s="21">
        <f>H4*G4</f>
        <v>896000</v>
      </c>
    </row>
    <row r="5" spans="1:9">
      <c r="A5" s="14">
        <v>2</v>
      </c>
      <c r="B5" s="14">
        <v>632286</v>
      </c>
      <c r="C5" s="23" t="s">
        <v>15</v>
      </c>
      <c r="D5" s="14" t="s">
        <v>12</v>
      </c>
      <c r="E5" s="23" t="s">
        <v>16</v>
      </c>
      <c r="F5" s="14" t="s">
        <v>17</v>
      </c>
      <c r="G5" s="86">
        <v>80</v>
      </c>
      <c r="H5" s="21">
        <v>8500</v>
      </c>
      <c r="I5" s="21">
        <f>H5*G5</f>
        <v>680000</v>
      </c>
    </row>
    <row r="6" spans="1:9">
      <c r="A6" s="14">
        <v>3</v>
      </c>
      <c r="B6" s="14">
        <v>652054</v>
      </c>
      <c r="C6" s="23" t="s">
        <v>18</v>
      </c>
      <c r="D6" s="14" t="s">
        <v>12</v>
      </c>
      <c r="E6" s="23" t="s">
        <v>19</v>
      </c>
      <c r="F6" s="14" t="s">
        <v>17</v>
      </c>
      <c r="G6" s="86">
        <v>70</v>
      </c>
      <c r="H6" s="21">
        <v>8500</v>
      </c>
      <c r="I6" s="21">
        <f t="shared" ref="I6:I17" si="0">H6*G6</f>
        <v>595000</v>
      </c>
    </row>
    <row r="7" spans="1:9">
      <c r="A7" s="14">
        <v>4</v>
      </c>
      <c r="B7" s="14">
        <v>662139</v>
      </c>
      <c r="C7" s="23" t="s">
        <v>20</v>
      </c>
      <c r="D7" s="14" t="s">
        <v>12</v>
      </c>
      <c r="E7" s="23" t="s">
        <v>21</v>
      </c>
      <c r="F7" s="14" t="s">
        <v>17</v>
      </c>
      <c r="G7" s="86">
        <v>70</v>
      </c>
      <c r="H7" s="21">
        <v>8500</v>
      </c>
      <c r="I7" s="21">
        <f t="shared" si="0"/>
        <v>595000</v>
      </c>
    </row>
    <row r="8" spans="1:9">
      <c r="A8" s="14">
        <v>5</v>
      </c>
      <c r="B8" s="14">
        <v>672226</v>
      </c>
      <c r="C8" s="23" t="s">
        <v>22</v>
      </c>
      <c r="D8" s="14" t="s">
        <v>12</v>
      </c>
      <c r="E8" s="23" t="s">
        <v>23</v>
      </c>
      <c r="F8" s="14" t="s">
        <v>17</v>
      </c>
      <c r="G8" s="86">
        <v>58</v>
      </c>
      <c r="H8" s="21">
        <v>8500</v>
      </c>
      <c r="I8" s="21">
        <f t="shared" si="0"/>
        <v>493000</v>
      </c>
    </row>
    <row r="9" spans="1:9">
      <c r="A9" s="14">
        <v>6</v>
      </c>
      <c r="B9" s="14">
        <v>632112</v>
      </c>
      <c r="C9" s="23" t="s">
        <v>24</v>
      </c>
      <c r="D9" s="14" t="s">
        <v>12</v>
      </c>
      <c r="E9" s="23" t="s">
        <v>25</v>
      </c>
      <c r="F9" s="14" t="s">
        <v>17</v>
      </c>
      <c r="G9" s="86">
        <v>80</v>
      </c>
      <c r="H9" s="21">
        <v>8500</v>
      </c>
      <c r="I9" s="21">
        <f t="shared" si="0"/>
        <v>680000</v>
      </c>
    </row>
    <row r="10" spans="1:9">
      <c r="A10" s="14">
        <v>7</v>
      </c>
      <c r="B10" s="14">
        <v>642476</v>
      </c>
      <c r="C10" s="23" t="s">
        <v>26</v>
      </c>
      <c r="D10" s="14" t="s">
        <v>12</v>
      </c>
      <c r="E10" s="23" t="s">
        <v>27</v>
      </c>
      <c r="F10" s="14" t="s">
        <v>17</v>
      </c>
      <c r="G10" s="86">
        <v>80</v>
      </c>
      <c r="H10" s="21">
        <v>8500</v>
      </c>
      <c r="I10" s="21">
        <f t="shared" si="0"/>
        <v>680000</v>
      </c>
    </row>
    <row r="11" spans="1:9">
      <c r="A11" s="14">
        <v>8</v>
      </c>
      <c r="B11" s="14">
        <v>652512</v>
      </c>
      <c r="C11" s="23" t="s">
        <v>28</v>
      </c>
      <c r="D11" s="14" t="s">
        <v>12</v>
      </c>
      <c r="E11" s="23" t="s">
        <v>27</v>
      </c>
      <c r="F11" s="14" t="s">
        <v>17</v>
      </c>
      <c r="G11" s="86">
        <v>77</v>
      </c>
      <c r="H11" s="21">
        <v>8500</v>
      </c>
      <c r="I11" s="21">
        <f t="shared" si="0"/>
        <v>654500</v>
      </c>
    </row>
    <row r="12" spans="1:9">
      <c r="A12" s="14">
        <v>9</v>
      </c>
      <c r="B12" s="14">
        <v>560117</v>
      </c>
      <c r="C12" s="23" t="s">
        <v>29</v>
      </c>
      <c r="D12" s="14" t="s">
        <v>30</v>
      </c>
      <c r="E12" s="23" t="s">
        <v>31</v>
      </c>
      <c r="F12" s="14" t="s">
        <v>17</v>
      </c>
      <c r="G12" s="86">
        <v>5</v>
      </c>
      <c r="H12" s="21">
        <v>8500</v>
      </c>
      <c r="I12" s="21">
        <f t="shared" si="0"/>
        <v>42500</v>
      </c>
    </row>
    <row r="13" spans="1:9">
      <c r="A13" s="14">
        <v>10</v>
      </c>
      <c r="B13" s="14">
        <v>652400</v>
      </c>
      <c r="C13" s="23" t="s">
        <v>32</v>
      </c>
      <c r="D13" s="14" t="s">
        <v>12</v>
      </c>
      <c r="E13" s="23" t="s">
        <v>33</v>
      </c>
      <c r="F13" s="14" t="s">
        <v>17</v>
      </c>
      <c r="G13" s="88">
        <v>3</v>
      </c>
      <c r="H13" s="21">
        <v>8500</v>
      </c>
      <c r="I13" s="21">
        <f t="shared" si="0"/>
        <v>25500</v>
      </c>
    </row>
    <row r="14" spans="1:9">
      <c r="A14" s="14">
        <v>11</v>
      </c>
      <c r="B14" s="14">
        <v>632041</v>
      </c>
      <c r="C14" s="23" t="s">
        <v>34</v>
      </c>
      <c r="D14" s="14" t="s">
        <v>12</v>
      </c>
      <c r="E14" s="23" t="s">
        <v>35</v>
      </c>
      <c r="F14" s="14" t="s">
        <v>17</v>
      </c>
      <c r="G14" s="88">
        <f>12+3</f>
        <v>15</v>
      </c>
      <c r="H14" s="21">
        <v>8500</v>
      </c>
      <c r="I14" s="21">
        <f t="shared" si="0"/>
        <v>127500</v>
      </c>
    </row>
    <row r="15" spans="1:9">
      <c r="A15" s="14">
        <v>12</v>
      </c>
      <c r="B15" s="14">
        <v>590359</v>
      </c>
      <c r="C15" s="23" t="s">
        <v>36</v>
      </c>
      <c r="D15" s="14" t="s">
        <v>30</v>
      </c>
      <c r="E15" s="23" t="s">
        <v>37</v>
      </c>
      <c r="F15" s="14" t="s">
        <v>17</v>
      </c>
      <c r="G15" s="88">
        <v>3</v>
      </c>
      <c r="H15" s="21">
        <v>8500</v>
      </c>
      <c r="I15" s="21">
        <f t="shared" si="0"/>
        <v>25500</v>
      </c>
    </row>
    <row r="16" spans="1:9">
      <c r="A16" s="14">
        <v>13</v>
      </c>
      <c r="B16" s="14">
        <v>642150</v>
      </c>
      <c r="C16" s="15" t="s">
        <v>38</v>
      </c>
      <c r="D16" s="14" t="s">
        <v>30</v>
      </c>
      <c r="E16" s="15" t="s">
        <v>39</v>
      </c>
      <c r="F16" s="14" t="s">
        <v>17</v>
      </c>
      <c r="G16" s="88">
        <v>3</v>
      </c>
      <c r="H16" s="21">
        <v>8500</v>
      </c>
      <c r="I16" s="21">
        <f t="shared" si="0"/>
        <v>25500</v>
      </c>
    </row>
    <row r="17" spans="1:9">
      <c r="A17" s="14">
        <v>14</v>
      </c>
      <c r="B17" s="14">
        <v>570018</v>
      </c>
      <c r="C17" s="15" t="s">
        <v>40</v>
      </c>
      <c r="D17" s="14" t="s">
        <v>30</v>
      </c>
      <c r="E17" s="15" t="s">
        <v>41</v>
      </c>
      <c r="F17" s="14" t="s">
        <v>17</v>
      </c>
      <c r="G17" s="88"/>
      <c r="H17" s="21">
        <v>8500</v>
      </c>
      <c r="I17" s="21">
        <f t="shared" si="0"/>
        <v>0</v>
      </c>
    </row>
    <row r="18" spans="1:9">
      <c r="A18" s="14"/>
      <c r="B18" s="14"/>
      <c r="C18" s="15"/>
      <c r="D18" s="15"/>
      <c r="E18" s="22"/>
      <c r="F18" s="25" t="s">
        <v>42</v>
      </c>
      <c r="G18" s="24">
        <f>SUM(G4:G16)</f>
        <v>608</v>
      </c>
      <c r="H18" s="82"/>
      <c r="I18" s="83">
        <f>SUM(I4:I17)</f>
        <v>5520000</v>
      </c>
    </row>
    <row r="19" spans="1:9"/>
    <row r="20" spans="1:9" ht="24.75">
      <c r="A20" s="184" t="s">
        <v>43</v>
      </c>
      <c r="B20" s="185"/>
      <c r="C20" s="186"/>
      <c r="D20" s="12" t="s">
        <v>44</v>
      </c>
      <c r="G20" s="8"/>
      <c r="H20" s="13"/>
      <c r="I20" s="47"/>
    </row>
    <row r="21" spans="1:9">
      <c r="A21" s="14">
        <v>1</v>
      </c>
      <c r="B21" s="14"/>
      <c r="C21" s="15" t="s">
        <v>45</v>
      </c>
      <c r="D21" s="16" t="s">
        <v>46</v>
      </c>
      <c r="G21" s="8"/>
      <c r="H21" s="8"/>
      <c r="I21" s="47"/>
    </row>
    <row r="22" spans="1:9" ht="24.75">
      <c r="A22" s="14">
        <v>2</v>
      </c>
      <c r="B22" s="14"/>
      <c r="C22" s="15" t="s">
        <v>47</v>
      </c>
      <c r="D22" s="16">
        <v>0</v>
      </c>
      <c r="E22" s="57"/>
      <c r="G22" s="8"/>
      <c r="H22" s="123" t="s">
        <v>48</v>
      </c>
      <c r="I22" s="46">
        <f>I18+SUM(D21:D25)</f>
        <v>5520000</v>
      </c>
    </row>
    <row r="23" spans="1:9">
      <c r="A23" s="14">
        <v>3</v>
      </c>
      <c r="B23" s="14"/>
      <c r="C23" s="15" t="s">
        <v>49</v>
      </c>
      <c r="D23" s="16" t="s">
        <v>46</v>
      </c>
      <c r="G23" s="8"/>
      <c r="I23" s="47"/>
    </row>
    <row r="24" spans="1:9">
      <c r="A24" s="14">
        <v>4</v>
      </c>
      <c r="B24" s="14"/>
      <c r="C24" s="15" t="s">
        <v>50</v>
      </c>
      <c r="D24" s="17" t="s">
        <v>46</v>
      </c>
      <c r="G24" s="8"/>
      <c r="H24" s="8"/>
    </row>
    <row r="25" spans="1:9">
      <c r="A25" s="14">
        <v>5</v>
      </c>
      <c r="B25" s="14"/>
      <c r="C25" s="15" t="s">
        <v>51</v>
      </c>
      <c r="D25" s="17" t="s">
        <v>46</v>
      </c>
      <c r="G25" s="8"/>
    </row>
    <row r="27" spans="1:9"/>
    <row r="28" spans="1:9"/>
    <row r="29" spans="1:9"/>
  </sheetData>
  <mergeCells count="3">
    <mergeCell ref="A1:F2"/>
    <mergeCell ref="G1:I2"/>
    <mergeCell ref="A20:C20"/>
  </mergeCells>
  <dataValidations count="2">
    <dataValidation type="list" allowBlank="1" showInputMessage="1" sqref="E18:F18" xr:uid="{1B460704-BAB0-9349-9A4C-3E825C34B94F}">
      <formula1>LstLevel</formula1>
    </dataValidation>
    <dataValidation type="list" allowBlank="1" showInputMessage="1" sqref="A18:D18" xr:uid="{7FF69A6D-8D9D-154C-A7E5-7E3AA10FCB55}">
      <formula1>LstStaffs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0C21-1219-48F1-9BE1-615EBFF972E1}">
  <dimension ref="A1:R47"/>
  <sheetViews>
    <sheetView topLeftCell="A3" zoomScale="115" zoomScaleNormal="115" workbookViewId="0">
      <pane xSplit="2" ySplit="3" topLeftCell="J6" activePane="bottomRight" state="frozen"/>
      <selection pane="bottomRight" activeCell="C12" sqref="C12:C15"/>
      <selection pane="bottomLeft" activeCell="A6" sqref="A6"/>
      <selection pane="topRight" activeCell="C3" sqref="C3"/>
    </sheetView>
  </sheetViews>
  <sheetFormatPr defaultColWidth="8.85546875" defaultRowHeight="15"/>
  <cols>
    <col min="1" max="1" width="18.140625" customWidth="1"/>
    <col min="2" max="2" width="49.140625" customWidth="1"/>
    <col min="3" max="3" width="18.140625" customWidth="1"/>
    <col min="4" max="4" width="16.5703125" customWidth="1"/>
    <col min="5" max="5" width="16.140625" customWidth="1"/>
    <col min="6" max="8" width="15.42578125" customWidth="1"/>
    <col min="9" max="9" width="19.28515625" customWidth="1"/>
    <col min="10" max="12" width="15.42578125" customWidth="1"/>
    <col min="13" max="15" width="15.28515625" customWidth="1"/>
    <col min="16" max="16" width="17.140625" customWidth="1"/>
    <col min="18" max="18" width="22.28515625" customWidth="1"/>
  </cols>
  <sheetData>
    <row r="1" spans="1:16">
      <c r="A1" s="26" t="s">
        <v>52</v>
      </c>
      <c r="B1" s="27"/>
      <c r="C1" s="27"/>
      <c r="D1" s="27"/>
      <c r="E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>
      <c r="A2" s="28" t="s">
        <v>53</v>
      </c>
      <c r="B2" s="29"/>
      <c r="C2" s="29"/>
      <c r="D2" s="29" t="s">
        <v>54</v>
      </c>
      <c r="E2" s="29"/>
      <c r="F2" s="29" t="s">
        <v>54</v>
      </c>
      <c r="G2" s="29" t="s">
        <v>54</v>
      </c>
      <c r="H2" s="29" t="s">
        <v>54</v>
      </c>
      <c r="I2" s="29" t="s">
        <v>54</v>
      </c>
      <c r="J2" s="29" t="s">
        <v>54</v>
      </c>
      <c r="K2" s="29"/>
      <c r="L2" s="29"/>
      <c r="M2" s="29" t="s">
        <v>54</v>
      </c>
      <c r="N2" s="29"/>
      <c r="O2" s="29"/>
      <c r="P2" s="29"/>
    </row>
    <row r="3" spans="1:16">
      <c r="A3" s="190" t="s">
        <v>55</v>
      </c>
      <c r="B3" s="190" t="s">
        <v>56</v>
      </c>
      <c r="C3" s="192" t="s">
        <v>57</v>
      </c>
      <c r="D3" s="23" t="s">
        <v>13</v>
      </c>
      <c r="E3" s="23" t="s">
        <v>16</v>
      </c>
      <c r="F3" s="23" t="s">
        <v>19</v>
      </c>
      <c r="G3" s="23" t="s">
        <v>21</v>
      </c>
      <c r="H3" s="23" t="s">
        <v>23</v>
      </c>
      <c r="I3" s="23" t="s">
        <v>25</v>
      </c>
      <c r="J3" s="23" t="s">
        <v>27</v>
      </c>
      <c r="K3" s="23" t="s">
        <v>27</v>
      </c>
      <c r="L3" s="23" t="s">
        <v>31</v>
      </c>
      <c r="M3" s="23" t="s">
        <v>33</v>
      </c>
      <c r="N3" s="23" t="s">
        <v>35</v>
      </c>
      <c r="O3" s="23" t="s">
        <v>37</v>
      </c>
      <c r="P3" s="15" t="s">
        <v>39</v>
      </c>
    </row>
    <row r="4" spans="1:16" ht="27.95">
      <c r="A4" s="191"/>
      <c r="B4" s="191"/>
      <c r="C4" s="193"/>
      <c r="D4" s="23" t="s">
        <v>58</v>
      </c>
      <c r="E4" s="23" t="s">
        <v>15</v>
      </c>
      <c r="F4" s="23" t="s">
        <v>18</v>
      </c>
      <c r="G4" s="23" t="s">
        <v>20</v>
      </c>
      <c r="H4" s="23" t="s">
        <v>22</v>
      </c>
      <c r="I4" s="23" t="s">
        <v>24</v>
      </c>
      <c r="J4" s="23" t="s">
        <v>26</v>
      </c>
      <c r="K4" s="23" t="s">
        <v>59</v>
      </c>
      <c r="L4" s="23" t="s">
        <v>29</v>
      </c>
      <c r="M4" s="23" t="s">
        <v>32</v>
      </c>
      <c r="N4" s="23" t="s">
        <v>34</v>
      </c>
      <c r="O4" s="23" t="s">
        <v>36</v>
      </c>
      <c r="P4" s="114" t="s">
        <v>38</v>
      </c>
    </row>
    <row r="5" spans="1:16">
      <c r="A5" s="51"/>
      <c r="B5" s="52"/>
      <c r="C5" s="53"/>
      <c r="D5" s="54">
        <f>D41</f>
        <v>64</v>
      </c>
      <c r="E5" s="54">
        <f>E41</f>
        <v>80</v>
      </c>
      <c r="F5" s="54">
        <f t="shared" ref="F5" si="0">F41</f>
        <v>70</v>
      </c>
      <c r="G5" s="54">
        <f t="shared" ref="G5:O5" si="1">G41</f>
        <v>70</v>
      </c>
      <c r="H5" s="54">
        <f t="shared" si="1"/>
        <v>58</v>
      </c>
      <c r="I5" s="54">
        <f t="shared" si="1"/>
        <v>80</v>
      </c>
      <c r="J5" s="54">
        <f t="shared" ref="J5" si="2">J41</f>
        <v>80</v>
      </c>
      <c r="K5" s="54">
        <f t="shared" si="1"/>
        <v>77</v>
      </c>
      <c r="L5" s="54">
        <f>L41</f>
        <v>5</v>
      </c>
      <c r="M5" s="54">
        <f t="shared" si="1"/>
        <v>3</v>
      </c>
      <c r="N5" s="54">
        <f t="shared" si="1"/>
        <v>15</v>
      </c>
      <c r="O5" s="54">
        <f t="shared" si="1"/>
        <v>3</v>
      </c>
      <c r="P5" s="54">
        <f t="shared" ref="P5" si="3">P41</f>
        <v>3</v>
      </c>
    </row>
    <row r="6" spans="1:16" ht="15.95" customHeight="1">
      <c r="A6" s="194" t="s">
        <v>60</v>
      </c>
      <c r="B6" s="30" t="s">
        <v>61</v>
      </c>
      <c r="C6" s="187" t="s">
        <v>62</v>
      </c>
      <c r="D6" s="187">
        <v>5</v>
      </c>
      <c r="E6" s="187">
        <v>2</v>
      </c>
      <c r="F6" s="187">
        <v>1</v>
      </c>
      <c r="G6" s="187">
        <v>1</v>
      </c>
      <c r="H6" s="187"/>
      <c r="I6" s="187"/>
      <c r="J6" s="187"/>
      <c r="K6" s="187"/>
      <c r="L6" s="97"/>
      <c r="M6" s="187"/>
      <c r="N6" s="187"/>
      <c r="O6" s="187"/>
      <c r="P6" s="187"/>
    </row>
    <row r="7" spans="1:16" ht="15.95" customHeight="1">
      <c r="A7" s="195"/>
      <c r="B7" s="45" t="s">
        <v>63</v>
      </c>
      <c r="C7" s="188"/>
      <c r="D7" s="188"/>
      <c r="E7" s="188"/>
      <c r="F7" s="188"/>
      <c r="G7" s="188"/>
      <c r="H7" s="188"/>
      <c r="I7" s="188"/>
      <c r="J7" s="188"/>
      <c r="K7" s="188"/>
      <c r="L7" s="98"/>
      <c r="M7" s="188"/>
      <c r="N7" s="188"/>
      <c r="O7" s="188"/>
      <c r="P7" s="188"/>
    </row>
    <row r="8" spans="1:16" ht="15.95" customHeight="1">
      <c r="A8" s="196"/>
      <c r="B8" s="31" t="s">
        <v>64</v>
      </c>
      <c r="C8" s="189"/>
      <c r="D8" s="189"/>
      <c r="E8" s="189"/>
      <c r="F8" s="189"/>
      <c r="G8" s="189"/>
      <c r="H8" s="189"/>
      <c r="I8" s="189"/>
      <c r="J8" s="189"/>
      <c r="K8" s="189"/>
      <c r="L8" s="99"/>
      <c r="M8" s="189"/>
      <c r="N8" s="189"/>
      <c r="O8" s="189"/>
      <c r="P8" s="189"/>
    </row>
    <row r="9" spans="1:16">
      <c r="A9" s="197" t="s">
        <v>65</v>
      </c>
      <c r="B9" s="32" t="s">
        <v>66</v>
      </c>
      <c r="C9" s="200"/>
      <c r="D9" s="200">
        <v>2</v>
      </c>
      <c r="E9" s="48"/>
      <c r="F9" s="200"/>
      <c r="G9" s="200"/>
      <c r="H9" s="200"/>
      <c r="I9" s="48"/>
      <c r="J9" s="200"/>
      <c r="K9" s="48"/>
      <c r="L9" s="48"/>
      <c r="M9" s="200"/>
      <c r="N9" s="48"/>
      <c r="O9" s="48"/>
      <c r="P9" s="48"/>
    </row>
    <row r="10" spans="1:16" ht="15.95" customHeight="1">
      <c r="A10" s="198"/>
      <c r="B10" s="32" t="s">
        <v>67</v>
      </c>
      <c r="C10" s="201"/>
      <c r="D10" s="201"/>
      <c r="E10" s="49">
        <v>2</v>
      </c>
      <c r="F10" s="201"/>
      <c r="G10" s="201"/>
      <c r="H10" s="201"/>
      <c r="I10" s="49"/>
      <c r="J10" s="201"/>
      <c r="K10" s="49"/>
      <c r="L10" s="49"/>
      <c r="M10" s="201"/>
      <c r="N10" s="49"/>
      <c r="O10" s="49"/>
      <c r="P10" s="49"/>
    </row>
    <row r="11" spans="1:16" ht="15.95" customHeight="1">
      <c r="A11" s="199"/>
      <c r="B11" s="33" t="s">
        <v>68</v>
      </c>
      <c r="C11" s="202"/>
      <c r="D11" s="202"/>
      <c r="E11" s="50"/>
      <c r="F11" s="202"/>
      <c r="G11" s="202"/>
      <c r="H11" s="202"/>
      <c r="I11" s="50">
        <v>2</v>
      </c>
      <c r="J11" s="202"/>
      <c r="K11" s="50"/>
      <c r="L11" s="50"/>
      <c r="M11" s="202"/>
      <c r="N11" s="50"/>
      <c r="O11" s="50"/>
      <c r="P11" s="50"/>
    </row>
    <row r="12" spans="1:16">
      <c r="A12" s="197" t="s">
        <v>69</v>
      </c>
      <c r="B12" s="32" t="s">
        <v>70</v>
      </c>
      <c r="C12" s="200" t="s">
        <v>71</v>
      </c>
      <c r="D12" s="200">
        <v>20</v>
      </c>
      <c r="E12" s="200">
        <v>22</v>
      </c>
      <c r="F12" s="48">
        <v>20</v>
      </c>
      <c r="G12" s="48">
        <v>20</v>
      </c>
      <c r="H12" s="48">
        <v>10</v>
      </c>
      <c r="I12" s="48"/>
      <c r="J12" s="48"/>
      <c r="K12" s="48"/>
      <c r="L12" s="48"/>
      <c r="M12" s="48"/>
      <c r="N12" s="48"/>
      <c r="O12" s="48"/>
      <c r="P12" s="48"/>
    </row>
    <row r="13" spans="1:16">
      <c r="A13" s="198"/>
      <c r="B13" s="32" t="s">
        <v>72</v>
      </c>
      <c r="C13" s="201"/>
      <c r="D13" s="201"/>
      <c r="E13" s="201"/>
      <c r="F13" s="49">
        <v>4</v>
      </c>
      <c r="G13" s="49">
        <v>4</v>
      </c>
      <c r="H13" s="49"/>
      <c r="I13" s="49"/>
      <c r="J13" s="49"/>
      <c r="K13" s="49"/>
      <c r="L13" s="49"/>
      <c r="M13" s="49"/>
      <c r="N13" s="49"/>
      <c r="O13" s="49"/>
      <c r="P13" s="49"/>
    </row>
    <row r="14" spans="1:16">
      <c r="A14" s="198"/>
      <c r="B14" s="32" t="s">
        <v>73</v>
      </c>
      <c r="C14" s="201"/>
      <c r="D14" s="201"/>
      <c r="E14" s="201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>
      <c r="A15" s="199"/>
      <c r="B15" s="33" t="s">
        <v>74</v>
      </c>
      <c r="C15" s="202"/>
      <c r="D15" s="202"/>
      <c r="E15" s="202"/>
      <c r="F15" s="50"/>
      <c r="G15" s="50"/>
      <c r="H15" s="49"/>
      <c r="I15" s="49"/>
      <c r="J15" s="50"/>
      <c r="K15" s="50"/>
      <c r="L15" s="50"/>
      <c r="M15" s="50"/>
      <c r="N15" s="50"/>
      <c r="O15" s="50"/>
      <c r="P15" s="50"/>
    </row>
    <row r="16" spans="1:16">
      <c r="A16" s="197" t="s">
        <v>75</v>
      </c>
      <c r="B16" s="32" t="s">
        <v>76</v>
      </c>
      <c r="C16" s="200" t="s">
        <v>77</v>
      </c>
      <c r="D16" s="200">
        <v>7</v>
      </c>
      <c r="E16" s="200">
        <v>20</v>
      </c>
      <c r="F16" s="48">
        <v>15</v>
      </c>
      <c r="G16" s="48">
        <v>15</v>
      </c>
      <c r="H16" s="48">
        <v>5</v>
      </c>
      <c r="I16" s="48">
        <v>5</v>
      </c>
      <c r="J16" s="48">
        <v>2</v>
      </c>
      <c r="K16" s="48">
        <v>5</v>
      </c>
      <c r="L16" s="48"/>
      <c r="M16" s="48"/>
      <c r="N16" s="48"/>
      <c r="O16" s="48"/>
      <c r="P16" s="48"/>
    </row>
    <row r="17" spans="1:16">
      <c r="A17" s="198"/>
      <c r="B17" s="32" t="s">
        <v>78</v>
      </c>
      <c r="C17" s="201"/>
      <c r="D17" s="201"/>
      <c r="E17" s="201"/>
      <c r="F17" s="49">
        <v>5</v>
      </c>
      <c r="G17" s="49">
        <v>5</v>
      </c>
      <c r="H17" s="49"/>
      <c r="I17" s="49">
        <v>2</v>
      </c>
      <c r="J17" s="49">
        <v>2</v>
      </c>
      <c r="K17" s="49">
        <v>2</v>
      </c>
      <c r="L17" s="49">
        <v>1</v>
      </c>
      <c r="M17" s="49"/>
      <c r="N17" s="49"/>
      <c r="O17" s="49"/>
      <c r="P17" s="49"/>
    </row>
    <row r="18" spans="1:16">
      <c r="A18" s="198"/>
      <c r="B18" s="32" t="s">
        <v>79</v>
      </c>
      <c r="C18" s="201"/>
      <c r="D18" s="201"/>
      <c r="E18" s="201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16">
      <c r="A19" s="199"/>
      <c r="B19" s="33" t="s">
        <v>80</v>
      </c>
      <c r="C19" s="202"/>
      <c r="D19" s="202"/>
      <c r="E19" s="202"/>
      <c r="F19" s="50"/>
      <c r="G19" s="50"/>
      <c r="H19" s="50"/>
      <c r="I19" s="50">
        <v>5</v>
      </c>
      <c r="J19" s="50">
        <v>2</v>
      </c>
      <c r="K19" s="50">
        <v>2</v>
      </c>
      <c r="L19" s="50"/>
      <c r="M19" s="50"/>
      <c r="N19" s="50"/>
      <c r="O19" s="50"/>
      <c r="P19" s="50"/>
    </row>
    <row r="20" spans="1:16">
      <c r="A20" s="197" t="s">
        <v>81</v>
      </c>
      <c r="B20" s="32" t="s">
        <v>82</v>
      </c>
      <c r="C20" s="200" t="s">
        <v>83</v>
      </c>
      <c r="D20" s="200">
        <v>23</v>
      </c>
      <c r="E20" s="200">
        <v>20</v>
      </c>
      <c r="F20" s="48">
        <v>5</v>
      </c>
      <c r="G20" s="48">
        <v>5</v>
      </c>
      <c r="H20" s="48">
        <v>10</v>
      </c>
      <c r="I20" s="48">
        <v>43</v>
      </c>
      <c r="J20" s="48">
        <v>57</v>
      </c>
      <c r="K20" s="48">
        <v>57</v>
      </c>
      <c r="L20" s="48"/>
      <c r="M20" s="48"/>
      <c r="N20" s="48">
        <v>12</v>
      </c>
      <c r="O20" s="48"/>
      <c r="P20" s="48"/>
    </row>
    <row r="21" spans="1:16">
      <c r="A21" s="198"/>
      <c r="B21" s="32" t="s">
        <v>84</v>
      </c>
      <c r="C21" s="201"/>
      <c r="D21" s="201"/>
      <c r="E21" s="201"/>
      <c r="F21" s="49">
        <v>5</v>
      </c>
      <c r="G21" s="49">
        <v>5</v>
      </c>
      <c r="H21" s="49">
        <v>10</v>
      </c>
      <c r="I21" s="49"/>
      <c r="J21" s="49"/>
      <c r="K21" s="49"/>
      <c r="L21" s="49"/>
      <c r="M21" s="49"/>
      <c r="N21" s="49"/>
      <c r="O21" s="49"/>
      <c r="P21" s="49"/>
    </row>
    <row r="22" spans="1:16">
      <c r="A22" s="198"/>
      <c r="B22" s="32" t="s">
        <v>85</v>
      </c>
      <c r="C22" s="201"/>
      <c r="D22" s="201"/>
      <c r="E22" s="201"/>
      <c r="F22" s="49">
        <v>5</v>
      </c>
      <c r="G22" s="49">
        <v>5</v>
      </c>
      <c r="H22" s="49">
        <v>10</v>
      </c>
      <c r="I22" s="49">
        <v>5</v>
      </c>
      <c r="J22" s="49">
        <v>2</v>
      </c>
      <c r="K22" s="49">
        <v>2</v>
      </c>
      <c r="L22" s="49">
        <v>2</v>
      </c>
      <c r="M22" s="49"/>
      <c r="N22" s="49"/>
      <c r="O22" s="49"/>
      <c r="P22" s="49"/>
    </row>
    <row r="23" spans="1:16">
      <c r="A23" s="198"/>
      <c r="B23" s="32" t="s">
        <v>86</v>
      </c>
      <c r="C23" s="201"/>
      <c r="D23" s="201"/>
      <c r="E23" s="201"/>
      <c r="F23" s="49">
        <v>5</v>
      </c>
      <c r="G23" s="49">
        <v>5</v>
      </c>
      <c r="H23" s="49">
        <v>10</v>
      </c>
      <c r="I23" s="49">
        <v>5</v>
      </c>
      <c r="J23" s="49">
        <v>2</v>
      </c>
      <c r="K23" s="49">
        <v>3</v>
      </c>
      <c r="L23" s="49">
        <v>2</v>
      </c>
      <c r="M23" s="49">
        <v>2</v>
      </c>
      <c r="N23" s="49"/>
      <c r="O23" s="49"/>
      <c r="P23" s="49"/>
    </row>
    <row r="24" spans="1:16">
      <c r="A24" s="198"/>
      <c r="B24" s="32" t="s">
        <v>87</v>
      </c>
      <c r="C24" s="201"/>
      <c r="D24" s="201"/>
      <c r="E24" s="201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>
      <c r="A25" s="198"/>
      <c r="B25" s="105" t="s">
        <v>88</v>
      </c>
      <c r="C25" s="201"/>
      <c r="D25" s="201"/>
      <c r="E25" s="201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>
      <c r="A26" s="199"/>
      <c r="B26" s="33" t="s">
        <v>89</v>
      </c>
      <c r="C26" s="202"/>
      <c r="D26" s="202"/>
      <c r="E26" s="202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</row>
    <row r="27" spans="1:16">
      <c r="A27" s="108"/>
      <c r="B27" s="122" t="s">
        <v>90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>
      <c r="A28" s="108"/>
      <c r="B28" s="33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>
      <c r="A29" s="108"/>
      <c r="B29" s="33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>
      <c r="A30" s="197" t="s">
        <v>91</v>
      </c>
      <c r="B30" s="32" t="s">
        <v>92</v>
      </c>
      <c r="C30" s="200" t="s">
        <v>93</v>
      </c>
      <c r="D30" s="200">
        <v>5</v>
      </c>
      <c r="E30" s="200">
        <v>6</v>
      </c>
      <c r="F30" s="48">
        <v>5</v>
      </c>
      <c r="G30" s="48">
        <v>5</v>
      </c>
      <c r="H30" s="48">
        <v>3</v>
      </c>
      <c r="I30" s="48">
        <v>2</v>
      </c>
      <c r="J30" s="48">
        <v>2</v>
      </c>
      <c r="K30" s="48">
        <v>2</v>
      </c>
      <c r="L30" s="48"/>
      <c r="M30" s="48"/>
      <c r="N30" s="48">
        <v>3</v>
      </c>
      <c r="O30" s="48"/>
      <c r="P30" s="48"/>
    </row>
    <row r="31" spans="1:16">
      <c r="A31" s="198"/>
      <c r="B31" s="32" t="s">
        <v>94</v>
      </c>
      <c r="C31" s="201"/>
      <c r="D31" s="201"/>
      <c r="E31" s="201"/>
      <c r="F31" s="49"/>
      <c r="G31" s="49"/>
      <c r="H31" s="49"/>
      <c r="I31" s="49">
        <v>2</v>
      </c>
      <c r="J31" s="49">
        <v>2</v>
      </c>
      <c r="K31" s="49">
        <v>2</v>
      </c>
      <c r="L31" s="49"/>
      <c r="M31" s="49"/>
      <c r="N31" s="49"/>
      <c r="O31" s="49"/>
      <c r="P31" s="49"/>
    </row>
    <row r="32" spans="1:16">
      <c r="A32" s="198"/>
      <c r="B32" s="32" t="s">
        <v>95</v>
      </c>
      <c r="C32" s="201"/>
      <c r="D32" s="201"/>
      <c r="E32" s="201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8" ht="15" customHeight="1">
      <c r="A33" s="198"/>
      <c r="B33" s="32" t="s">
        <v>96</v>
      </c>
      <c r="C33" s="201"/>
      <c r="D33" s="201"/>
      <c r="E33" s="201"/>
      <c r="F33" s="49"/>
      <c r="G33" s="49"/>
      <c r="H33" s="49"/>
      <c r="I33" s="49">
        <v>4</v>
      </c>
      <c r="J33" s="49">
        <v>4</v>
      </c>
      <c r="K33" s="49">
        <v>2</v>
      </c>
      <c r="L33" s="49"/>
      <c r="M33" s="49"/>
      <c r="N33" s="49"/>
      <c r="O33" s="49"/>
      <c r="P33" s="49"/>
    </row>
    <row r="34" spans="1:18">
      <c r="A34" s="198"/>
      <c r="B34" s="32" t="s">
        <v>97</v>
      </c>
      <c r="C34" s="201"/>
      <c r="D34" s="201"/>
      <c r="E34" s="201"/>
      <c r="F34" s="49"/>
      <c r="G34" s="49"/>
      <c r="H34" s="49"/>
      <c r="I34" s="49"/>
      <c r="J34" s="49"/>
      <c r="K34" s="49"/>
      <c r="L34" s="49"/>
      <c r="M34" s="49"/>
      <c r="N34" s="49"/>
      <c r="O34" s="49">
        <v>3</v>
      </c>
      <c r="P34" s="49">
        <v>3</v>
      </c>
    </row>
    <row r="35" spans="1:18">
      <c r="A35" s="198"/>
      <c r="B35" s="32" t="s">
        <v>98</v>
      </c>
      <c r="C35" s="201"/>
      <c r="D35" s="201"/>
      <c r="E35" s="201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8">
      <c r="A36" s="199"/>
      <c r="B36" s="33" t="s">
        <v>99</v>
      </c>
      <c r="C36" s="202"/>
      <c r="D36" s="202"/>
      <c r="E36" s="202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7" spans="1:18">
      <c r="A37" s="197" t="s">
        <v>100</v>
      </c>
      <c r="B37" s="32" t="s">
        <v>101</v>
      </c>
      <c r="C37" s="200" t="s">
        <v>102</v>
      </c>
      <c r="D37" s="200">
        <v>2</v>
      </c>
      <c r="E37" s="48">
        <v>8</v>
      </c>
      <c r="F37" s="48"/>
      <c r="G37" s="48"/>
      <c r="H37" s="48"/>
      <c r="I37" s="48">
        <v>5</v>
      </c>
      <c r="J37" s="48">
        <v>5</v>
      </c>
      <c r="K37" s="48"/>
      <c r="L37" s="48"/>
      <c r="M37" s="48">
        <v>1</v>
      </c>
      <c r="N37" s="48"/>
      <c r="O37" s="48"/>
      <c r="P37" s="48"/>
    </row>
    <row r="38" spans="1:18">
      <c r="A38" s="198"/>
      <c r="B38" s="45" t="s">
        <v>103</v>
      </c>
      <c r="C38" s="201"/>
      <c r="D38" s="201"/>
      <c r="E38" s="106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spans="1:18">
      <c r="A39" s="198"/>
      <c r="B39" s="30" t="s">
        <v>104</v>
      </c>
      <c r="C39" s="201"/>
      <c r="D39" s="201"/>
      <c r="E39" s="106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spans="1:18">
      <c r="A40" s="199"/>
      <c r="B40" s="31" t="s">
        <v>105</v>
      </c>
      <c r="C40" s="202"/>
      <c r="D40" s="202"/>
      <c r="E40" s="107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1" spans="1:18">
      <c r="A41" s="34" t="s">
        <v>42</v>
      </c>
      <c r="B41" s="35"/>
      <c r="C41" s="36"/>
      <c r="D41" s="36">
        <f t="shared" ref="D41:O41" si="4">SUM(D6:D40)</f>
        <v>64</v>
      </c>
      <c r="E41" s="36">
        <f>SUM(E6:E40)</f>
        <v>80</v>
      </c>
      <c r="F41" s="36">
        <f t="shared" ref="F41" si="5">SUM(F6:F40)</f>
        <v>70</v>
      </c>
      <c r="G41" s="36">
        <f t="shared" si="4"/>
        <v>70</v>
      </c>
      <c r="H41" s="36">
        <f t="shared" si="4"/>
        <v>58</v>
      </c>
      <c r="I41" s="36">
        <f t="shared" si="4"/>
        <v>80</v>
      </c>
      <c r="J41" s="36">
        <f t="shared" ref="J41" si="6">SUM(J6:J40)</f>
        <v>80</v>
      </c>
      <c r="K41" s="36">
        <f t="shared" si="4"/>
        <v>77</v>
      </c>
      <c r="L41" s="36">
        <f>SUM(L6:L40)</f>
        <v>5</v>
      </c>
      <c r="M41" s="36">
        <f t="shared" si="4"/>
        <v>3</v>
      </c>
      <c r="N41" s="36">
        <f t="shared" si="4"/>
        <v>15</v>
      </c>
      <c r="O41" s="36">
        <f t="shared" si="4"/>
        <v>3</v>
      </c>
      <c r="P41" s="36">
        <f t="shared" ref="P41" si="7">SUM(P6:P40)</f>
        <v>3</v>
      </c>
    </row>
    <row r="42" spans="1:18" s="37" customFormat="1" ht="14.1"/>
    <row r="43" spans="1:18" ht="18.95">
      <c r="B43" s="7" t="s">
        <v>106</v>
      </c>
      <c r="C43" t="s">
        <v>107</v>
      </c>
      <c r="R43" s="38" t="s">
        <v>108</v>
      </c>
    </row>
    <row r="44" spans="1:18">
      <c r="B44" s="7" t="s">
        <v>109</v>
      </c>
      <c r="C44" s="39" t="s">
        <v>110</v>
      </c>
      <c r="D44" s="40">
        <v>14000</v>
      </c>
      <c r="E44" s="40">
        <v>8500</v>
      </c>
      <c r="F44" s="40">
        <v>8500</v>
      </c>
      <c r="G44" s="40">
        <v>8500</v>
      </c>
      <c r="H44" s="40">
        <v>8500</v>
      </c>
      <c r="I44" s="40">
        <v>8500</v>
      </c>
      <c r="J44" s="40">
        <v>8500</v>
      </c>
      <c r="K44" s="40">
        <v>8500</v>
      </c>
      <c r="L44" s="40">
        <v>8500</v>
      </c>
      <c r="M44" s="40">
        <v>8500</v>
      </c>
      <c r="N44" s="40">
        <v>8500</v>
      </c>
      <c r="O44" s="40">
        <v>8500</v>
      </c>
      <c r="P44" s="40">
        <v>8500</v>
      </c>
      <c r="R44" s="41"/>
    </row>
    <row r="45" spans="1:18" ht="18.95">
      <c r="C45" s="42" t="s">
        <v>111</v>
      </c>
      <c r="D45" s="43">
        <f>D41*D44</f>
        <v>896000</v>
      </c>
      <c r="E45" s="43">
        <f>E41*E44</f>
        <v>680000</v>
      </c>
      <c r="F45" s="43">
        <f t="shared" ref="F45" si="8">F41*F44</f>
        <v>595000</v>
      </c>
      <c r="G45" s="43">
        <f t="shared" ref="G45:O45" si="9">G41*G44</f>
        <v>595000</v>
      </c>
      <c r="H45" s="43">
        <f t="shared" si="9"/>
        <v>493000</v>
      </c>
      <c r="I45" s="43">
        <f t="shared" si="9"/>
        <v>680000</v>
      </c>
      <c r="J45" s="43">
        <f t="shared" ref="J45" si="10">J41*J44</f>
        <v>680000</v>
      </c>
      <c r="K45" s="43">
        <f t="shared" si="9"/>
        <v>654500</v>
      </c>
      <c r="L45" s="43">
        <f>L41*L44</f>
        <v>42500</v>
      </c>
      <c r="M45" s="43">
        <f t="shared" si="9"/>
        <v>25500</v>
      </c>
      <c r="N45" s="43">
        <f t="shared" si="9"/>
        <v>127500</v>
      </c>
      <c r="O45" s="43">
        <f t="shared" si="9"/>
        <v>25500</v>
      </c>
      <c r="P45" s="43">
        <f t="shared" ref="P45" si="11">P41*P44</f>
        <v>25500</v>
      </c>
      <c r="R45" s="44">
        <f>SUM(D45:P45)</f>
        <v>5520000</v>
      </c>
    </row>
    <row r="46" spans="1:18">
      <c r="R46" s="46"/>
    </row>
    <row r="47" spans="1:18">
      <c r="R47" s="59"/>
    </row>
  </sheetData>
  <mergeCells count="44">
    <mergeCell ref="M9:M11"/>
    <mergeCell ref="K6:K8"/>
    <mergeCell ref="J6:J8"/>
    <mergeCell ref="J9:J11"/>
    <mergeCell ref="H6:H8"/>
    <mergeCell ref="H9:H11"/>
    <mergeCell ref="I6:I8"/>
    <mergeCell ref="G9:G11"/>
    <mergeCell ref="E20:E26"/>
    <mergeCell ref="E30:E36"/>
    <mergeCell ref="F6:F8"/>
    <mergeCell ref="F9:F11"/>
    <mergeCell ref="E6:E8"/>
    <mergeCell ref="E12:E15"/>
    <mergeCell ref="E16:E19"/>
    <mergeCell ref="A9:A11"/>
    <mergeCell ref="C9:C11"/>
    <mergeCell ref="D9:D11"/>
    <mergeCell ref="A12:A15"/>
    <mergeCell ref="C12:C15"/>
    <mergeCell ref="D12:D15"/>
    <mergeCell ref="A37:A40"/>
    <mergeCell ref="C37:C40"/>
    <mergeCell ref="D37:D40"/>
    <mergeCell ref="D16:D19"/>
    <mergeCell ref="A20:A26"/>
    <mergeCell ref="C20:C26"/>
    <mergeCell ref="D20:D26"/>
    <mergeCell ref="A30:A36"/>
    <mergeCell ref="C30:C36"/>
    <mergeCell ref="D30:D36"/>
    <mergeCell ref="A16:A19"/>
    <mergeCell ref="C16:C19"/>
    <mergeCell ref="P6:P8"/>
    <mergeCell ref="O6:O8"/>
    <mergeCell ref="N6:N8"/>
    <mergeCell ref="A3:A4"/>
    <mergeCell ref="B3:B4"/>
    <mergeCell ref="C3:C4"/>
    <mergeCell ref="A6:A8"/>
    <mergeCell ref="C6:C8"/>
    <mergeCell ref="D6:D8"/>
    <mergeCell ref="G6:G8"/>
    <mergeCell ref="M6:M8"/>
  </mergeCells>
  <dataValidations disablePrompts="1" count="1">
    <dataValidation type="list" allowBlank="1" showInputMessage="1" showErrorMessage="1" sqref="D2:P2" xr:uid="{B9396CAB-D989-4945-83E8-E691095F115B}">
      <formula1>"Sr1, Sr2, Of1, Of2"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5F6C-9D5C-4D22-84B9-04E09489355A}">
  <dimension ref="A1:D5"/>
  <sheetViews>
    <sheetView workbookViewId="0">
      <selection activeCell="B2" sqref="B2:B5"/>
    </sheetView>
  </sheetViews>
  <sheetFormatPr defaultColWidth="11.42578125" defaultRowHeight="15"/>
  <cols>
    <col min="2" max="2" width="51.85546875" customWidth="1"/>
    <col min="3" max="3" width="15.7109375" customWidth="1"/>
    <col min="4" max="4" width="64.7109375" customWidth="1"/>
  </cols>
  <sheetData>
    <row r="1" spans="1:4" ht="23.25">
      <c r="A1" s="109" t="s">
        <v>2</v>
      </c>
      <c r="B1" s="110" t="s">
        <v>112</v>
      </c>
      <c r="C1" s="110" t="s">
        <v>5</v>
      </c>
      <c r="D1" s="110" t="s">
        <v>113</v>
      </c>
    </row>
    <row r="2" spans="1:4" ht="24">
      <c r="A2" s="111">
        <v>1</v>
      </c>
      <c r="B2" s="112" t="s">
        <v>114</v>
      </c>
      <c r="C2" s="112" t="s">
        <v>115</v>
      </c>
      <c r="D2" s="115" t="s">
        <v>116</v>
      </c>
    </row>
    <row r="3" spans="1:4" ht="24">
      <c r="A3" s="111">
        <v>2</v>
      </c>
      <c r="B3" s="112" t="s">
        <v>117</v>
      </c>
      <c r="C3" s="112" t="s">
        <v>115</v>
      </c>
      <c r="D3" s="115" t="s">
        <v>118</v>
      </c>
    </row>
    <row r="4" spans="1:4" ht="24">
      <c r="A4" s="111">
        <v>3</v>
      </c>
      <c r="B4" s="113" t="s">
        <v>119</v>
      </c>
      <c r="C4" s="112" t="s">
        <v>115</v>
      </c>
      <c r="D4" s="115" t="s">
        <v>120</v>
      </c>
    </row>
    <row r="5" spans="1:4" ht="48">
      <c r="A5" s="111">
        <v>4</v>
      </c>
      <c r="B5" s="112" t="s">
        <v>121</v>
      </c>
      <c r="C5" s="112" t="s">
        <v>115</v>
      </c>
      <c r="D5" s="115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47C6-C8DA-401F-8098-A98D965D09FF}">
  <dimension ref="A1:U45"/>
  <sheetViews>
    <sheetView workbookViewId="0">
      <pane xSplit="5" ySplit="1" topLeftCell="F2" activePane="bottomRight" state="frozen"/>
      <selection pane="bottomRight" activeCell="F3" sqref="F3"/>
      <selection pane="bottomLeft"/>
      <selection pane="topRight"/>
    </sheetView>
  </sheetViews>
  <sheetFormatPr defaultColWidth="8.85546875" defaultRowHeight="15"/>
  <cols>
    <col min="1" max="1" width="0" hidden="1" customWidth="1"/>
    <col min="3" max="3" width="11.5703125" bestFit="1" customWidth="1"/>
    <col min="4" max="4" width="14.7109375" customWidth="1"/>
    <col min="5" max="5" width="89.85546875" customWidth="1"/>
    <col min="6" max="6" width="16.140625" customWidth="1"/>
    <col min="7" max="7" width="15.42578125" bestFit="1" customWidth="1"/>
    <col min="8" max="8" width="12.28515625" customWidth="1"/>
    <col min="10" max="10" width="23" customWidth="1"/>
    <col min="11" max="11" width="11" bestFit="1" customWidth="1"/>
    <col min="12" max="12" width="37.140625" customWidth="1"/>
    <col min="13" max="13" width="25" customWidth="1"/>
    <col min="14" max="14" width="8.85546875" bestFit="1" customWidth="1"/>
    <col min="15" max="15" width="15.85546875" customWidth="1"/>
    <col min="16" max="18" width="8.85546875" bestFit="1" customWidth="1"/>
    <col min="19" max="19" width="18.140625" customWidth="1"/>
    <col min="20" max="20" width="20.5703125" customWidth="1"/>
    <col min="21" max="21" width="16.5703125" hidden="1" customWidth="1"/>
  </cols>
  <sheetData>
    <row r="1" spans="1:21" ht="60" customHeight="1">
      <c r="A1" s="95" t="s">
        <v>123</v>
      </c>
      <c r="B1" s="95" t="s">
        <v>124</v>
      </c>
      <c r="C1" s="96" t="s">
        <v>125</v>
      </c>
      <c r="D1" s="96" t="s">
        <v>126</v>
      </c>
      <c r="E1" s="96" t="s">
        <v>127</v>
      </c>
      <c r="F1" s="69" t="s">
        <v>128</v>
      </c>
      <c r="G1" s="90" t="s">
        <v>129</v>
      </c>
      <c r="H1" s="203" t="s">
        <v>130</v>
      </c>
      <c r="I1" s="204"/>
      <c r="J1" s="204"/>
      <c r="K1" s="135" t="s">
        <v>131</v>
      </c>
      <c r="L1" s="131" t="s">
        <v>132</v>
      </c>
      <c r="M1" s="133" t="s">
        <v>133</v>
      </c>
      <c r="N1" s="133" t="s">
        <v>21</v>
      </c>
      <c r="O1" s="133" t="s">
        <v>134</v>
      </c>
      <c r="P1" s="133" t="s">
        <v>135</v>
      </c>
      <c r="Q1" s="133" t="s">
        <v>136</v>
      </c>
      <c r="R1" s="133" t="s">
        <v>137</v>
      </c>
      <c r="S1" s="134" t="s">
        <v>138</v>
      </c>
      <c r="T1" s="134" t="s">
        <v>139</v>
      </c>
      <c r="U1" s="134" t="s">
        <v>140</v>
      </c>
    </row>
    <row r="2" spans="1:21" ht="24">
      <c r="A2" s="78">
        <v>39</v>
      </c>
      <c r="B2" s="78">
        <v>1</v>
      </c>
      <c r="C2" s="71" t="s">
        <v>141</v>
      </c>
      <c r="D2" s="71" t="s">
        <v>142</v>
      </c>
      <c r="E2" s="120" t="s">
        <v>143</v>
      </c>
      <c r="F2" s="71" t="s">
        <v>144</v>
      </c>
      <c r="G2" s="70"/>
      <c r="H2" s="92" t="s">
        <v>145</v>
      </c>
      <c r="I2" s="89">
        <v>34</v>
      </c>
      <c r="J2" s="91">
        <f>I2*8500</f>
        <v>289000</v>
      </c>
      <c r="K2" s="126" t="s">
        <v>146</v>
      </c>
      <c r="L2" s="118"/>
      <c r="M2" s="132">
        <v>5</v>
      </c>
      <c r="N2" s="132">
        <v>6</v>
      </c>
      <c r="O2" s="132">
        <v>12</v>
      </c>
      <c r="P2" s="132">
        <v>1</v>
      </c>
      <c r="Q2" s="132"/>
      <c r="R2" s="132">
        <v>2</v>
      </c>
      <c r="S2" s="81">
        <f>SUM(M2:R2)</f>
        <v>26</v>
      </c>
      <c r="T2" s="151">
        <f>ROUNDDOWN(S2+(S2*0.3),2)</f>
        <v>33.799999999999997</v>
      </c>
      <c r="U2" s="89">
        <v>34</v>
      </c>
    </row>
    <row r="3" spans="1:21" ht="48">
      <c r="A3" s="78">
        <v>43</v>
      </c>
      <c r="B3" s="78">
        <v>2</v>
      </c>
      <c r="C3" s="71" t="s">
        <v>147</v>
      </c>
      <c r="D3" s="71" t="s">
        <v>148</v>
      </c>
      <c r="E3" s="94" t="s">
        <v>149</v>
      </c>
      <c r="F3" s="71" t="s">
        <v>144</v>
      </c>
      <c r="G3" s="70"/>
      <c r="H3" s="92" t="s">
        <v>145</v>
      </c>
      <c r="I3" s="89">
        <v>3</v>
      </c>
      <c r="J3" s="91">
        <f t="shared" ref="J3:J25" si="0">I3*8500</f>
        <v>25500</v>
      </c>
      <c r="K3" s="100" t="s">
        <v>146</v>
      </c>
      <c r="L3" s="118"/>
      <c r="M3" s="80"/>
      <c r="N3" s="80">
        <v>1</v>
      </c>
      <c r="O3" s="80">
        <v>0.5</v>
      </c>
      <c r="P3" s="80"/>
      <c r="Q3" s="80"/>
      <c r="R3" s="84">
        <v>1</v>
      </c>
      <c r="S3" s="81">
        <f t="shared" ref="S3:S36" si="1">SUM(M3:R3)</f>
        <v>2.5</v>
      </c>
      <c r="T3" s="151">
        <f t="shared" ref="T3:T36" si="2">S3+(S3*0.3)</f>
        <v>3.25</v>
      </c>
      <c r="U3" s="89">
        <v>3</v>
      </c>
    </row>
    <row r="4" spans="1:21" ht="24">
      <c r="A4" s="78">
        <v>44</v>
      </c>
      <c r="B4" s="78">
        <v>3</v>
      </c>
      <c r="C4" s="71" t="s">
        <v>150</v>
      </c>
      <c r="D4" s="71" t="s">
        <v>151</v>
      </c>
      <c r="E4" s="94" t="s">
        <v>152</v>
      </c>
      <c r="F4" s="71" t="s">
        <v>144</v>
      </c>
      <c r="G4" s="70"/>
      <c r="H4" s="92" t="s">
        <v>145</v>
      </c>
      <c r="I4" s="89">
        <v>2</v>
      </c>
      <c r="J4" s="91">
        <f t="shared" si="0"/>
        <v>17000</v>
      </c>
      <c r="K4" s="100" t="s">
        <v>146</v>
      </c>
      <c r="L4" s="118"/>
      <c r="M4" s="80"/>
      <c r="N4" s="80">
        <v>0.5</v>
      </c>
      <c r="O4" s="80">
        <v>0.5</v>
      </c>
      <c r="P4" s="80">
        <v>0.5</v>
      </c>
      <c r="Q4" s="80"/>
      <c r="R4" s="84"/>
      <c r="S4" s="81">
        <f t="shared" si="1"/>
        <v>1.5</v>
      </c>
      <c r="T4" s="151">
        <f t="shared" si="2"/>
        <v>1.95</v>
      </c>
      <c r="U4" s="89">
        <v>2</v>
      </c>
    </row>
    <row r="5" spans="1:21" ht="48">
      <c r="A5" s="78">
        <v>5</v>
      </c>
      <c r="B5" s="78">
        <v>4</v>
      </c>
      <c r="C5" s="71" t="s">
        <v>153</v>
      </c>
      <c r="D5" s="71" t="s">
        <v>154</v>
      </c>
      <c r="E5" s="94" t="s">
        <v>155</v>
      </c>
      <c r="F5" s="71" t="s">
        <v>156</v>
      </c>
      <c r="G5" s="70"/>
      <c r="H5" s="92" t="s">
        <v>145</v>
      </c>
      <c r="I5" s="89">
        <v>16</v>
      </c>
      <c r="J5" s="91">
        <f t="shared" si="0"/>
        <v>136000</v>
      </c>
      <c r="K5" s="125" t="s">
        <v>146</v>
      </c>
      <c r="L5" s="118"/>
      <c r="M5" s="80">
        <v>1</v>
      </c>
      <c r="N5" s="80">
        <v>2</v>
      </c>
      <c r="O5" s="80">
        <v>5</v>
      </c>
      <c r="P5" s="80">
        <v>1</v>
      </c>
      <c r="Q5" s="80"/>
      <c r="R5" s="84">
        <v>3</v>
      </c>
      <c r="S5" s="81">
        <f t="shared" si="1"/>
        <v>12</v>
      </c>
      <c r="T5" s="151">
        <f t="shared" si="2"/>
        <v>15.6</v>
      </c>
      <c r="U5" s="89">
        <v>16</v>
      </c>
    </row>
    <row r="6" spans="1:21" ht="87.75">
      <c r="A6" s="78">
        <v>22</v>
      </c>
      <c r="B6" s="78">
        <v>5</v>
      </c>
      <c r="C6" s="71" t="s">
        <v>157</v>
      </c>
      <c r="D6" s="72" t="s">
        <v>158</v>
      </c>
      <c r="E6" s="72" t="s">
        <v>159</v>
      </c>
      <c r="F6" s="71"/>
      <c r="G6" s="71"/>
      <c r="H6" s="92" t="s">
        <v>160</v>
      </c>
      <c r="I6" s="89">
        <v>5</v>
      </c>
      <c r="J6" s="124">
        <f t="shared" si="0"/>
        <v>42500</v>
      </c>
      <c r="K6" s="136" t="s">
        <v>146</v>
      </c>
      <c r="L6" s="128" t="s">
        <v>161</v>
      </c>
      <c r="M6" s="80"/>
      <c r="N6" s="80">
        <v>1</v>
      </c>
      <c r="O6" s="80">
        <v>2</v>
      </c>
      <c r="P6" s="80">
        <v>0.5</v>
      </c>
      <c r="Q6" s="80"/>
      <c r="R6" s="84"/>
      <c r="S6" s="81">
        <f t="shared" si="1"/>
        <v>3.5</v>
      </c>
      <c r="T6" s="151">
        <f t="shared" si="2"/>
        <v>4.55</v>
      </c>
      <c r="U6" s="89">
        <v>5</v>
      </c>
    </row>
    <row r="7" spans="1:21" ht="48">
      <c r="A7" s="78">
        <v>53</v>
      </c>
      <c r="B7" s="78">
        <v>7</v>
      </c>
      <c r="C7" s="71" t="s">
        <v>162</v>
      </c>
      <c r="D7" s="71" t="s">
        <v>163</v>
      </c>
      <c r="E7" s="94" t="s">
        <v>164</v>
      </c>
      <c r="F7" s="71" t="s">
        <v>165</v>
      </c>
      <c r="G7" s="1"/>
      <c r="H7" s="92" t="s">
        <v>145</v>
      </c>
      <c r="I7" s="89">
        <v>13</v>
      </c>
      <c r="J7" s="91">
        <f t="shared" si="0"/>
        <v>110500</v>
      </c>
      <c r="K7" s="126" t="s">
        <v>146</v>
      </c>
      <c r="L7" s="118"/>
      <c r="M7" s="6">
        <v>1</v>
      </c>
      <c r="N7" s="6">
        <v>1</v>
      </c>
      <c r="O7" s="6">
        <v>5</v>
      </c>
      <c r="P7" s="6">
        <v>1</v>
      </c>
      <c r="Q7" s="6"/>
      <c r="R7" s="85">
        <v>2</v>
      </c>
      <c r="S7" s="81">
        <f t="shared" si="1"/>
        <v>10</v>
      </c>
      <c r="T7" s="151">
        <f t="shared" si="2"/>
        <v>13</v>
      </c>
      <c r="U7" s="89">
        <v>13</v>
      </c>
    </row>
    <row r="8" spans="1:21" ht="48">
      <c r="A8" s="78">
        <v>3</v>
      </c>
      <c r="B8" s="78">
        <v>8</v>
      </c>
      <c r="C8" s="71" t="s">
        <v>166</v>
      </c>
      <c r="D8" s="71" t="s">
        <v>163</v>
      </c>
      <c r="E8" s="94" t="s">
        <v>167</v>
      </c>
      <c r="F8" s="71" t="s">
        <v>168</v>
      </c>
      <c r="G8" s="70"/>
      <c r="H8" s="92" t="s">
        <v>145</v>
      </c>
      <c r="I8" s="89">
        <v>2</v>
      </c>
      <c r="J8" s="91">
        <f t="shared" si="0"/>
        <v>17000</v>
      </c>
      <c r="K8" s="100" t="s">
        <v>146</v>
      </c>
      <c r="L8" s="118"/>
      <c r="M8" s="80"/>
      <c r="N8" s="80">
        <v>0.5</v>
      </c>
      <c r="O8" s="80">
        <v>0.5</v>
      </c>
      <c r="P8" s="80">
        <v>0.5</v>
      </c>
      <c r="Q8" s="80"/>
      <c r="R8" s="84"/>
      <c r="S8" s="81">
        <f t="shared" si="1"/>
        <v>1.5</v>
      </c>
      <c r="T8" s="151">
        <f t="shared" si="2"/>
        <v>1.95</v>
      </c>
      <c r="U8" s="89">
        <v>2</v>
      </c>
    </row>
    <row r="9" spans="1:21" ht="48">
      <c r="A9" s="78">
        <v>34</v>
      </c>
      <c r="B9" s="78">
        <v>10</v>
      </c>
      <c r="C9" s="71" t="s">
        <v>169</v>
      </c>
      <c r="D9" s="71" t="s">
        <v>170</v>
      </c>
      <c r="E9" s="94" t="s">
        <v>171</v>
      </c>
      <c r="F9" s="71"/>
      <c r="G9" s="70"/>
      <c r="H9" s="92" t="s">
        <v>145</v>
      </c>
      <c r="I9" s="89">
        <v>38</v>
      </c>
      <c r="J9" s="91">
        <f t="shared" si="0"/>
        <v>323000</v>
      </c>
      <c r="K9" s="100" t="s">
        <v>146</v>
      </c>
      <c r="L9" s="118"/>
      <c r="M9" s="80">
        <v>4</v>
      </c>
      <c r="N9" s="80">
        <v>5</v>
      </c>
      <c r="O9" s="80">
        <v>12</v>
      </c>
      <c r="P9" s="80">
        <v>4</v>
      </c>
      <c r="Q9" s="80"/>
      <c r="R9" s="84">
        <v>4</v>
      </c>
      <c r="S9" s="81">
        <f t="shared" si="1"/>
        <v>29</v>
      </c>
      <c r="T9" s="151">
        <f t="shared" si="2"/>
        <v>37.700000000000003</v>
      </c>
      <c r="U9" s="89">
        <v>38</v>
      </c>
    </row>
    <row r="10" spans="1:21" ht="24">
      <c r="A10" s="78" t="s">
        <v>172</v>
      </c>
      <c r="B10" s="78">
        <v>11</v>
      </c>
      <c r="C10" s="71" t="s">
        <v>173</v>
      </c>
      <c r="D10" s="71" t="s">
        <v>170</v>
      </c>
      <c r="E10" s="94" t="s">
        <v>174</v>
      </c>
      <c r="F10" s="71"/>
      <c r="G10" s="70"/>
      <c r="H10" s="92" t="s">
        <v>145</v>
      </c>
      <c r="I10" s="89">
        <v>34</v>
      </c>
      <c r="J10" s="91">
        <f t="shared" si="0"/>
        <v>289000</v>
      </c>
      <c r="K10" s="100" t="s">
        <v>146</v>
      </c>
      <c r="L10" s="118"/>
      <c r="M10" s="80">
        <v>3</v>
      </c>
      <c r="N10" s="80">
        <v>5</v>
      </c>
      <c r="O10" s="80">
        <v>10</v>
      </c>
      <c r="P10" s="80">
        <v>3</v>
      </c>
      <c r="Q10" s="80"/>
      <c r="R10" s="84">
        <v>5</v>
      </c>
      <c r="S10" s="81">
        <f t="shared" si="1"/>
        <v>26</v>
      </c>
      <c r="T10" s="151">
        <f t="shared" si="2"/>
        <v>33.799999999999997</v>
      </c>
      <c r="U10" s="89">
        <v>34</v>
      </c>
    </row>
    <row r="11" spans="1:21" ht="48">
      <c r="A11" s="78">
        <v>2</v>
      </c>
      <c r="B11" s="78">
        <v>12</v>
      </c>
      <c r="C11" s="71" t="s">
        <v>175</v>
      </c>
      <c r="D11" s="71" t="s">
        <v>176</v>
      </c>
      <c r="E11" s="94" t="s">
        <v>177</v>
      </c>
      <c r="F11" s="71" t="s">
        <v>178</v>
      </c>
      <c r="G11" s="70"/>
      <c r="H11" s="92" t="s">
        <v>145</v>
      </c>
      <c r="I11" s="89">
        <v>3</v>
      </c>
      <c r="J11" s="91">
        <f t="shared" si="0"/>
        <v>25500</v>
      </c>
      <c r="K11" s="100" t="s">
        <v>146</v>
      </c>
      <c r="L11" s="118"/>
      <c r="M11" s="80"/>
      <c r="N11" s="80">
        <v>1</v>
      </c>
      <c r="O11" s="80">
        <v>0.5</v>
      </c>
      <c r="P11" s="80">
        <v>0.5</v>
      </c>
      <c r="Q11" s="80"/>
      <c r="R11" s="84"/>
      <c r="S11" s="81">
        <f t="shared" si="1"/>
        <v>2</v>
      </c>
      <c r="T11" s="151">
        <f t="shared" si="2"/>
        <v>2.6</v>
      </c>
      <c r="U11" s="89">
        <v>3</v>
      </c>
    </row>
    <row r="12" spans="1:21" ht="182.25">
      <c r="A12" s="78">
        <v>7</v>
      </c>
      <c r="B12" s="78">
        <v>13</v>
      </c>
      <c r="C12" s="71" t="s">
        <v>179</v>
      </c>
      <c r="D12" s="71" t="s">
        <v>176</v>
      </c>
      <c r="E12" s="94" t="s">
        <v>180</v>
      </c>
      <c r="F12" s="71" t="s">
        <v>181</v>
      </c>
      <c r="G12" s="70"/>
      <c r="H12" s="92" t="s">
        <v>160</v>
      </c>
      <c r="I12" s="89">
        <v>12</v>
      </c>
      <c r="J12" s="91">
        <f>I12*8500</f>
        <v>102000</v>
      </c>
      <c r="K12" s="125" t="s">
        <v>146</v>
      </c>
      <c r="L12" s="139" t="s">
        <v>182</v>
      </c>
      <c r="M12" s="80">
        <v>1</v>
      </c>
      <c r="N12" s="80">
        <v>2</v>
      </c>
      <c r="O12" s="80">
        <v>4</v>
      </c>
      <c r="P12" s="80">
        <v>2</v>
      </c>
      <c r="Q12" s="80"/>
      <c r="R12" s="84"/>
      <c r="S12" s="81">
        <f t="shared" si="1"/>
        <v>9</v>
      </c>
      <c r="T12" s="151">
        <f t="shared" si="2"/>
        <v>11.7</v>
      </c>
      <c r="U12" s="89">
        <v>12</v>
      </c>
    </row>
    <row r="13" spans="1:21" ht="198">
      <c r="A13" s="78">
        <v>8</v>
      </c>
      <c r="B13" s="78">
        <v>14</v>
      </c>
      <c r="C13" s="71" t="s">
        <v>183</v>
      </c>
      <c r="D13" s="71" t="s">
        <v>176</v>
      </c>
      <c r="E13" s="120" t="s">
        <v>184</v>
      </c>
      <c r="F13" s="71" t="s">
        <v>185</v>
      </c>
      <c r="G13" s="70"/>
      <c r="H13" s="92" t="s">
        <v>160</v>
      </c>
      <c r="I13" s="89">
        <v>18</v>
      </c>
      <c r="J13" s="124">
        <f t="shared" si="0"/>
        <v>153000</v>
      </c>
      <c r="K13" s="136" t="s">
        <v>146</v>
      </c>
      <c r="L13" s="128" t="s">
        <v>186</v>
      </c>
      <c r="M13" s="80">
        <v>2</v>
      </c>
      <c r="N13" s="80">
        <v>3</v>
      </c>
      <c r="O13" s="80">
        <v>5</v>
      </c>
      <c r="P13" s="80">
        <v>2</v>
      </c>
      <c r="Q13" s="80"/>
      <c r="R13" s="84">
        <v>2</v>
      </c>
      <c r="S13" s="81">
        <f t="shared" si="1"/>
        <v>14</v>
      </c>
      <c r="T13" s="151">
        <f t="shared" si="2"/>
        <v>18.2</v>
      </c>
      <c r="U13" s="89">
        <v>18</v>
      </c>
    </row>
    <row r="14" spans="1:21" ht="24">
      <c r="A14" s="78">
        <v>24</v>
      </c>
      <c r="B14" s="78">
        <v>16</v>
      </c>
      <c r="C14" s="71" t="s">
        <v>187</v>
      </c>
      <c r="D14" s="74" t="s">
        <v>176</v>
      </c>
      <c r="E14" s="75" t="s">
        <v>188</v>
      </c>
      <c r="F14" s="71"/>
      <c r="G14" s="70"/>
      <c r="H14" s="92" t="s">
        <v>145</v>
      </c>
      <c r="I14" s="89">
        <v>13</v>
      </c>
      <c r="J14" s="91">
        <f t="shared" si="0"/>
        <v>110500</v>
      </c>
      <c r="K14" s="126" t="s">
        <v>146</v>
      </c>
      <c r="L14" s="118"/>
      <c r="M14" s="80">
        <v>2</v>
      </c>
      <c r="N14" s="80">
        <v>2</v>
      </c>
      <c r="O14" s="80">
        <v>4</v>
      </c>
      <c r="P14" s="80">
        <v>1</v>
      </c>
      <c r="Q14" s="80"/>
      <c r="R14" s="84">
        <v>1</v>
      </c>
      <c r="S14" s="81">
        <f t="shared" si="1"/>
        <v>10</v>
      </c>
      <c r="T14" s="151">
        <f t="shared" si="2"/>
        <v>13</v>
      </c>
      <c r="U14" s="89">
        <v>13</v>
      </c>
    </row>
    <row r="15" spans="1:21" ht="48">
      <c r="A15" s="78">
        <v>45</v>
      </c>
      <c r="B15" s="78">
        <v>17</v>
      </c>
      <c r="C15" s="71" t="s">
        <v>189</v>
      </c>
      <c r="D15" s="71" t="s">
        <v>176</v>
      </c>
      <c r="E15" s="94" t="s">
        <v>190</v>
      </c>
      <c r="F15" s="71" t="s">
        <v>165</v>
      </c>
      <c r="G15" s="1"/>
      <c r="H15" s="92" t="s">
        <v>145</v>
      </c>
      <c r="I15" s="89">
        <v>16</v>
      </c>
      <c r="J15" s="91">
        <f t="shared" si="0"/>
        <v>136000</v>
      </c>
      <c r="K15" s="100" t="s">
        <v>146</v>
      </c>
      <c r="L15" s="118"/>
      <c r="M15" s="80">
        <v>1</v>
      </c>
      <c r="N15" s="80">
        <v>3</v>
      </c>
      <c r="O15" s="80">
        <v>4</v>
      </c>
      <c r="P15" s="80">
        <v>1</v>
      </c>
      <c r="Q15" s="6"/>
      <c r="R15" s="85">
        <v>3</v>
      </c>
      <c r="S15" s="81">
        <f t="shared" si="1"/>
        <v>12</v>
      </c>
      <c r="T15" s="151">
        <f t="shared" si="2"/>
        <v>15.6</v>
      </c>
      <c r="U15" s="89">
        <v>16</v>
      </c>
    </row>
    <row r="16" spans="1:21" ht="24">
      <c r="A16" s="78">
        <v>29</v>
      </c>
      <c r="B16" s="78">
        <v>18</v>
      </c>
      <c r="C16" s="71" t="s">
        <v>191</v>
      </c>
      <c r="D16" s="75" t="s">
        <v>192</v>
      </c>
      <c r="E16" s="73" t="s">
        <v>193</v>
      </c>
      <c r="F16" s="71"/>
      <c r="G16" s="70"/>
      <c r="H16" s="92" t="s">
        <v>145</v>
      </c>
      <c r="I16" s="89">
        <v>9</v>
      </c>
      <c r="J16" s="91">
        <f t="shared" si="0"/>
        <v>76500</v>
      </c>
      <c r="K16" s="125" t="s">
        <v>146</v>
      </c>
      <c r="L16" s="118"/>
      <c r="M16" s="80">
        <v>1</v>
      </c>
      <c r="N16" s="80">
        <v>1</v>
      </c>
      <c r="O16" s="80">
        <v>3</v>
      </c>
      <c r="P16" s="80">
        <v>2</v>
      </c>
      <c r="Q16" s="80">
        <v>0</v>
      </c>
      <c r="R16" s="84"/>
      <c r="S16" s="81">
        <f t="shared" si="1"/>
        <v>7</v>
      </c>
      <c r="T16" s="151">
        <f t="shared" si="2"/>
        <v>9.1</v>
      </c>
      <c r="U16" s="89">
        <v>9</v>
      </c>
    </row>
    <row r="17" spans="1:21" ht="87.75">
      <c r="A17" s="78">
        <v>18</v>
      </c>
      <c r="B17" s="78">
        <v>19</v>
      </c>
      <c r="C17" s="71" t="s">
        <v>194</v>
      </c>
      <c r="D17" s="71" t="s">
        <v>195</v>
      </c>
      <c r="E17" s="120" t="s">
        <v>196</v>
      </c>
      <c r="F17" s="71"/>
      <c r="G17" s="76"/>
      <c r="H17" s="92" t="s">
        <v>160</v>
      </c>
      <c r="I17" s="89">
        <v>10</v>
      </c>
      <c r="J17" s="124">
        <f t="shared" si="0"/>
        <v>85000</v>
      </c>
      <c r="K17" s="136" t="s">
        <v>146</v>
      </c>
      <c r="L17" s="128" t="s">
        <v>197</v>
      </c>
      <c r="M17" s="80">
        <v>0.5</v>
      </c>
      <c r="N17" s="80">
        <v>0.5</v>
      </c>
      <c r="O17" s="80">
        <v>4</v>
      </c>
      <c r="P17" s="80">
        <v>1</v>
      </c>
      <c r="Q17" s="80"/>
      <c r="R17" s="80">
        <v>2</v>
      </c>
      <c r="S17" s="81">
        <f t="shared" si="1"/>
        <v>8</v>
      </c>
      <c r="T17" s="151">
        <f t="shared" si="2"/>
        <v>10.4</v>
      </c>
      <c r="U17" s="89">
        <v>10</v>
      </c>
    </row>
    <row r="18" spans="1:21" ht="110.25">
      <c r="A18" s="78">
        <v>32</v>
      </c>
      <c r="B18" s="78">
        <v>20</v>
      </c>
      <c r="C18" s="71" t="s">
        <v>198</v>
      </c>
      <c r="D18" s="74" t="s">
        <v>195</v>
      </c>
      <c r="E18" s="75" t="s">
        <v>199</v>
      </c>
      <c r="F18" s="71"/>
      <c r="G18" s="70"/>
      <c r="H18" s="92" t="s">
        <v>160</v>
      </c>
      <c r="I18" s="89">
        <v>1</v>
      </c>
      <c r="J18" s="124">
        <f t="shared" si="0"/>
        <v>8500</v>
      </c>
      <c r="K18" s="136" t="s">
        <v>146</v>
      </c>
      <c r="L18" s="128" t="s">
        <v>200</v>
      </c>
      <c r="M18" s="80"/>
      <c r="N18" s="80">
        <v>0.25</v>
      </c>
      <c r="O18" s="80">
        <v>0.5</v>
      </c>
      <c r="P18" s="80">
        <v>0.25</v>
      </c>
      <c r="Q18" s="80"/>
      <c r="R18" s="84"/>
      <c r="S18" s="81">
        <f t="shared" si="1"/>
        <v>1</v>
      </c>
      <c r="T18" s="151">
        <f t="shared" si="2"/>
        <v>1.3</v>
      </c>
      <c r="U18" s="89">
        <v>1</v>
      </c>
    </row>
    <row r="19" spans="1:21" ht="48">
      <c r="A19" s="78">
        <v>4</v>
      </c>
      <c r="B19" s="78">
        <v>22</v>
      </c>
      <c r="C19" s="71" t="s">
        <v>201</v>
      </c>
      <c r="D19" s="71" t="s">
        <v>202</v>
      </c>
      <c r="E19" s="94" t="s">
        <v>203</v>
      </c>
      <c r="F19" s="71" t="s">
        <v>204</v>
      </c>
      <c r="G19" s="70"/>
      <c r="H19" s="92" t="s">
        <v>145</v>
      </c>
      <c r="I19" s="89">
        <v>7</v>
      </c>
      <c r="J19" s="91">
        <f t="shared" si="0"/>
        <v>59500</v>
      </c>
      <c r="K19" s="127" t="s">
        <v>146</v>
      </c>
      <c r="L19" s="118"/>
      <c r="M19" s="80">
        <v>0.5</v>
      </c>
      <c r="N19" s="80">
        <v>0.5</v>
      </c>
      <c r="O19" s="80">
        <v>4</v>
      </c>
      <c r="P19" s="80">
        <v>0.5</v>
      </c>
      <c r="Q19" s="80"/>
      <c r="R19" s="84"/>
      <c r="S19" s="81">
        <f t="shared" si="1"/>
        <v>5.5</v>
      </c>
      <c r="T19" s="151">
        <f t="shared" si="2"/>
        <v>7.15</v>
      </c>
      <c r="U19" s="89">
        <v>7</v>
      </c>
    </row>
    <row r="20" spans="1:21" ht="110.25">
      <c r="A20" s="78">
        <v>9</v>
      </c>
      <c r="B20" s="78">
        <v>23</v>
      </c>
      <c r="C20" s="71" t="s">
        <v>205</v>
      </c>
      <c r="D20" s="71" t="s">
        <v>202</v>
      </c>
      <c r="E20" s="94" t="s">
        <v>206</v>
      </c>
      <c r="F20" s="71" t="s">
        <v>178</v>
      </c>
      <c r="G20" s="70"/>
      <c r="H20" s="92" t="s">
        <v>160</v>
      </c>
      <c r="I20" s="89">
        <v>1</v>
      </c>
      <c r="J20" s="124">
        <f t="shared" si="0"/>
        <v>8500</v>
      </c>
      <c r="K20" s="136" t="s">
        <v>146</v>
      </c>
      <c r="L20" s="128" t="s">
        <v>207</v>
      </c>
      <c r="M20" s="80"/>
      <c r="N20" s="80">
        <v>0.25</v>
      </c>
      <c r="O20" s="80">
        <v>0.5</v>
      </c>
      <c r="P20" s="80">
        <v>0.25</v>
      </c>
      <c r="Q20" s="80"/>
      <c r="R20" s="84"/>
      <c r="S20" s="81">
        <f t="shared" si="1"/>
        <v>1</v>
      </c>
      <c r="T20" s="151">
        <f t="shared" si="2"/>
        <v>1.3</v>
      </c>
      <c r="U20" s="89">
        <v>1</v>
      </c>
    </row>
    <row r="21" spans="1:21" ht="48">
      <c r="A21" s="78">
        <v>12</v>
      </c>
      <c r="B21" s="78">
        <v>24</v>
      </c>
      <c r="C21" s="71" t="s">
        <v>208</v>
      </c>
      <c r="D21" s="71" t="s">
        <v>202</v>
      </c>
      <c r="E21" s="94" t="s">
        <v>209</v>
      </c>
      <c r="F21" s="71" t="s">
        <v>210</v>
      </c>
      <c r="G21" s="70"/>
      <c r="H21" s="92" t="s">
        <v>145</v>
      </c>
      <c r="I21" s="89">
        <v>12</v>
      </c>
      <c r="J21" s="91">
        <f t="shared" si="0"/>
        <v>102000</v>
      </c>
      <c r="K21" s="126" t="s">
        <v>146</v>
      </c>
      <c r="L21" s="118"/>
      <c r="M21" s="80">
        <v>1</v>
      </c>
      <c r="N21" s="80">
        <v>2</v>
      </c>
      <c r="O21" s="80">
        <v>4</v>
      </c>
      <c r="P21" s="80">
        <v>2</v>
      </c>
      <c r="Q21" s="80"/>
      <c r="R21" s="84"/>
      <c r="S21" s="81">
        <f t="shared" si="1"/>
        <v>9</v>
      </c>
      <c r="T21" s="151">
        <f t="shared" si="2"/>
        <v>11.7</v>
      </c>
      <c r="U21" s="89">
        <v>12</v>
      </c>
    </row>
    <row r="22" spans="1:21" ht="24">
      <c r="A22" s="78">
        <v>13</v>
      </c>
      <c r="B22" s="78">
        <v>25</v>
      </c>
      <c r="C22" s="71" t="s">
        <v>211</v>
      </c>
      <c r="D22" s="77" t="s">
        <v>202</v>
      </c>
      <c r="E22" s="121" t="s">
        <v>212</v>
      </c>
      <c r="F22" s="71" t="s">
        <v>213</v>
      </c>
      <c r="G22" s="70"/>
      <c r="H22" s="92" t="s">
        <v>145</v>
      </c>
      <c r="I22" s="89">
        <v>2</v>
      </c>
      <c r="J22" s="91">
        <f t="shared" si="0"/>
        <v>17000</v>
      </c>
      <c r="K22" s="100" t="s">
        <v>146</v>
      </c>
      <c r="L22" s="118"/>
      <c r="M22" s="80"/>
      <c r="N22" s="80">
        <v>0.5</v>
      </c>
      <c r="O22" s="80">
        <v>0.5</v>
      </c>
      <c r="P22" s="80">
        <v>0.5</v>
      </c>
      <c r="Q22" s="80"/>
      <c r="R22" s="84"/>
      <c r="S22" s="81">
        <f t="shared" si="1"/>
        <v>1.5</v>
      </c>
      <c r="T22" s="151">
        <f t="shared" si="2"/>
        <v>1.95</v>
      </c>
      <c r="U22" s="89">
        <v>2</v>
      </c>
    </row>
    <row r="23" spans="1:21" ht="24">
      <c r="A23" s="78">
        <v>20</v>
      </c>
      <c r="B23" s="78">
        <v>27</v>
      </c>
      <c r="C23" s="71" t="s">
        <v>214</v>
      </c>
      <c r="D23" s="71" t="s">
        <v>202</v>
      </c>
      <c r="E23" s="94" t="s">
        <v>215</v>
      </c>
      <c r="F23" s="71"/>
      <c r="G23" s="76"/>
      <c r="H23" s="92" t="s">
        <v>145</v>
      </c>
      <c r="I23" s="89">
        <v>22</v>
      </c>
      <c r="J23" s="91">
        <f t="shared" si="0"/>
        <v>187000</v>
      </c>
      <c r="K23" s="100" t="s">
        <v>146</v>
      </c>
      <c r="L23" s="118"/>
      <c r="M23" s="80">
        <v>3</v>
      </c>
      <c r="N23" s="80">
        <v>4</v>
      </c>
      <c r="O23" s="80">
        <v>6</v>
      </c>
      <c r="P23" s="80">
        <v>2</v>
      </c>
      <c r="Q23" s="80"/>
      <c r="R23" s="84">
        <v>2</v>
      </c>
      <c r="S23" s="81">
        <f t="shared" si="1"/>
        <v>17</v>
      </c>
      <c r="T23" s="151">
        <f t="shared" si="2"/>
        <v>22.1</v>
      </c>
      <c r="U23" s="89">
        <v>22</v>
      </c>
    </row>
    <row r="24" spans="1:21" ht="24">
      <c r="A24" s="78">
        <v>21</v>
      </c>
      <c r="B24" s="78">
        <v>28</v>
      </c>
      <c r="C24" s="71" t="s">
        <v>216</v>
      </c>
      <c r="D24" s="71" t="s">
        <v>202</v>
      </c>
      <c r="E24" s="94" t="s">
        <v>217</v>
      </c>
      <c r="F24" s="71"/>
      <c r="G24" s="70"/>
      <c r="H24" s="92" t="s">
        <v>145</v>
      </c>
      <c r="I24" s="89">
        <v>8</v>
      </c>
      <c r="J24" s="91">
        <f t="shared" si="0"/>
        <v>68000</v>
      </c>
      <c r="K24" s="100" t="s">
        <v>146</v>
      </c>
      <c r="L24" s="118"/>
      <c r="M24" s="80"/>
      <c r="N24" s="80">
        <v>1</v>
      </c>
      <c r="O24" s="80">
        <v>1</v>
      </c>
      <c r="P24" s="80">
        <v>1</v>
      </c>
      <c r="Q24" s="80"/>
      <c r="R24" s="84">
        <v>3</v>
      </c>
      <c r="S24" s="81">
        <f t="shared" si="1"/>
        <v>6</v>
      </c>
      <c r="T24" s="151">
        <f t="shared" si="2"/>
        <v>7.8</v>
      </c>
      <c r="U24" s="89">
        <v>8</v>
      </c>
    </row>
    <row r="25" spans="1:21" ht="48">
      <c r="A25" s="78">
        <v>6</v>
      </c>
      <c r="B25" s="78">
        <v>29</v>
      </c>
      <c r="C25" s="71" t="s">
        <v>218</v>
      </c>
      <c r="D25" s="71" t="s">
        <v>219</v>
      </c>
      <c r="E25" s="94" t="s">
        <v>220</v>
      </c>
      <c r="F25" s="71" t="s">
        <v>221</v>
      </c>
      <c r="G25" s="1"/>
      <c r="H25" s="92" t="s">
        <v>145</v>
      </c>
      <c r="I25" s="89">
        <v>16</v>
      </c>
      <c r="J25" s="91">
        <f t="shared" si="0"/>
        <v>136000</v>
      </c>
      <c r="K25" s="125" t="s">
        <v>146</v>
      </c>
      <c r="L25" s="118"/>
      <c r="M25" s="80">
        <v>1</v>
      </c>
      <c r="N25" s="80">
        <v>1</v>
      </c>
      <c r="O25" s="80">
        <v>4</v>
      </c>
      <c r="P25" s="80">
        <v>1</v>
      </c>
      <c r="Q25" s="6"/>
      <c r="R25" s="85">
        <v>5</v>
      </c>
      <c r="S25" s="81">
        <f t="shared" si="1"/>
        <v>12</v>
      </c>
      <c r="T25" s="151">
        <f t="shared" si="2"/>
        <v>15.6</v>
      </c>
      <c r="U25" s="89">
        <v>16</v>
      </c>
    </row>
    <row r="26" spans="1:21" ht="198">
      <c r="A26" s="78">
        <v>50</v>
      </c>
      <c r="B26" s="78">
        <v>30</v>
      </c>
      <c r="C26" s="71" t="s">
        <v>222</v>
      </c>
      <c r="D26" s="71" t="s">
        <v>223</v>
      </c>
      <c r="E26" s="120" t="s">
        <v>224</v>
      </c>
      <c r="F26" s="71" t="s">
        <v>165</v>
      </c>
      <c r="G26" s="101"/>
      <c r="H26" s="92" t="s">
        <v>160</v>
      </c>
      <c r="I26" s="89">
        <v>30</v>
      </c>
      <c r="J26" s="124">
        <f>I26*8500</f>
        <v>255000</v>
      </c>
      <c r="K26" s="136" t="s">
        <v>146</v>
      </c>
      <c r="L26" s="128" t="s">
        <v>225</v>
      </c>
      <c r="M26" s="6">
        <v>5</v>
      </c>
      <c r="N26" s="6">
        <v>4</v>
      </c>
      <c r="O26" s="6">
        <v>8</v>
      </c>
      <c r="P26" s="6">
        <v>3</v>
      </c>
      <c r="Q26" s="6"/>
      <c r="R26" s="85">
        <v>3</v>
      </c>
      <c r="S26" s="81">
        <f t="shared" si="1"/>
        <v>23</v>
      </c>
      <c r="T26" s="151">
        <f t="shared" si="2"/>
        <v>29.9</v>
      </c>
      <c r="U26" s="89">
        <v>30</v>
      </c>
    </row>
    <row r="27" spans="1:21" ht="48">
      <c r="A27" s="78"/>
      <c r="B27" s="78">
        <v>32</v>
      </c>
      <c r="C27" s="71" t="s">
        <v>226</v>
      </c>
      <c r="D27" s="71" t="s">
        <v>227</v>
      </c>
      <c r="E27" s="94" t="s">
        <v>228</v>
      </c>
      <c r="F27" s="71"/>
      <c r="G27" s="1"/>
      <c r="H27" s="92" t="s">
        <v>145</v>
      </c>
      <c r="I27" s="89">
        <v>16</v>
      </c>
      <c r="J27" s="91">
        <f t="shared" ref="J27:J33" si="3">I27*8500</f>
        <v>136000</v>
      </c>
      <c r="K27" s="126" t="s">
        <v>146</v>
      </c>
      <c r="L27" s="118"/>
      <c r="M27" s="6">
        <v>2</v>
      </c>
      <c r="N27" s="6">
        <v>1.5</v>
      </c>
      <c r="O27" s="6">
        <v>4</v>
      </c>
      <c r="P27" s="6">
        <v>1</v>
      </c>
      <c r="Q27" s="6"/>
      <c r="R27" s="85">
        <v>4</v>
      </c>
      <c r="S27" s="81">
        <f t="shared" si="1"/>
        <v>12.5</v>
      </c>
      <c r="T27" s="151">
        <f t="shared" si="2"/>
        <v>16.25</v>
      </c>
      <c r="U27" s="89">
        <v>16</v>
      </c>
    </row>
    <row r="28" spans="1:21" ht="48">
      <c r="A28" s="78">
        <v>51</v>
      </c>
      <c r="B28" s="78">
        <v>33</v>
      </c>
      <c r="C28" s="71" t="s">
        <v>229</v>
      </c>
      <c r="D28" s="71" t="s">
        <v>176</v>
      </c>
      <c r="E28" s="94" t="s">
        <v>230</v>
      </c>
      <c r="F28" s="71" t="s">
        <v>165</v>
      </c>
      <c r="G28" s="1"/>
      <c r="H28" s="92" t="s">
        <v>145</v>
      </c>
      <c r="I28" s="89">
        <v>23</v>
      </c>
      <c r="J28" s="91">
        <f t="shared" si="3"/>
        <v>195500</v>
      </c>
      <c r="K28" s="100" t="s">
        <v>146</v>
      </c>
      <c r="L28" s="118"/>
      <c r="M28" s="6">
        <v>4</v>
      </c>
      <c r="N28" s="6">
        <v>3</v>
      </c>
      <c r="O28" s="6">
        <v>8</v>
      </c>
      <c r="P28" s="6">
        <v>3</v>
      </c>
      <c r="Q28" s="6"/>
      <c r="R28" s="85"/>
      <c r="S28" s="81">
        <f t="shared" si="1"/>
        <v>18</v>
      </c>
      <c r="T28" s="151">
        <f t="shared" si="2"/>
        <v>23.4</v>
      </c>
      <c r="U28" s="89">
        <v>23</v>
      </c>
    </row>
    <row r="29" spans="1:21" ht="48">
      <c r="A29" s="78">
        <v>52</v>
      </c>
      <c r="B29" s="78">
        <v>34</v>
      </c>
      <c r="C29" s="71" t="s">
        <v>231</v>
      </c>
      <c r="D29" s="71" t="s">
        <v>202</v>
      </c>
      <c r="E29" s="94" t="s">
        <v>232</v>
      </c>
      <c r="F29" s="71" t="s">
        <v>165</v>
      </c>
      <c r="G29" s="1"/>
      <c r="H29" s="92" t="s">
        <v>145</v>
      </c>
      <c r="I29" s="89">
        <v>23</v>
      </c>
      <c r="J29" s="91">
        <f t="shared" si="3"/>
        <v>195500</v>
      </c>
      <c r="K29" s="125" t="s">
        <v>146</v>
      </c>
      <c r="L29" s="118"/>
      <c r="M29" s="6">
        <v>5</v>
      </c>
      <c r="N29" s="6">
        <v>2</v>
      </c>
      <c r="O29" s="6">
        <v>8</v>
      </c>
      <c r="P29" s="6">
        <v>3</v>
      </c>
      <c r="Q29" s="6"/>
      <c r="R29" s="85"/>
      <c r="S29" s="81">
        <f t="shared" si="1"/>
        <v>18</v>
      </c>
      <c r="T29" s="151">
        <f t="shared" si="2"/>
        <v>23.4</v>
      </c>
      <c r="U29" s="89">
        <v>23</v>
      </c>
    </row>
    <row r="30" spans="1:21" ht="48">
      <c r="A30" s="78"/>
      <c r="B30" s="78">
        <v>35</v>
      </c>
      <c r="C30" s="71" t="s">
        <v>233</v>
      </c>
      <c r="D30" s="71" t="s">
        <v>202</v>
      </c>
      <c r="E30" s="94" t="s">
        <v>234</v>
      </c>
      <c r="F30" s="71" t="s">
        <v>235</v>
      </c>
      <c r="G30" s="1"/>
      <c r="H30" s="92" t="s">
        <v>145</v>
      </c>
      <c r="I30" s="89">
        <f>10+2</f>
        <v>12</v>
      </c>
      <c r="J30" s="124">
        <f t="shared" si="3"/>
        <v>102000</v>
      </c>
      <c r="K30" s="136" t="s">
        <v>146</v>
      </c>
      <c r="L30" s="129" t="s">
        <v>236</v>
      </c>
      <c r="M30" s="6">
        <v>2</v>
      </c>
      <c r="N30" s="6">
        <v>1</v>
      </c>
      <c r="O30" s="6">
        <v>5</v>
      </c>
      <c r="P30" s="6">
        <v>1</v>
      </c>
      <c r="Q30" s="6"/>
      <c r="R30" s="6"/>
      <c r="S30" s="81">
        <f t="shared" si="1"/>
        <v>9</v>
      </c>
      <c r="T30" s="151">
        <f t="shared" si="2"/>
        <v>11.7</v>
      </c>
      <c r="U30" s="89">
        <f>10+2</f>
        <v>12</v>
      </c>
    </row>
    <row r="31" spans="1:21" ht="48">
      <c r="A31" s="78"/>
      <c r="B31" s="78">
        <v>36</v>
      </c>
      <c r="C31" s="71" t="s">
        <v>237</v>
      </c>
      <c r="D31" s="71" t="s">
        <v>238</v>
      </c>
      <c r="E31" s="120" t="s">
        <v>239</v>
      </c>
      <c r="F31" s="71" t="s">
        <v>235</v>
      </c>
      <c r="G31" s="1"/>
      <c r="H31" s="92" t="s">
        <v>145</v>
      </c>
      <c r="I31" s="89">
        <f>22+2</f>
        <v>24</v>
      </c>
      <c r="J31" s="124">
        <f t="shared" si="3"/>
        <v>204000</v>
      </c>
      <c r="K31" s="136" t="s">
        <v>146</v>
      </c>
      <c r="L31" s="129" t="s">
        <v>236</v>
      </c>
      <c r="M31" s="6">
        <v>6</v>
      </c>
      <c r="N31" s="6">
        <v>2</v>
      </c>
      <c r="O31" s="6">
        <v>9</v>
      </c>
      <c r="P31" s="6">
        <v>1.5</v>
      </c>
      <c r="Q31" s="6"/>
      <c r="R31" s="6"/>
      <c r="S31" s="81">
        <f t="shared" si="1"/>
        <v>18.5</v>
      </c>
      <c r="T31" s="151">
        <f t="shared" si="2"/>
        <v>24.05</v>
      </c>
      <c r="U31" s="89">
        <f>22+2</f>
        <v>24</v>
      </c>
    </row>
    <row r="32" spans="1:21" ht="48">
      <c r="A32" s="78"/>
      <c r="B32" s="78">
        <v>38</v>
      </c>
      <c r="C32" s="71" t="s">
        <v>240</v>
      </c>
      <c r="D32" s="71" t="s">
        <v>154</v>
      </c>
      <c r="E32" s="94" t="s">
        <v>241</v>
      </c>
      <c r="F32" s="71" t="s">
        <v>242</v>
      </c>
      <c r="G32" s="1"/>
      <c r="H32" s="92" t="s">
        <v>145</v>
      </c>
      <c r="I32" s="89">
        <f>1+1</f>
        <v>2</v>
      </c>
      <c r="J32" s="124">
        <f t="shared" si="3"/>
        <v>17000</v>
      </c>
      <c r="K32" s="136" t="s">
        <v>146</v>
      </c>
      <c r="L32" s="129" t="s">
        <v>236</v>
      </c>
      <c r="M32" s="6"/>
      <c r="N32" s="6">
        <v>0.25</v>
      </c>
      <c r="O32" s="6">
        <v>1</v>
      </c>
      <c r="P32" s="6">
        <v>0.25</v>
      </c>
      <c r="Q32" s="6"/>
      <c r="R32" s="6"/>
      <c r="S32" s="81">
        <f t="shared" si="1"/>
        <v>1.5</v>
      </c>
      <c r="T32" s="151">
        <f t="shared" si="2"/>
        <v>1.95</v>
      </c>
      <c r="U32" s="89">
        <f>1+1</f>
        <v>2</v>
      </c>
    </row>
    <row r="33" spans="1:21" ht="48">
      <c r="A33" s="78"/>
      <c r="B33" s="78">
        <v>39</v>
      </c>
      <c r="C33" s="71" t="s">
        <v>243</v>
      </c>
      <c r="D33" s="71"/>
      <c r="E33" s="94" t="s">
        <v>244</v>
      </c>
      <c r="F33" s="71" t="s">
        <v>242</v>
      </c>
      <c r="G33" s="93"/>
      <c r="H33" s="92" t="s">
        <v>160</v>
      </c>
      <c r="I33" s="89">
        <v>23</v>
      </c>
      <c r="J33" s="124">
        <f t="shared" si="3"/>
        <v>195500</v>
      </c>
      <c r="K33" s="137" t="s">
        <v>146</v>
      </c>
      <c r="L33" s="130" t="s">
        <v>236</v>
      </c>
      <c r="M33" s="6">
        <v>5</v>
      </c>
      <c r="N33" s="6">
        <v>3</v>
      </c>
      <c r="O33" s="6">
        <v>8</v>
      </c>
      <c r="P33" s="6">
        <v>2</v>
      </c>
      <c r="Q33" s="6"/>
      <c r="R33" s="6"/>
      <c r="S33" s="81">
        <f t="shared" si="1"/>
        <v>18</v>
      </c>
      <c r="T33" s="151">
        <f t="shared" si="2"/>
        <v>23.4</v>
      </c>
      <c r="U33" s="89">
        <v>23</v>
      </c>
    </row>
    <row r="34" spans="1:21" ht="48">
      <c r="A34" s="78"/>
      <c r="B34" s="78">
        <v>40</v>
      </c>
      <c r="C34" s="71" t="s">
        <v>245</v>
      </c>
      <c r="D34" s="71" t="s">
        <v>142</v>
      </c>
      <c r="E34" s="71" t="s">
        <v>246</v>
      </c>
      <c r="F34" s="71" t="s">
        <v>247</v>
      </c>
      <c r="G34" s="1"/>
      <c r="H34" s="92" t="s">
        <v>160</v>
      </c>
      <c r="I34" s="89">
        <v>64</v>
      </c>
      <c r="J34" s="124">
        <f>I34*8500</f>
        <v>544000</v>
      </c>
      <c r="K34" s="137" t="s">
        <v>146</v>
      </c>
      <c r="L34" s="138" t="s">
        <v>248</v>
      </c>
      <c r="M34" s="6">
        <v>5</v>
      </c>
      <c r="N34" s="6">
        <v>3</v>
      </c>
      <c r="O34" s="6">
        <v>36.5</v>
      </c>
      <c r="P34" s="6">
        <v>5</v>
      </c>
      <c r="Q34" s="6"/>
      <c r="R34" s="6"/>
      <c r="S34" s="81">
        <f t="shared" si="1"/>
        <v>49.5</v>
      </c>
      <c r="T34" s="151">
        <f>S34+(S34*0.3)</f>
        <v>64.349999999999994</v>
      </c>
      <c r="U34" s="89">
        <v>64</v>
      </c>
    </row>
    <row r="35" spans="1:21" ht="48">
      <c r="C35" s="71" t="s">
        <v>249</v>
      </c>
      <c r="D35" s="102" t="s">
        <v>250</v>
      </c>
      <c r="E35" s="94" t="s">
        <v>251</v>
      </c>
      <c r="F35" s="71" t="s">
        <v>252</v>
      </c>
      <c r="G35" s="1"/>
      <c r="H35" s="92" t="s">
        <v>160</v>
      </c>
      <c r="I35" s="89">
        <v>3</v>
      </c>
      <c r="J35" s="124">
        <f>I35*8500</f>
        <v>25500</v>
      </c>
      <c r="K35" s="137" t="s">
        <v>146</v>
      </c>
      <c r="L35" s="130" t="s">
        <v>236</v>
      </c>
      <c r="M35" s="6"/>
      <c r="N35" s="6">
        <v>0.25</v>
      </c>
      <c r="O35" s="6">
        <v>2</v>
      </c>
      <c r="P35" s="6">
        <v>0.25</v>
      </c>
      <c r="Q35" s="6"/>
      <c r="R35" s="6"/>
      <c r="S35" s="81">
        <f t="shared" si="1"/>
        <v>2.5</v>
      </c>
      <c r="T35" s="151">
        <f t="shared" si="2"/>
        <v>3.25</v>
      </c>
      <c r="U35" s="89">
        <v>3</v>
      </c>
    </row>
    <row r="36" spans="1:21" ht="48">
      <c r="C36" s="71" t="s">
        <v>253</v>
      </c>
      <c r="D36" s="103" t="s">
        <v>254</v>
      </c>
      <c r="E36" s="104" t="s">
        <v>255</v>
      </c>
      <c r="F36" s="71" t="s">
        <v>252</v>
      </c>
      <c r="G36" s="1"/>
      <c r="H36" s="92" t="s">
        <v>160</v>
      </c>
      <c r="I36" s="89">
        <v>3</v>
      </c>
      <c r="J36" s="124">
        <f>I36*8500</f>
        <v>25500</v>
      </c>
      <c r="K36" s="137" t="s">
        <v>146</v>
      </c>
      <c r="L36" s="142" t="s">
        <v>236</v>
      </c>
      <c r="M36" s="143">
        <v>1</v>
      </c>
      <c r="N36" s="143">
        <v>0.25</v>
      </c>
      <c r="O36" s="143">
        <v>1</v>
      </c>
      <c r="P36" s="143">
        <v>0.25</v>
      </c>
      <c r="Q36" s="143"/>
      <c r="R36" s="143"/>
      <c r="S36" s="144">
        <f t="shared" si="1"/>
        <v>2.5</v>
      </c>
      <c r="T36" s="151">
        <f t="shared" si="2"/>
        <v>3.25</v>
      </c>
      <c r="U36" s="89">
        <v>3</v>
      </c>
    </row>
    <row r="37" spans="1:21" ht="24">
      <c r="I37" s="152">
        <f>SUM(I2:I36)</f>
        <v>520</v>
      </c>
      <c r="K37" s="5"/>
      <c r="L37" s="141"/>
      <c r="M37" s="153">
        <f>SUM(M2:M36)</f>
        <v>62</v>
      </c>
      <c r="N37" s="153">
        <f t="shared" ref="N37:R38" si="4">SUM(N2:N36)</f>
        <v>64.25</v>
      </c>
      <c r="O37" s="153">
        <f t="shared" si="4"/>
        <v>183</v>
      </c>
      <c r="P37" s="153">
        <f t="shared" si="4"/>
        <v>48.75</v>
      </c>
      <c r="Q37" s="153">
        <f t="shared" si="4"/>
        <v>0</v>
      </c>
      <c r="R37" s="153">
        <f t="shared" si="4"/>
        <v>42</v>
      </c>
      <c r="S37" s="153"/>
      <c r="T37" s="152">
        <f>SUM(T2:T36)</f>
        <v>519.99999999999989</v>
      </c>
      <c r="U37" s="152">
        <f>SUM(U2:U36)</f>
        <v>520</v>
      </c>
    </row>
    <row r="38" spans="1:21" ht="66.75" customHeight="1">
      <c r="L38" s="138" t="s">
        <v>256</v>
      </c>
      <c r="M38" s="145">
        <f t="shared" ref="M38:N38" si="5">ROUNDDOWN(M37+(M37*0.3),2)</f>
        <v>80.599999999999994</v>
      </c>
      <c r="N38" s="145">
        <f t="shared" si="5"/>
        <v>83.52</v>
      </c>
      <c r="O38" s="145">
        <f>ROUNDDOWN(O37+(O37*0.3),2)</f>
        <v>237.9</v>
      </c>
      <c r="P38" s="145">
        <f t="shared" ref="P38:R38" si="6">ROUNDDOWN(P37+(P37*0.3),2)</f>
        <v>63.37</v>
      </c>
      <c r="Q38" s="145">
        <f t="shared" si="6"/>
        <v>0</v>
      </c>
      <c r="R38" s="145">
        <f t="shared" si="6"/>
        <v>54.6</v>
      </c>
      <c r="S38" s="145"/>
      <c r="T38" s="150">
        <f>SUM(M38:S38)</f>
        <v>519.99</v>
      </c>
      <c r="U38" s="150">
        <f>SUM(M38:S38)</f>
        <v>519.99</v>
      </c>
    </row>
    <row r="40" spans="1:21" ht="24">
      <c r="M40" s="146"/>
      <c r="N40" s="140"/>
      <c r="O40" s="140"/>
    </row>
    <row r="41" spans="1:21" ht="24">
      <c r="M41" s="146" t="s">
        <v>257</v>
      </c>
      <c r="N41" s="140"/>
      <c r="O41" s="140"/>
    </row>
    <row r="42" spans="1:21" ht="24">
      <c r="M42" s="147" t="s">
        <v>258</v>
      </c>
      <c r="N42" s="147">
        <f>O42/14000</f>
        <v>64</v>
      </c>
      <c r="O42" s="147">
        <v>896000</v>
      </c>
    </row>
    <row r="43" spans="1:21" ht="24">
      <c r="M43" s="147" t="s">
        <v>259</v>
      </c>
      <c r="N43" s="147">
        <v>520</v>
      </c>
      <c r="O43" s="147">
        <f>N43*8500</f>
        <v>4420000</v>
      </c>
    </row>
    <row r="44" spans="1:21" ht="24">
      <c r="M44" s="147" t="s">
        <v>260</v>
      </c>
      <c r="N44" s="147">
        <v>24</v>
      </c>
      <c r="O44" s="147">
        <f>N44*8500</f>
        <v>204000</v>
      </c>
    </row>
    <row r="45" spans="1:21" ht="24">
      <c r="M45" s="148"/>
      <c r="N45" s="149">
        <f>SUM(N42:N44)</f>
        <v>608</v>
      </c>
      <c r="O45" s="149">
        <f>SUM(O42:O44)</f>
        <v>5520000</v>
      </c>
    </row>
  </sheetData>
  <autoFilter ref="B1:T38" xr:uid="{274247C6-C8DA-401F-8098-A98D965D09FF}">
    <filterColumn colId="6" showButton="0"/>
    <filterColumn colId="7" showButton="0"/>
  </autoFilter>
  <mergeCells count="1"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D14A-6531-AA42-8B72-DAC905C4260D}">
  <dimension ref="A1:AH11"/>
  <sheetViews>
    <sheetView zoomScale="90" workbookViewId="0">
      <selection activeCell="W16" sqref="W16"/>
    </sheetView>
  </sheetViews>
  <sheetFormatPr defaultColWidth="11.42578125" defaultRowHeight="15"/>
  <cols>
    <col min="1" max="1" width="3.7109375" bestFit="1" customWidth="1"/>
    <col min="2" max="2" width="40.28515625" bestFit="1" customWidth="1"/>
    <col min="3" max="14" width="3.7109375" bestFit="1" customWidth="1"/>
    <col min="15" max="15" width="3.42578125" customWidth="1"/>
    <col min="16" max="21" width="3.7109375" bestFit="1" customWidth="1"/>
    <col min="22" max="22" width="3.7109375" customWidth="1"/>
    <col min="23" max="25" width="3.7109375" bestFit="1" customWidth="1"/>
    <col min="26" max="26" width="3.7109375" customWidth="1"/>
    <col min="27" max="29" width="3.7109375" bestFit="1" customWidth="1"/>
    <col min="30" max="30" width="3.7109375" customWidth="1"/>
    <col min="31" max="38" width="3.7109375" bestFit="1" customWidth="1"/>
  </cols>
  <sheetData>
    <row r="1" spans="1:34">
      <c r="A1" s="213" t="s">
        <v>124</v>
      </c>
      <c r="B1" s="215" t="s">
        <v>261</v>
      </c>
      <c r="C1" s="208" t="s">
        <v>262</v>
      </c>
      <c r="D1" s="209"/>
      <c r="E1" s="209"/>
      <c r="F1" s="210"/>
      <c r="G1" s="208" t="s">
        <v>263</v>
      </c>
      <c r="H1" s="209"/>
      <c r="I1" s="209"/>
      <c r="J1" s="210"/>
      <c r="K1" s="208" t="s">
        <v>264</v>
      </c>
      <c r="L1" s="209"/>
      <c r="M1" s="209"/>
      <c r="N1" s="210"/>
      <c r="O1" s="208" t="s">
        <v>265</v>
      </c>
      <c r="P1" s="209"/>
      <c r="Q1" s="209"/>
      <c r="R1" s="210"/>
      <c r="S1" s="211" t="s">
        <v>266</v>
      </c>
      <c r="T1" s="209"/>
      <c r="U1" s="209"/>
      <c r="V1" s="212"/>
      <c r="W1" s="211" t="s">
        <v>267</v>
      </c>
      <c r="X1" s="209"/>
      <c r="Y1" s="209"/>
      <c r="Z1" s="212"/>
      <c r="AA1" s="211" t="s">
        <v>268</v>
      </c>
      <c r="AB1" s="209"/>
      <c r="AC1" s="209"/>
      <c r="AD1" s="212"/>
      <c r="AE1" s="211" t="s">
        <v>269</v>
      </c>
      <c r="AF1" s="209"/>
      <c r="AG1" s="209"/>
      <c r="AH1" s="212"/>
    </row>
    <row r="2" spans="1:34">
      <c r="A2" s="214"/>
      <c r="B2" s="216"/>
      <c r="C2" s="60" t="s">
        <v>270</v>
      </c>
      <c r="D2" s="60" t="s">
        <v>271</v>
      </c>
      <c r="E2" s="60" t="s">
        <v>272</v>
      </c>
      <c r="F2" s="60" t="s">
        <v>273</v>
      </c>
      <c r="G2" s="60" t="s">
        <v>270</v>
      </c>
      <c r="H2" s="60" t="s">
        <v>271</v>
      </c>
      <c r="I2" s="60" t="s">
        <v>272</v>
      </c>
      <c r="J2" s="60" t="s">
        <v>273</v>
      </c>
      <c r="K2" s="60" t="s">
        <v>270</v>
      </c>
      <c r="L2" s="60" t="s">
        <v>271</v>
      </c>
      <c r="M2" s="60" t="s">
        <v>272</v>
      </c>
      <c r="N2" s="60" t="s">
        <v>273</v>
      </c>
      <c r="O2" s="60" t="s">
        <v>270</v>
      </c>
      <c r="P2" s="60" t="s">
        <v>271</v>
      </c>
      <c r="Q2" s="60" t="s">
        <v>272</v>
      </c>
      <c r="R2" s="60" t="s">
        <v>273</v>
      </c>
      <c r="S2" s="60" t="s">
        <v>270</v>
      </c>
      <c r="T2" s="60" t="s">
        <v>271</v>
      </c>
      <c r="U2" s="60" t="s">
        <v>272</v>
      </c>
      <c r="V2" s="60" t="s">
        <v>273</v>
      </c>
      <c r="W2" s="60" t="s">
        <v>270</v>
      </c>
      <c r="X2" s="60" t="s">
        <v>271</v>
      </c>
      <c r="Y2" s="60" t="s">
        <v>272</v>
      </c>
      <c r="Z2" s="60" t="s">
        <v>273</v>
      </c>
      <c r="AA2" s="60" t="s">
        <v>270</v>
      </c>
      <c r="AB2" s="60" t="s">
        <v>271</v>
      </c>
      <c r="AC2" s="60" t="s">
        <v>272</v>
      </c>
      <c r="AD2" s="60" t="s">
        <v>273</v>
      </c>
      <c r="AE2" s="60" t="s">
        <v>270</v>
      </c>
      <c r="AF2" s="60" t="s">
        <v>271</v>
      </c>
      <c r="AG2" s="60" t="s">
        <v>272</v>
      </c>
      <c r="AH2" s="60" t="s">
        <v>273</v>
      </c>
    </row>
    <row r="3" spans="1:34">
      <c r="A3" s="61">
        <v>1</v>
      </c>
      <c r="B3" s="64" t="s">
        <v>274</v>
      </c>
      <c r="C3" s="62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>
      <c r="A4" s="65">
        <v>2</v>
      </c>
      <c r="B4" s="66" t="s">
        <v>275</v>
      </c>
      <c r="C4" s="62"/>
      <c r="D4" s="62"/>
      <c r="E4" s="62"/>
      <c r="F4" s="62"/>
      <c r="G4" s="62"/>
      <c r="H4" s="62"/>
      <c r="I4" s="63"/>
      <c r="J4" s="63"/>
      <c r="K4" s="63"/>
      <c r="L4" s="63"/>
      <c r="M4" s="63"/>
      <c r="N4" s="67"/>
      <c r="O4" s="63"/>
      <c r="P4" s="63"/>
      <c r="Q4" s="63"/>
      <c r="R4" s="67"/>
      <c r="S4" s="63"/>
      <c r="T4" s="63"/>
      <c r="U4" s="67"/>
      <c r="V4" s="67"/>
      <c r="W4" s="63"/>
      <c r="X4" s="63"/>
      <c r="Y4" s="67"/>
      <c r="Z4" s="67"/>
      <c r="AA4" s="67"/>
      <c r="AB4" s="67"/>
      <c r="AC4" s="67"/>
      <c r="AD4" s="67"/>
      <c r="AE4" s="63"/>
      <c r="AF4" s="63"/>
      <c r="AG4" s="67"/>
      <c r="AH4" s="67"/>
    </row>
    <row r="5" spans="1:34">
      <c r="A5" s="61">
        <v>3</v>
      </c>
      <c r="B5" s="66" t="s">
        <v>276</v>
      </c>
      <c r="C5" s="67"/>
      <c r="D5" s="67"/>
      <c r="E5" s="67"/>
      <c r="F5" s="62"/>
      <c r="G5" s="62"/>
      <c r="H5" s="62"/>
      <c r="I5" s="62"/>
      <c r="J5" s="62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</row>
    <row r="6" spans="1:34" ht="15.95">
      <c r="A6" s="65">
        <v>4</v>
      </c>
      <c r="B6" s="68" t="s">
        <v>277</v>
      </c>
      <c r="C6" s="67"/>
      <c r="D6" s="67"/>
      <c r="E6" s="67"/>
      <c r="F6" s="67"/>
      <c r="G6" s="67"/>
      <c r="H6" s="67"/>
      <c r="I6" s="67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</row>
    <row r="7" spans="1:34">
      <c r="A7" s="61">
        <v>5</v>
      </c>
      <c r="B7" s="66" t="s">
        <v>278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2"/>
      <c r="V7" s="62"/>
      <c r="W7" s="62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</row>
    <row r="8" spans="1:34">
      <c r="A8" s="65">
        <v>6</v>
      </c>
      <c r="B8" s="66" t="s">
        <v>279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2"/>
      <c r="Y8" s="62"/>
      <c r="Z8" s="62"/>
      <c r="AA8" s="67"/>
      <c r="AB8" s="67"/>
      <c r="AC8" s="67"/>
      <c r="AD8" s="67"/>
      <c r="AE8" s="63"/>
      <c r="AF8" s="63"/>
      <c r="AG8" s="63"/>
      <c r="AH8" s="63"/>
    </row>
    <row r="9" spans="1:34">
      <c r="A9" s="61">
        <v>7</v>
      </c>
      <c r="B9" s="66" t="s">
        <v>280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2"/>
      <c r="AB9" s="62"/>
      <c r="AC9" s="62"/>
      <c r="AD9" s="62"/>
      <c r="AE9" s="63"/>
      <c r="AF9" s="67"/>
      <c r="AG9" s="67"/>
      <c r="AH9" s="67"/>
    </row>
    <row r="10" spans="1:34">
      <c r="A10" s="65">
        <v>8</v>
      </c>
      <c r="B10" s="66" t="s">
        <v>281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2"/>
      <c r="AE10" s="67"/>
      <c r="AF10" s="67"/>
      <c r="AG10" s="67"/>
      <c r="AH10" s="67"/>
    </row>
    <row r="11" spans="1:34">
      <c r="A11" s="61">
        <v>9</v>
      </c>
      <c r="B11" s="66" t="s">
        <v>282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205" t="s">
        <v>282</v>
      </c>
      <c r="AF11" s="206"/>
      <c r="AG11" s="206"/>
      <c r="AH11" s="207"/>
    </row>
  </sheetData>
  <mergeCells count="11">
    <mergeCell ref="A1:A2"/>
    <mergeCell ref="B1:B2"/>
    <mergeCell ref="C1:F1"/>
    <mergeCell ref="G1:J1"/>
    <mergeCell ref="K1:N1"/>
    <mergeCell ref="AE11:AH11"/>
    <mergeCell ref="O1:R1"/>
    <mergeCell ref="S1:V1"/>
    <mergeCell ref="W1:Z1"/>
    <mergeCell ref="AA1:AD1"/>
    <mergeCell ref="AE1:A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EB16-1470-7F42-99BB-855F07997DFA}">
  <sheetPr filterMode="1"/>
  <dimension ref="A1:I44"/>
  <sheetViews>
    <sheetView workbookViewId="0">
      <pane xSplit="4" ySplit="2" topLeftCell="E13" activePane="bottomRight" state="frozen"/>
      <selection pane="bottomRight" activeCell="F23" sqref="F23"/>
      <selection pane="bottomLeft"/>
      <selection pane="topRight"/>
    </sheetView>
  </sheetViews>
  <sheetFormatPr defaultColWidth="11.42578125" defaultRowHeight="15"/>
  <cols>
    <col min="1" max="1" width="6" customWidth="1"/>
    <col min="2" max="2" width="78.85546875" customWidth="1"/>
    <col min="3" max="3" width="13.42578125" customWidth="1"/>
    <col min="4" max="4" width="11.42578125" hidden="1" customWidth="1"/>
    <col min="5" max="5" width="27" customWidth="1"/>
    <col min="6" max="6" width="26.28515625" style="79" customWidth="1"/>
    <col min="7" max="7" width="22.28515625" style="79" customWidth="1"/>
    <col min="8" max="8" width="67.7109375" customWidth="1"/>
    <col min="9" max="9" width="25.85546875" customWidth="1"/>
  </cols>
  <sheetData>
    <row r="1" spans="1:9" ht="26.25">
      <c r="A1" s="116" t="s">
        <v>2</v>
      </c>
      <c r="B1" s="116" t="s">
        <v>283</v>
      </c>
      <c r="C1" s="116" t="s">
        <v>284</v>
      </c>
      <c r="D1" s="116" t="s">
        <v>285</v>
      </c>
      <c r="E1" s="116" t="s">
        <v>286</v>
      </c>
      <c r="F1" s="154" t="s">
        <v>287</v>
      </c>
      <c r="G1" s="154" t="s">
        <v>288</v>
      </c>
      <c r="H1" s="116" t="s">
        <v>289</v>
      </c>
      <c r="I1" s="116" t="s">
        <v>290</v>
      </c>
    </row>
    <row r="2" spans="1:9" ht="50.1" hidden="1">
      <c r="A2" s="155">
        <v>1</v>
      </c>
      <c r="B2" s="156" t="s">
        <v>291</v>
      </c>
      <c r="C2" s="156"/>
      <c r="D2" s="157">
        <v>5</v>
      </c>
      <c r="E2" s="157"/>
      <c r="F2" s="117"/>
      <c r="G2" s="117"/>
      <c r="H2" s="158" t="s">
        <v>292</v>
      </c>
      <c r="I2" s="118"/>
    </row>
    <row r="3" spans="1:9" ht="75" hidden="1">
      <c r="A3" s="155">
        <v>2</v>
      </c>
      <c r="B3" s="159" t="s">
        <v>293</v>
      </c>
      <c r="C3" s="159"/>
      <c r="D3" s="157">
        <v>19</v>
      </c>
      <c r="E3" s="160">
        <v>10</v>
      </c>
      <c r="F3" s="117"/>
      <c r="G3" s="161" t="s">
        <v>294</v>
      </c>
      <c r="H3" s="156" t="s">
        <v>295</v>
      </c>
      <c r="I3" s="118"/>
    </row>
    <row r="4" spans="1:9" ht="24" hidden="1">
      <c r="A4" s="155">
        <v>3</v>
      </c>
      <c r="B4" s="162" t="s">
        <v>296</v>
      </c>
      <c r="C4" s="162"/>
      <c r="D4" s="157"/>
      <c r="E4" s="157"/>
      <c r="F4" s="117"/>
      <c r="G4" s="117"/>
      <c r="H4" s="162"/>
      <c r="I4" s="118"/>
    </row>
    <row r="5" spans="1:9" ht="24" hidden="1">
      <c r="A5" s="155"/>
      <c r="B5" s="163" t="s">
        <v>297</v>
      </c>
      <c r="C5" s="163"/>
      <c r="D5" s="157">
        <v>0</v>
      </c>
      <c r="E5" s="157">
        <v>0</v>
      </c>
      <c r="F5" s="117"/>
      <c r="G5" s="117"/>
      <c r="H5" s="162" t="s">
        <v>298</v>
      </c>
      <c r="I5" s="118"/>
    </row>
    <row r="6" spans="1:9" ht="24" hidden="1">
      <c r="A6" s="155"/>
      <c r="B6" s="163" t="s">
        <v>299</v>
      </c>
      <c r="C6" s="163"/>
      <c r="D6" s="157">
        <v>0</v>
      </c>
      <c r="E6" s="157">
        <v>0</v>
      </c>
      <c r="F6" s="117"/>
      <c r="G6" s="117"/>
      <c r="H6" s="162" t="s">
        <v>298</v>
      </c>
      <c r="I6" s="118"/>
    </row>
    <row r="7" spans="1:9" ht="26.25" hidden="1">
      <c r="A7" s="164"/>
      <c r="B7" s="165" t="s">
        <v>300</v>
      </c>
      <c r="C7" s="165"/>
      <c r="D7" s="166"/>
      <c r="E7" s="166"/>
      <c r="F7" s="167"/>
      <c r="G7" s="167"/>
      <c r="H7" s="119"/>
      <c r="I7" s="119"/>
    </row>
    <row r="8" spans="1:9" ht="24" hidden="1">
      <c r="A8" s="155"/>
      <c r="B8" s="168" t="s">
        <v>301</v>
      </c>
      <c r="C8" s="168"/>
      <c r="D8" s="157"/>
      <c r="E8" s="157"/>
      <c r="F8" s="117"/>
      <c r="G8" s="117"/>
      <c r="H8" s="162"/>
      <c r="I8" s="118"/>
    </row>
    <row r="9" spans="1:9" ht="50.1" hidden="1">
      <c r="A9" s="155"/>
      <c r="B9" s="169" t="s">
        <v>302</v>
      </c>
      <c r="C9" s="170" t="s">
        <v>303</v>
      </c>
      <c r="D9" s="159">
        <v>20</v>
      </c>
      <c r="E9" s="171">
        <v>20</v>
      </c>
      <c r="F9" s="117"/>
      <c r="G9" s="117"/>
      <c r="H9" s="162"/>
      <c r="I9" s="118"/>
    </row>
    <row r="10" spans="1:9" ht="75" hidden="1">
      <c r="A10" s="155"/>
      <c r="B10" s="172" t="s">
        <v>304</v>
      </c>
      <c r="C10" s="170"/>
      <c r="D10" s="160">
        <v>5</v>
      </c>
      <c r="E10" s="160">
        <v>5</v>
      </c>
      <c r="F10" s="117"/>
      <c r="G10" s="117"/>
      <c r="H10" s="158" t="s">
        <v>305</v>
      </c>
      <c r="I10" s="118"/>
    </row>
    <row r="11" spans="1:9" ht="26.25" hidden="1">
      <c r="A11" s="164"/>
      <c r="B11" s="165" t="s">
        <v>306</v>
      </c>
      <c r="C11" s="165"/>
      <c r="D11" s="119"/>
      <c r="E11" s="119"/>
      <c r="F11" s="167"/>
      <c r="G11" s="167"/>
      <c r="H11" s="119"/>
      <c r="I11" s="119"/>
    </row>
    <row r="12" spans="1:9" ht="50.1" hidden="1">
      <c r="A12" s="155"/>
      <c r="B12" s="173" t="s">
        <v>307</v>
      </c>
      <c r="C12" s="173"/>
      <c r="D12" s="162"/>
      <c r="E12" s="162"/>
      <c r="F12" s="117"/>
      <c r="G12" s="117"/>
      <c r="H12" s="156" t="s">
        <v>308</v>
      </c>
      <c r="I12" s="118"/>
    </row>
    <row r="13" spans="1:9" ht="108.75">
      <c r="A13" s="155"/>
      <c r="B13" s="174" t="s">
        <v>309</v>
      </c>
      <c r="C13" s="174"/>
      <c r="D13" s="159">
        <v>10</v>
      </c>
      <c r="E13" s="175">
        <v>10</v>
      </c>
      <c r="F13" s="117" t="s">
        <v>160</v>
      </c>
      <c r="G13" s="117"/>
      <c r="H13" s="162"/>
      <c r="I13" s="117" t="s">
        <v>160</v>
      </c>
    </row>
    <row r="14" spans="1:9" ht="54.75">
      <c r="A14" s="155"/>
      <c r="B14" s="176" t="s">
        <v>310</v>
      </c>
      <c r="C14" s="176"/>
      <c r="D14" s="162">
        <v>2</v>
      </c>
      <c r="E14" s="177">
        <v>2</v>
      </c>
      <c r="F14" s="117"/>
      <c r="G14" s="117"/>
      <c r="H14" s="159" t="s">
        <v>311</v>
      </c>
      <c r="I14" s="117" t="s">
        <v>160</v>
      </c>
    </row>
    <row r="15" spans="1:9" ht="54.75">
      <c r="A15" s="155"/>
      <c r="B15" s="176" t="s">
        <v>312</v>
      </c>
      <c r="C15" s="176"/>
      <c r="D15" s="162">
        <v>2</v>
      </c>
      <c r="E15" s="177">
        <v>2</v>
      </c>
      <c r="F15" s="117"/>
      <c r="G15" s="117"/>
      <c r="H15" s="159" t="s">
        <v>311</v>
      </c>
      <c r="I15" s="117" t="s">
        <v>160</v>
      </c>
    </row>
    <row r="16" spans="1:9" ht="50.1" hidden="1">
      <c r="A16" s="155"/>
      <c r="B16" s="176" t="s">
        <v>313</v>
      </c>
      <c r="C16" s="176"/>
      <c r="D16" s="162"/>
      <c r="E16" s="162"/>
      <c r="F16" s="117"/>
      <c r="G16" s="117"/>
      <c r="H16" s="158" t="s">
        <v>314</v>
      </c>
      <c r="I16" s="118"/>
    </row>
    <row r="17" spans="1:9" ht="26.25" hidden="1">
      <c r="A17" s="164"/>
      <c r="B17" s="165" t="s">
        <v>315</v>
      </c>
      <c r="C17" s="165"/>
      <c r="D17" s="119"/>
      <c r="E17" s="119"/>
      <c r="F17" s="167"/>
      <c r="G17" s="167"/>
      <c r="H17" s="119"/>
      <c r="I17" s="119"/>
    </row>
    <row r="18" spans="1:9" ht="24.95" hidden="1">
      <c r="A18" s="155"/>
      <c r="B18" s="174" t="s">
        <v>316</v>
      </c>
      <c r="C18" s="174"/>
      <c r="D18" s="159"/>
      <c r="E18" s="159"/>
      <c r="F18" s="117"/>
      <c r="G18" s="117"/>
      <c r="H18" s="162" t="s">
        <v>298</v>
      </c>
      <c r="I18" s="118"/>
    </row>
    <row r="19" spans="1:9" ht="26.25" hidden="1">
      <c r="A19" s="164"/>
      <c r="B19" s="165" t="s">
        <v>317</v>
      </c>
      <c r="C19" s="165"/>
      <c r="D19" s="119"/>
      <c r="E19" s="119"/>
      <c r="F19" s="167"/>
      <c r="G19" s="167"/>
      <c r="H19" s="119"/>
      <c r="I19" s="119"/>
    </row>
    <row r="20" spans="1:9" ht="24.95" hidden="1">
      <c r="A20" s="155"/>
      <c r="B20" s="174" t="s">
        <v>316</v>
      </c>
      <c r="C20" s="174"/>
      <c r="D20" s="159"/>
      <c r="E20" s="159"/>
      <c r="F20" s="117"/>
      <c r="G20" s="117"/>
      <c r="H20" s="162" t="s">
        <v>298</v>
      </c>
      <c r="I20" s="118"/>
    </row>
    <row r="21" spans="1:9" ht="26.25" hidden="1">
      <c r="A21" s="164"/>
      <c r="B21" s="165" t="s">
        <v>318</v>
      </c>
      <c r="C21" s="165"/>
      <c r="D21" s="119"/>
      <c r="E21" s="119"/>
      <c r="F21" s="167"/>
      <c r="G21" s="167"/>
      <c r="H21" s="119"/>
      <c r="I21" s="119"/>
    </row>
    <row r="22" spans="1:9" ht="50.1" hidden="1">
      <c r="A22" s="155"/>
      <c r="B22" s="178" t="s">
        <v>319</v>
      </c>
      <c r="C22" s="178"/>
      <c r="D22" s="162">
        <v>20</v>
      </c>
      <c r="E22" s="162">
        <v>20</v>
      </c>
      <c r="F22" s="117"/>
      <c r="G22" s="117"/>
      <c r="H22" s="158" t="s">
        <v>320</v>
      </c>
      <c r="I22" s="118"/>
    </row>
    <row r="23" spans="1:9" ht="54.75">
      <c r="A23" s="155"/>
      <c r="B23" s="178" t="s">
        <v>321</v>
      </c>
      <c r="C23" s="178"/>
      <c r="D23" s="162">
        <v>3</v>
      </c>
      <c r="E23" s="177">
        <v>3</v>
      </c>
      <c r="F23" s="117"/>
      <c r="G23" s="117"/>
      <c r="H23" s="162"/>
      <c r="I23" s="117" t="s">
        <v>160</v>
      </c>
    </row>
    <row r="24" spans="1:9" ht="54.75">
      <c r="A24" s="155"/>
      <c r="B24" s="178" t="s">
        <v>322</v>
      </c>
      <c r="C24" s="178"/>
      <c r="D24" s="162">
        <v>3</v>
      </c>
      <c r="E24" s="177">
        <v>3</v>
      </c>
      <c r="F24" s="117"/>
      <c r="G24" s="117"/>
      <c r="H24" s="162"/>
      <c r="I24" s="117" t="s">
        <v>160</v>
      </c>
    </row>
    <row r="25" spans="1:9" ht="54.75">
      <c r="A25" s="155"/>
      <c r="B25" s="178" t="s">
        <v>323</v>
      </c>
      <c r="C25" s="178"/>
      <c r="D25" s="162">
        <v>3</v>
      </c>
      <c r="E25" s="177">
        <v>3</v>
      </c>
      <c r="F25" s="117"/>
      <c r="G25" s="117"/>
      <c r="H25" s="162"/>
      <c r="I25" s="117" t="s">
        <v>160</v>
      </c>
    </row>
    <row r="26" spans="1:9" ht="27.75">
      <c r="A26" s="155"/>
      <c r="B26" s="178" t="s">
        <v>324</v>
      </c>
      <c r="C26" s="178"/>
      <c r="D26" s="162">
        <v>3</v>
      </c>
      <c r="E26" s="177">
        <v>3</v>
      </c>
      <c r="F26" s="117"/>
      <c r="G26" s="117"/>
      <c r="H26" s="162"/>
      <c r="I26" s="117" t="s">
        <v>160</v>
      </c>
    </row>
    <row r="27" spans="1:9" ht="54.75">
      <c r="A27" s="155"/>
      <c r="B27" s="178" t="s">
        <v>325</v>
      </c>
      <c r="C27" s="178"/>
      <c r="D27" s="162">
        <v>3</v>
      </c>
      <c r="E27" s="177">
        <v>3</v>
      </c>
      <c r="F27" s="117"/>
      <c r="G27" s="117"/>
      <c r="H27" s="162"/>
      <c r="I27" s="117" t="s">
        <v>160</v>
      </c>
    </row>
    <row r="28" spans="1:9" ht="54.75">
      <c r="A28" s="155"/>
      <c r="B28" s="178" t="s">
        <v>326</v>
      </c>
      <c r="C28" s="178"/>
      <c r="D28" s="162">
        <v>3</v>
      </c>
      <c r="E28" s="177">
        <v>3</v>
      </c>
      <c r="F28" s="117"/>
      <c r="G28" s="117"/>
      <c r="H28" s="162"/>
      <c r="I28" s="117" t="s">
        <v>160</v>
      </c>
    </row>
    <row r="29" spans="1:9" ht="54.75">
      <c r="A29" s="155"/>
      <c r="B29" s="178" t="s">
        <v>327</v>
      </c>
      <c r="C29" s="178"/>
      <c r="D29" s="162">
        <v>3</v>
      </c>
      <c r="E29" s="177">
        <v>3</v>
      </c>
      <c r="F29" s="117"/>
      <c r="G29" s="117"/>
      <c r="H29" s="162"/>
      <c r="I29" s="117" t="s">
        <v>160</v>
      </c>
    </row>
    <row r="30" spans="1:9" ht="81.75">
      <c r="A30" s="155"/>
      <c r="B30" s="178" t="s">
        <v>328</v>
      </c>
      <c r="C30" s="178"/>
      <c r="D30" s="162">
        <v>5</v>
      </c>
      <c r="E30" s="177">
        <v>5</v>
      </c>
      <c r="F30" s="117" t="s">
        <v>160</v>
      </c>
      <c r="G30" s="117"/>
      <c r="H30" s="162"/>
      <c r="I30" s="117" t="s">
        <v>160</v>
      </c>
    </row>
    <row r="31" spans="1:9" ht="26.25" hidden="1">
      <c r="A31" s="164"/>
      <c r="B31" s="165" t="s">
        <v>329</v>
      </c>
      <c r="C31" s="165"/>
      <c r="D31" s="119"/>
      <c r="E31" s="119"/>
      <c r="F31" s="167"/>
      <c r="G31" s="167"/>
      <c r="H31" s="119"/>
      <c r="I31" s="119"/>
    </row>
    <row r="32" spans="1:9" ht="24.95" hidden="1">
      <c r="A32" s="155"/>
      <c r="B32" s="178" t="s">
        <v>330</v>
      </c>
      <c r="C32" s="178"/>
      <c r="D32" s="162">
        <v>1</v>
      </c>
      <c r="E32" s="162"/>
      <c r="F32" s="117"/>
      <c r="G32" s="117"/>
      <c r="H32" s="162" t="s">
        <v>331</v>
      </c>
      <c r="I32" s="118"/>
    </row>
    <row r="33" spans="1:9" ht="24.95" hidden="1">
      <c r="A33" s="155"/>
      <c r="B33" s="178" t="s">
        <v>332</v>
      </c>
      <c r="C33" s="178"/>
      <c r="D33" s="162">
        <v>3</v>
      </c>
      <c r="E33" s="162"/>
      <c r="F33" s="117"/>
      <c r="G33" s="117"/>
      <c r="H33" s="162" t="s">
        <v>333</v>
      </c>
      <c r="I33" s="118"/>
    </row>
    <row r="34" spans="1:9" ht="50.1" hidden="1">
      <c r="A34" s="155"/>
      <c r="B34" s="178" t="s">
        <v>334</v>
      </c>
      <c r="C34" s="178"/>
      <c r="D34" s="162">
        <v>4</v>
      </c>
      <c r="E34" s="162">
        <v>4</v>
      </c>
      <c r="F34" s="117"/>
      <c r="G34" s="117"/>
      <c r="H34" s="162"/>
      <c r="I34" s="118"/>
    </row>
    <row r="35" spans="1:9" ht="24.95" hidden="1">
      <c r="A35" s="155"/>
      <c r="B35" s="178" t="s">
        <v>335</v>
      </c>
      <c r="C35" s="178"/>
      <c r="D35" s="162">
        <v>6</v>
      </c>
      <c r="E35" s="162">
        <v>6</v>
      </c>
      <c r="F35" s="117"/>
      <c r="G35" s="117"/>
      <c r="H35" s="162" t="s">
        <v>336</v>
      </c>
      <c r="I35" s="118"/>
    </row>
    <row r="36" spans="1:9" ht="26.25" hidden="1">
      <c r="A36" s="164"/>
      <c r="B36" s="165" t="s">
        <v>337</v>
      </c>
      <c r="C36" s="165"/>
      <c r="D36" s="119"/>
      <c r="E36" s="119"/>
      <c r="F36" s="167"/>
      <c r="G36" s="167"/>
      <c r="H36" s="119"/>
      <c r="I36" s="119"/>
    </row>
    <row r="37" spans="1:9" ht="135.75">
      <c r="A37" s="155"/>
      <c r="B37" s="178" t="s">
        <v>338</v>
      </c>
      <c r="C37" s="178"/>
      <c r="D37" s="159">
        <v>10</v>
      </c>
      <c r="E37" s="175">
        <v>10</v>
      </c>
      <c r="F37" s="117" t="s">
        <v>160</v>
      </c>
      <c r="G37" s="117"/>
      <c r="H37" s="162"/>
      <c r="I37" s="117" t="s">
        <v>160</v>
      </c>
    </row>
    <row r="38" spans="1:9" ht="54.75">
      <c r="A38" s="155"/>
      <c r="B38" s="178" t="s">
        <v>339</v>
      </c>
      <c r="C38" s="178"/>
      <c r="D38" s="162">
        <v>3</v>
      </c>
      <c r="E38" s="177">
        <v>3</v>
      </c>
      <c r="F38" s="117"/>
      <c r="G38" s="117"/>
      <c r="H38" s="162"/>
      <c r="I38" s="117" t="s">
        <v>160</v>
      </c>
    </row>
    <row r="39" spans="1:9" ht="54.75">
      <c r="A39" s="155"/>
      <c r="B39" s="178" t="s">
        <v>340</v>
      </c>
      <c r="C39" s="178"/>
      <c r="D39" s="162">
        <v>3</v>
      </c>
      <c r="E39" s="177">
        <v>3</v>
      </c>
      <c r="F39" s="117"/>
      <c r="G39" s="117"/>
      <c r="H39" s="162"/>
      <c r="I39" s="117" t="s">
        <v>160</v>
      </c>
    </row>
    <row r="40" spans="1:9" ht="108.75">
      <c r="A40" s="155"/>
      <c r="B40" s="178" t="s">
        <v>341</v>
      </c>
      <c r="C40" s="178"/>
      <c r="D40" s="159">
        <v>5</v>
      </c>
      <c r="E40" s="175">
        <v>5</v>
      </c>
      <c r="F40" s="117"/>
      <c r="G40" s="117"/>
      <c r="H40" s="162"/>
      <c r="I40" s="117" t="s">
        <v>160</v>
      </c>
    </row>
    <row r="41" spans="1:9" ht="26.25" hidden="1">
      <c r="A41" s="164"/>
      <c r="B41" s="165" t="s">
        <v>342</v>
      </c>
      <c r="C41" s="165"/>
      <c r="D41" s="119"/>
      <c r="E41" s="119"/>
      <c r="F41" s="167"/>
      <c r="G41" s="167"/>
      <c r="H41" s="119"/>
      <c r="I41" s="119"/>
    </row>
    <row r="42" spans="1:9" ht="50.1" hidden="1">
      <c r="A42" s="155"/>
      <c r="B42" s="178" t="s">
        <v>343</v>
      </c>
      <c r="C42" s="178"/>
      <c r="D42" s="162">
        <v>15</v>
      </c>
      <c r="E42" s="162">
        <v>15</v>
      </c>
      <c r="F42" s="117"/>
      <c r="G42" s="117"/>
      <c r="H42" s="162"/>
      <c r="I42" s="118"/>
    </row>
    <row r="43" spans="1:9" ht="50.1" hidden="1">
      <c r="A43" s="155"/>
      <c r="B43" s="178" t="s">
        <v>344</v>
      </c>
      <c r="C43" s="178"/>
      <c r="D43" s="162">
        <v>15</v>
      </c>
      <c r="E43" s="162">
        <v>15</v>
      </c>
      <c r="F43" s="117"/>
      <c r="G43" s="117"/>
      <c r="H43" s="162"/>
      <c r="I43" s="118"/>
    </row>
    <row r="44" spans="1:9" ht="24">
      <c r="A44" s="162"/>
      <c r="B44" s="162"/>
      <c r="C44" s="162"/>
      <c r="D44" s="162"/>
      <c r="E44" s="162"/>
      <c r="F44" s="117"/>
      <c r="G44" s="117"/>
      <c r="H44" s="162"/>
      <c r="I44" s="118"/>
    </row>
  </sheetData>
  <autoFilter ref="A1:I43" xr:uid="{272EEB16-1470-7F42-99BB-855F07997DFA}">
    <filterColumn colId="8">
      <filters>
        <filter val="Y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BD59-5819-3644-92D2-DBDA72274C95}">
  <dimension ref="A1:G3"/>
  <sheetViews>
    <sheetView zoomScale="122" zoomScaleNormal="110" workbookViewId="0">
      <selection activeCell="F2" sqref="F2"/>
    </sheetView>
  </sheetViews>
  <sheetFormatPr defaultColWidth="11.42578125" defaultRowHeight="15"/>
  <cols>
    <col min="1" max="1" width="14.140625" customWidth="1"/>
    <col min="2" max="2" width="63.7109375" customWidth="1"/>
    <col min="3" max="3" width="25.85546875" customWidth="1"/>
    <col min="4" max="4" width="14.85546875" customWidth="1"/>
    <col min="5" max="5" width="23.42578125" customWidth="1"/>
    <col min="6" max="6" width="16.85546875" customWidth="1"/>
    <col min="7" max="7" width="17.140625" customWidth="1"/>
    <col min="8" max="8" width="4.42578125" customWidth="1"/>
    <col min="10" max="10" width="12.85546875" bestFit="1" customWidth="1"/>
  </cols>
  <sheetData>
    <row r="1" spans="1:7" ht="42">
      <c r="A1" s="55" t="s">
        <v>345</v>
      </c>
      <c r="B1" s="55" t="s">
        <v>346</v>
      </c>
      <c r="C1" s="55" t="s">
        <v>347</v>
      </c>
      <c r="D1" s="55" t="s">
        <v>348</v>
      </c>
      <c r="E1" s="55" t="s">
        <v>349</v>
      </c>
      <c r="F1" s="56" t="s">
        <v>350</v>
      </c>
      <c r="G1" s="56" t="s">
        <v>351</v>
      </c>
    </row>
    <row r="2" spans="1:7" ht="21.75">
      <c r="A2" s="2" t="s">
        <v>352</v>
      </c>
      <c r="B2" s="3" t="s">
        <v>353</v>
      </c>
      <c r="C2" s="2" t="s">
        <v>354</v>
      </c>
      <c r="D2" s="2" t="s">
        <v>355</v>
      </c>
      <c r="E2" s="2" t="s">
        <v>356</v>
      </c>
      <c r="F2" s="58" t="s">
        <v>357</v>
      </c>
      <c r="G2" s="4">
        <f>Resource_Release!I22</f>
        <v>5520000</v>
      </c>
    </row>
    <row r="3" spans="1:7" ht="15.95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0" ma:contentTypeDescription="Create a new document." ma:contentTypeScope="" ma:versionID="2b372ff3092c8c37f3982edabca562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ABA682-2B0C-485B-ADAA-FC730D7E3BCA}"/>
</file>

<file path=customXml/itemProps2.xml><?xml version="1.0" encoding="utf-8"?>
<ds:datastoreItem xmlns:ds="http://schemas.openxmlformats.org/officeDocument/2006/customXml" ds:itemID="{E64780B2-7E65-4846-AE30-C49AA49DAB1D}"/>
</file>

<file path=customXml/itemProps3.xml><?xml version="1.0" encoding="utf-8"?>
<ds:datastoreItem xmlns:ds="http://schemas.openxmlformats.org/officeDocument/2006/customXml" ds:itemID="{164F4602-EF91-4E17-8B1B-5319DB76EA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kwanrudee</dc:creator>
  <cp:keywords/>
  <dc:description/>
  <cp:lastModifiedBy>Phanumas Chalisarapong</cp:lastModifiedBy>
  <cp:revision/>
  <dcterms:created xsi:type="dcterms:W3CDTF">2021-02-09T09:28:28Z</dcterms:created>
  <dcterms:modified xsi:type="dcterms:W3CDTF">2025-11-13T11:04:19Z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  <property fmtid="{D5CDD505-2E9C-101B-9397-08002B2CF9AE}" pid="3" name="MediaServiceImageTags">
    <vt:lpwstr/>
  </property>
</Properties>
</file>