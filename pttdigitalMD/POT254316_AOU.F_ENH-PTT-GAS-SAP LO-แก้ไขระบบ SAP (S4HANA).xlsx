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13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nuttapols/Documents/"/>
    </mc:Choice>
  </mc:AlternateContent>
  <xr:revisionPtr revIDLastSave="0" documentId="13_ncr:1_{589C91D7-BE5A-474B-A594-EF3448F162E2}" xr6:coauthVersionLast="47" xr6:coauthVersionMax="47" xr10:uidLastSave="{00000000-0000-0000-0000-000000000000}"/>
  <bookViews>
    <workbookView xWindow="4520" yWindow="500" windowWidth="23280" windowHeight="17500" tabRatio="709" activeTab="7" xr2:uid="{00000000-000D-0000-FFFF-FFFF00000000}"/>
  </bookViews>
  <sheets>
    <sheet name="SR21005626_4Dates" sheetId="1" state="hidden" r:id="rId1"/>
    <sheet name="SR21005626_Estimated Effort" sheetId="2" state="hidden" r:id="rId2"/>
    <sheet name="Development" sheetId="7" state="hidden" r:id="rId3"/>
    <sheet name="Pricing Procedure" sheetId="10" state="hidden" r:id="rId4"/>
    <sheet name="Value Field" sheetId="9" state="hidden" r:id="rId5"/>
    <sheet name="Conceptual Design" sheetId="11" state="hidden" r:id="rId6"/>
    <sheet name="RITM0041040_Requirement" sheetId="27" state="hidden" r:id="rId7"/>
    <sheet name="Cost Sheet" sheetId="33" r:id="rId8"/>
    <sheet name="Timeline" sheetId="21" state="hidden" r:id="rId9"/>
    <sheet name="Authorization" sheetId="19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123Graph_A1" hidden="1">'[1]CRUDE-D'!#REF!</definedName>
    <definedName name="__123Graph_ABRENT" hidden="1">'[1]CRUDE-D'!#REF!</definedName>
    <definedName name="__123Graph_ACR" hidden="1">'[1]CRUDE-D'!#REF!</definedName>
    <definedName name="__123Graph_ACR2" hidden="1">'[1]CRUDE-D'!#REF!</definedName>
    <definedName name="__123Graph_ACR20" hidden="1">'[1]CRUDE-D'!#REF!</definedName>
    <definedName name="__123Graph_ACR3" hidden="1">'[1]CRUDE-D'!#REF!</definedName>
    <definedName name="__123Graph_ACR4" hidden="1">'[1]CRUDE-D'!#REF!</definedName>
    <definedName name="__123Graph_ACR5" hidden="1">'[1]CRUDE-D'!#REF!</definedName>
    <definedName name="__123Graph_ACRU" hidden="1">'[1]CRUDE-D'!#REF!</definedName>
    <definedName name="__123Graph_ACRU4" hidden="1">'[1]CRUDE-D'!#REF!</definedName>
    <definedName name="__123Graph_ADIBAI" hidden="1">'[1]CRUDE-D'!#REF!</definedName>
    <definedName name="__123Graph_ADUBAI" hidden="1">'[1]CRUDE-D'!#REF!</definedName>
    <definedName name="__123Graph_AF1" hidden="1">[1]POSTF1!#REF!</definedName>
    <definedName name="__123Graph_AF2" hidden="1">[1]POSTF1!#REF!</definedName>
    <definedName name="__123Graph_AF3" hidden="1">[1]POSTF1!#REF!</definedName>
    <definedName name="__123Graph_AF4" hidden="1">[1]POSTF1!#REF!</definedName>
    <definedName name="__123Graph_AFO" hidden="1">'[1]S''PORE-D'!#REF!</definedName>
    <definedName name="__123Graph_AFO180" hidden="1">'[1]S''PORE-D'!#REF!</definedName>
    <definedName name="__123Graph_AFOLS" hidden="1">'[1]S''PORE-D'!#REF!</definedName>
    <definedName name="__123Graph_AHD1" hidden="1">[1]POSTHD1!#REF!</definedName>
    <definedName name="__123Graph_AHD2" hidden="1">[1]POSTHD1!#REF!</definedName>
    <definedName name="__123Graph_AHD3" hidden="1">[1]POSTHD1!#REF!</definedName>
    <definedName name="__123Graph_AHD4" hidden="1">[1]POSTHD1!#REF!</definedName>
    <definedName name="__123Graph_AHD5" hidden="1">[1]POSTHD1!#REF!</definedName>
    <definedName name="__123Graph_AHSD" hidden="1">'[1]S''PORE-D'!#REF!</definedName>
    <definedName name="__123Graph_AJA" hidden="1">'[1]CRUDE-D'!#REF!</definedName>
    <definedName name="__123Graph_AJA2" hidden="1">'[1]S''PORE-D'!#REF!</definedName>
    <definedName name="__123Graph_ALPG1" hidden="1">[1]POSTLPG!#REF!</definedName>
    <definedName name="__123Graph_ALPG2" hidden="1">[1]POSTLPG!#REF!</definedName>
    <definedName name="__123Graph_ALPG3" hidden="1">[1]POSTLPG!#REF!</definedName>
    <definedName name="__123Graph_ALPG4" hidden="1">[1]POSTLPG!#REF!</definedName>
    <definedName name="__123Graph_ALPG5" hidden="1">[1]POSTLPG!#REF!</definedName>
    <definedName name="__123Graph_AOM" hidden="1">'[1]CRUDE-D'!#REF!</definedName>
    <definedName name="__123Graph_AOMAN" hidden="1">'[1]CRUDE-D'!#REF!</definedName>
    <definedName name="__123Graph_AP20" hidden="1">'[1]S''PORE-D'!#REF!</definedName>
    <definedName name="__123Graph_APICCR" hidden="1">'[1]CRUDE-D'!#REF!</definedName>
    <definedName name="__123Graph_APICPRO" hidden="1">'[1]S''PORE-D'!#REF!</definedName>
    <definedName name="__123Graph_APICULG" hidden="1">'[1]PO97(02)'!#REF!</definedName>
    <definedName name="__123Graph_APOSTF" hidden="1">[1]POSTF1!#REF!</definedName>
    <definedName name="__123Graph_APOSTHD" hidden="1">[1]POSTHD1!#REF!</definedName>
    <definedName name="__123Graph_APOSTLPG" hidden="1">[1]POSTLPG!#REF!</definedName>
    <definedName name="__123Graph_APOSTULG" hidden="1">'[1]PO97(02)'!#REF!</definedName>
    <definedName name="__123Graph_APRO" hidden="1">'[1]S''PORE-D'!#REF!</definedName>
    <definedName name="__123Graph_APRO93" hidden="1">'[1]S''PORE-D'!#REF!</definedName>
    <definedName name="__123Graph_ASA" hidden="1">'[1]CRUDE-D'!#REF!</definedName>
    <definedName name="__123Graph_ASP1" hidden="1">'[1]S''PORE-D'!#REF!</definedName>
    <definedName name="__123Graph_ATEM1" hidden="1">'[1]CRUDE-D'!#REF!</definedName>
    <definedName name="__123Graph_ATEMP" hidden="1">'[1]CRUDE-D'!#REF!</definedName>
    <definedName name="__123Graph_ATUK" hidden="1">'[1]CRUDE-D'!#REF!</definedName>
    <definedName name="__123Graph_AULG1" hidden="1">'[1]PO97(02)'!#REF!</definedName>
    <definedName name="__123Graph_AULG2" hidden="1">'[1]PO97(02)'!#REF!</definedName>
    <definedName name="__123Graph_AULG3" hidden="1">'[1]PO97(02)'!#REF!</definedName>
    <definedName name="__123Graph_AULG4" hidden="1">'[1]PO97(02)'!#REF!</definedName>
    <definedName name="__123Graph_AULG5" hidden="1">'[1]PO97(02)'!#REF!</definedName>
    <definedName name="__123Graph_AULG92" hidden="1">'[1]S''PORE-D'!#REF!</definedName>
    <definedName name="__123Graph_AULG95" hidden="1">'[1]S''PORE-D'!#REF!</definedName>
    <definedName name="__123Graph_AULG97" hidden="1">'[1]S''PORE-D'!#REF!</definedName>
    <definedName name="__123Graph_B1" hidden="1">'[1]CRUDE-D'!#REF!</definedName>
    <definedName name="__123Graph_BBRENT" hidden="1">'[1]CRUDE-D'!#REF!</definedName>
    <definedName name="__123Graph_BCR" hidden="1">'[1]CRUDE-D'!#REF!</definedName>
    <definedName name="__123Graph_BCR2" hidden="1">'[1]CRUDE-D'!#REF!</definedName>
    <definedName name="__123Graph_BCR20" hidden="1">'[1]CRUDE-D'!#REF!</definedName>
    <definedName name="__123Graph_BCR3" hidden="1">'[1]CRUDE-D'!#REF!</definedName>
    <definedName name="__123Graph_BCR4" hidden="1">'[1]CRUDE-D'!#REF!</definedName>
    <definedName name="__123Graph_BCR5" hidden="1">'[1]CRUDE-D'!#REF!</definedName>
    <definedName name="__123Graph_BCRU" hidden="1">'[1]CRUDE-D'!#REF!</definedName>
    <definedName name="__123Graph_BCRU4" hidden="1">'[1]CRUDE-D'!#REF!</definedName>
    <definedName name="__123Graph_BF1" hidden="1">[1]POSTF1!#REF!</definedName>
    <definedName name="__123Graph_BF2" hidden="1">[1]POSTF1!#REF!</definedName>
    <definedName name="__123Graph_BF3" hidden="1">[1]POSTF1!#REF!</definedName>
    <definedName name="__123Graph_BF4" hidden="1">[1]POSTF1!#REF!</definedName>
    <definedName name="__123Graph_BFO" hidden="1">'[1]S''PORE-D'!#REF!</definedName>
    <definedName name="__123Graph_BFOLS" hidden="1">'[1]S''PORE-D'!#REF!</definedName>
    <definedName name="__123Graph_BHD1" hidden="1">[1]POSTHD1!#REF!</definedName>
    <definedName name="__123Graph_BHD2" hidden="1">[1]POSTHD1!#REF!</definedName>
    <definedName name="__123Graph_BHD3" hidden="1">[1]POSTHD1!#REF!</definedName>
    <definedName name="__123Graph_BHD4" hidden="1">[1]POSTHD1!#REF!</definedName>
    <definedName name="__123Graph_BHD5" hidden="1">[1]POSTHD1!#REF!</definedName>
    <definedName name="__123Graph_BJA" hidden="1">'[1]CRUDE-D'!#REF!</definedName>
    <definedName name="__123Graph_BJA2" hidden="1">'[1]S''PORE-D'!#REF!</definedName>
    <definedName name="__123Graph_BLPG1" hidden="1">[1]POSTLPG!#REF!</definedName>
    <definedName name="__123Graph_BLPG2" hidden="1">[1]POSTLPG!#REF!</definedName>
    <definedName name="__123Graph_BLPG3" hidden="1">[1]POSTLPG!#REF!</definedName>
    <definedName name="__123Graph_BLPG4" hidden="1">[1]POSTLPG!#REF!</definedName>
    <definedName name="__123Graph_BLPG5" hidden="1">[1]POSTLPG!#REF!</definedName>
    <definedName name="__123Graph_BP20" hidden="1">'[1]S''PORE-D'!#REF!</definedName>
    <definedName name="__123Graph_BPICCR" hidden="1">'[1]CRUDE-D'!#REF!</definedName>
    <definedName name="__123Graph_BPICPRO" hidden="1">'[1]S''PORE-D'!#REF!</definedName>
    <definedName name="__123Graph_BPICULG" hidden="1">'[1]PO97(02)'!#REF!</definedName>
    <definedName name="__123Graph_BPOSTF" hidden="1">[1]POSTF1!#REF!</definedName>
    <definedName name="__123Graph_BPOSTHD" hidden="1">[1]POSTHD1!#REF!</definedName>
    <definedName name="__123Graph_BPOSTLPG" hidden="1">[1]POSTLPG!#REF!</definedName>
    <definedName name="__123Graph_BPOSTULG" hidden="1">'[1]PO97(02)'!#REF!</definedName>
    <definedName name="__123Graph_BPRO" hidden="1">'[1]S''PORE-D'!#REF!</definedName>
    <definedName name="__123Graph_BPRO93" hidden="1">'[1]S''PORE-D'!#REF!</definedName>
    <definedName name="__123Graph_BSA" hidden="1">'[1]CRUDE-D'!#REF!</definedName>
    <definedName name="__123Graph_BSP1" hidden="1">'[1]S''PORE-D'!#REF!</definedName>
    <definedName name="__123Graph_BTUK" hidden="1">'[1]CRUDE-D'!#REF!</definedName>
    <definedName name="__123Graph_BULG1" hidden="1">'[1]PO97(02)'!#REF!</definedName>
    <definedName name="__123Graph_BULG2" hidden="1">'[1]PO97(02)'!#REF!</definedName>
    <definedName name="__123Graph_BULG3" hidden="1">'[1]PO97(02)'!#REF!</definedName>
    <definedName name="__123Graph_BULG4" hidden="1">'[1]PO97(02)'!#REF!</definedName>
    <definedName name="__123Graph_BULG5" hidden="1">'[1]PO97(02)'!#REF!</definedName>
    <definedName name="__123Graph_C1" hidden="1">'[1]CRUDE-D'!#REF!</definedName>
    <definedName name="__123Graph_CBRENT" hidden="1">'[1]CRUDE-D'!#REF!</definedName>
    <definedName name="__123Graph_CCR" hidden="1">'[1]CRUDE-D'!#REF!</definedName>
    <definedName name="__123Graph_CCR2" hidden="1">'[1]CRUDE-D'!#REF!</definedName>
    <definedName name="__123Graph_CCR20" hidden="1">'[1]CRUDE-D'!#REF!</definedName>
    <definedName name="__123Graph_CCR3" hidden="1">'[1]CRUDE-D'!#REF!</definedName>
    <definedName name="__123Graph_CCR4" hidden="1">'[1]CRUDE-D'!#REF!</definedName>
    <definedName name="__123Graph_CCR5" hidden="1">'[1]CRUDE-D'!#REF!</definedName>
    <definedName name="__123Graph_CCRU" hidden="1">'[1]CRUDE-D'!#REF!</definedName>
    <definedName name="__123Graph_CCRU4" hidden="1">'[1]CRUDE-D'!#REF!</definedName>
    <definedName name="__123Graph_CF1" hidden="1">[1]POSTF1!#REF!</definedName>
    <definedName name="__123Graph_CF2" hidden="1">[1]POSTF1!#REF!</definedName>
    <definedName name="__123Graph_CF3" hidden="1">[1]POSTF1!#REF!</definedName>
    <definedName name="__123Graph_CF4" hidden="1">[1]POSTF1!#REF!</definedName>
    <definedName name="__123Graph_CFO" hidden="1">'[1]S''PORE-D'!#REF!</definedName>
    <definedName name="__123Graph_CFOLS" hidden="1">'[1]S''PORE-D'!#REF!</definedName>
    <definedName name="__123Graph_CHD1" hidden="1">[1]POSTHD1!#REF!</definedName>
    <definedName name="__123Graph_CHD2" hidden="1">[1]POSTHD1!#REF!</definedName>
    <definedName name="__123Graph_CHD3" hidden="1">[1]POSTHD1!#REF!</definedName>
    <definedName name="__123Graph_CHD4" hidden="1">[1]POSTHD1!#REF!</definedName>
    <definedName name="__123Graph_CHD5" hidden="1">[1]POSTHD1!#REF!</definedName>
    <definedName name="__123Graph_CJA" hidden="1">'[1]CRUDE-D'!#REF!</definedName>
    <definedName name="__123Graph_CJA2" hidden="1">'[1]S''PORE-D'!#REF!</definedName>
    <definedName name="__123Graph_CLPG1" hidden="1">[1]POSTLPG!#REF!</definedName>
    <definedName name="__123Graph_CLPG2" hidden="1">[1]POSTLPG!#REF!</definedName>
    <definedName name="__123Graph_CLPG3" hidden="1">[1]POSTLPG!#REF!</definedName>
    <definedName name="__123Graph_CLPG4" hidden="1">[1]POSTLPG!#REF!</definedName>
    <definedName name="__123Graph_CLPG5" hidden="1">[1]POSTLPG!#REF!</definedName>
    <definedName name="__123Graph_CP20" hidden="1">'[1]S''PORE-D'!#REF!</definedName>
    <definedName name="__123Graph_CPICCR" hidden="1">'[1]CRUDE-D'!#REF!</definedName>
    <definedName name="__123Graph_CPICPRO" hidden="1">'[1]S''PORE-D'!#REF!</definedName>
    <definedName name="__123Graph_CPICULG" hidden="1">'[1]PO97(02)'!#REF!</definedName>
    <definedName name="__123Graph_CPOSTF" hidden="1">[1]POSTF1!#REF!</definedName>
    <definedName name="__123Graph_CPOSTHD" hidden="1">[1]POSTHD1!#REF!</definedName>
    <definedName name="__123Graph_CPOSTLPG" hidden="1">[1]POSTLPG!#REF!</definedName>
    <definedName name="__123Graph_CPOSTULG" hidden="1">'[1]PO97(02)'!#REF!</definedName>
    <definedName name="__123Graph_CPRO" hidden="1">'[1]S''PORE-D'!#REF!</definedName>
    <definedName name="__123Graph_CPRO93" hidden="1">'[1]S''PORE-D'!#REF!</definedName>
    <definedName name="__123Graph_CSA" hidden="1">'[1]CRUDE-D'!#REF!</definedName>
    <definedName name="__123Graph_CSP1" hidden="1">'[1]S''PORE-D'!#REF!</definedName>
    <definedName name="__123Graph_CTEM1" hidden="1">'[1]CRUDE-D'!#REF!</definedName>
    <definedName name="__123Graph_CTEMP" hidden="1">'[1]CRUDE-D'!#REF!</definedName>
    <definedName name="__123Graph_CTUK" hidden="1">'[1]CRUDE-D'!#REF!</definedName>
    <definedName name="__123Graph_CULG1" hidden="1">'[1]PO97(02)'!#REF!</definedName>
    <definedName name="__123Graph_CULG2" hidden="1">'[1]PO97(02)'!#REF!</definedName>
    <definedName name="__123Graph_CULG3" hidden="1">'[1]PO97(02)'!#REF!</definedName>
    <definedName name="__123Graph_CULG4" hidden="1">'[1]PO97(02)'!#REF!</definedName>
    <definedName name="__123Graph_CULG5" hidden="1">'[1]PO97(02)'!#REF!</definedName>
    <definedName name="__123Graph_D1" hidden="1">'[1]CRUDE-D'!#REF!</definedName>
    <definedName name="__123Graph_DBRENT" hidden="1">'[1]CRUDE-D'!#REF!</definedName>
    <definedName name="__123Graph_DCR" hidden="1">'[1]CRUDE-D'!#REF!</definedName>
    <definedName name="__123Graph_DCR2" hidden="1">'[1]CRUDE-D'!#REF!</definedName>
    <definedName name="__123Graph_DCR20" hidden="1">'[1]CRUDE-D'!#REF!</definedName>
    <definedName name="__123Graph_DCR3" hidden="1">'[1]CRUDE-D'!#REF!</definedName>
    <definedName name="__123Graph_DCR4" hidden="1">'[1]CRUDE-D'!#REF!</definedName>
    <definedName name="__123Graph_DCR5" hidden="1">'[1]CRUDE-D'!#REF!</definedName>
    <definedName name="__123Graph_DCRU" hidden="1">'[1]CRUDE-D'!#REF!</definedName>
    <definedName name="__123Graph_DCRU4" hidden="1">'[1]CRUDE-D'!#REF!</definedName>
    <definedName name="__123Graph_DF1" hidden="1">[1]POSTF1!#REF!</definedName>
    <definedName name="__123Graph_DF2" hidden="1">[1]POSTF1!#REF!</definedName>
    <definedName name="__123Graph_DF3" hidden="1">[1]POSTF1!#REF!</definedName>
    <definedName name="__123Graph_DF4" hidden="1">[1]POSTF1!#REF!</definedName>
    <definedName name="__123Graph_DFO" hidden="1">'[1]S''PORE-D'!#REF!</definedName>
    <definedName name="__123Graph_DHD2" hidden="1">[1]POSTHD1!#REF!</definedName>
    <definedName name="__123Graph_DHD3" hidden="1">[1]POSTHD1!#REF!</definedName>
    <definedName name="__123Graph_DHD4" hidden="1">[1]POSTHD1!#REF!</definedName>
    <definedName name="__123Graph_DHD5" hidden="1">[1]POSTHD1!#REF!</definedName>
    <definedName name="__123Graph_DJA" hidden="1">'[1]CRUDE-D'!#REF!</definedName>
    <definedName name="__123Graph_DJA2" hidden="1">'[1]S''PORE-D'!#REF!</definedName>
    <definedName name="__123Graph_DLPG1" hidden="1">[1]POSTLPG!#REF!</definedName>
    <definedName name="__123Graph_DLPG2" hidden="1">[1]POSTLPG!#REF!</definedName>
    <definedName name="__123Graph_DLPG3" hidden="1">[1]POSTLPG!#REF!</definedName>
    <definedName name="__123Graph_DLPG4" hidden="1">[1]POSTLPG!#REF!</definedName>
    <definedName name="__123Graph_DLPG5" hidden="1">[1]POSTLPG!#REF!</definedName>
    <definedName name="__123Graph_DP20" hidden="1">'[1]S''PORE-D'!#REF!</definedName>
    <definedName name="__123Graph_DPICCR" hidden="1">'[1]CRUDE-D'!#REF!</definedName>
    <definedName name="__123Graph_DPICPRO" hidden="1">'[1]S''PORE-D'!#REF!</definedName>
    <definedName name="__123Graph_DPICULG" hidden="1">'[1]PO97(02)'!#REF!</definedName>
    <definedName name="__123Graph_DPOSTF" hidden="1">[1]POSTF1!#REF!</definedName>
    <definedName name="__123Graph_DPOSTHD" hidden="1">[1]POSTHD1!#REF!</definedName>
    <definedName name="__123Graph_DPOSTLPG" hidden="1">[1]POSTLPG!#REF!</definedName>
    <definedName name="__123Graph_DPOSTULG" hidden="1">'[1]PO97(02)'!#REF!</definedName>
    <definedName name="__123Graph_DPRO" hidden="1">'[1]S''PORE-D'!#REF!</definedName>
    <definedName name="__123Graph_DPRO93" hidden="1">'[1]S''PORE-D'!#REF!</definedName>
    <definedName name="__123Graph_DSA" hidden="1">'[1]CRUDE-D'!#REF!</definedName>
    <definedName name="__123Graph_DSP1" hidden="1">'[1]S''PORE-D'!#REF!</definedName>
    <definedName name="__123Graph_DTUK" hidden="1">'[1]CRUDE-D'!#REF!</definedName>
    <definedName name="__123Graph_DULG1" hidden="1">'[1]PO97(02)'!#REF!</definedName>
    <definedName name="__123Graph_DULG2" hidden="1">'[1]PO97(02)'!#REF!</definedName>
    <definedName name="__123Graph_DULG3" hidden="1">'[1]PO97(02)'!#REF!</definedName>
    <definedName name="__123Graph_DULG4" hidden="1">'[1]PO97(02)'!#REF!</definedName>
    <definedName name="__123Graph_DULG5" hidden="1">'[1]PO97(02)'!#REF!</definedName>
    <definedName name="__123Graph_E1" hidden="1">'[1]CRUDE-D'!#REF!</definedName>
    <definedName name="__123Graph_EBRENT" hidden="1">'[1]CRUDE-D'!#REF!</definedName>
    <definedName name="__123Graph_ECR" hidden="1">'[1]CRUDE-D'!#REF!</definedName>
    <definedName name="__123Graph_ECR2" hidden="1">'[1]CRUDE-D'!#REF!</definedName>
    <definedName name="__123Graph_ECR20" hidden="1">'[1]CRUDE-D'!#REF!</definedName>
    <definedName name="__123Graph_ECR3" hidden="1">'[1]CRUDE-D'!#REF!</definedName>
    <definedName name="__123Graph_ECR4" hidden="1">'[1]CRUDE-D'!#REF!</definedName>
    <definedName name="__123Graph_ECR5" hidden="1">'[1]CRUDE-D'!#REF!</definedName>
    <definedName name="__123Graph_ECRU" hidden="1">'[1]CRUDE-D'!#REF!</definedName>
    <definedName name="__123Graph_ECRU4" hidden="1">'[1]CRUDE-D'!#REF!</definedName>
    <definedName name="__123Graph_EHD1" hidden="1">[1]POSTHD1!#REF!</definedName>
    <definedName name="__123Graph_EJA" hidden="1">'[1]CRUDE-D'!#REF!</definedName>
    <definedName name="__123Graph_EPICCR" hidden="1">'[1]CRUDE-D'!#REF!</definedName>
    <definedName name="__123Graph_ESA" hidden="1">'[1]CRUDE-D'!#REF!</definedName>
    <definedName name="__123Graph_ETUK" hidden="1">'[1]CRUDE-D'!#REF!</definedName>
    <definedName name="__123Graph_X1" hidden="1">'[1]CRUDE-D'!#REF!</definedName>
    <definedName name="__123Graph_XCR" hidden="1">'[1]CRUDE-D'!#REF!</definedName>
    <definedName name="__123Graph_XF1" hidden="1">[1]POSTF1!#REF!</definedName>
    <definedName name="__123Graph_XF2" hidden="1">[1]POSTF1!#REF!</definedName>
    <definedName name="__123Graph_XF3" hidden="1">[1]POSTF1!#REF!</definedName>
    <definedName name="__123Graph_XF4" hidden="1">[1]POSTF1!#REF!</definedName>
    <definedName name="__123Graph_XFO" hidden="1">'[1]S''PORE-D'!#REF!</definedName>
    <definedName name="__123Graph_XFO180" hidden="1">'[1]S''PORE-D'!#REF!</definedName>
    <definedName name="__123Graph_XFOLS" hidden="1">'[1]S''PORE-D'!#REF!</definedName>
    <definedName name="__123Graph_XHD1" hidden="1">[1]POSTHD1!#REF!</definedName>
    <definedName name="__123Graph_XHD2" hidden="1">[1]POSTHD1!#REF!</definedName>
    <definedName name="__123Graph_XHD3" hidden="1">[1]POSTHD1!#REF!</definedName>
    <definedName name="__123Graph_XHD4" hidden="1">[1]POSTHD1!#REF!</definedName>
    <definedName name="__123Graph_XHD5" hidden="1">[1]POSTHD1!#REF!</definedName>
    <definedName name="__123Graph_XHSD" hidden="1">'[1]S''PORE-D'!#REF!</definedName>
    <definedName name="__123Graph_XJA2" hidden="1">'[1]S''PORE-D'!#REF!</definedName>
    <definedName name="__123Graph_XLPG1" hidden="1">[1]POSTLPG!#REF!</definedName>
    <definedName name="__123Graph_XLPG2" hidden="1">[1]POSTLPG!#REF!</definedName>
    <definedName name="__123Graph_XLPG3" hidden="1">[1]POSTLPG!#REF!</definedName>
    <definedName name="__123Graph_XLPG4" hidden="1">[1]POSTLPG!#REF!</definedName>
    <definedName name="__123Graph_XLPG5" hidden="1">[1]POSTLPG!#REF!</definedName>
    <definedName name="__123Graph_XP20" hidden="1">'[1]S''PORE-D'!#REF!</definedName>
    <definedName name="__123Graph_XPICPRO" hidden="1">'[1]S''PORE-D'!#REF!</definedName>
    <definedName name="__123Graph_XPICULG" hidden="1">'[1]PO97(02)'!#REF!</definedName>
    <definedName name="__123Graph_XPOSTF" hidden="1">[1]POSTF1!#REF!</definedName>
    <definedName name="__123Graph_XPOSTHD" hidden="1">[1]POSTHD1!#REF!</definedName>
    <definedName name="__123Graph_XPOSTLPG" hidden="1">[1]POSTLPG!#REF!</definedName>
    <definedName name="__123Graph_XPOSTULG" hidden="1">'[1]PO97(02)'!#REF!</definedName>
    <definedName name="__123Graph_XPRO" hidden="1">'[1]S''PORE-D'!#REF!</definedName>
    <definedName name="__123Graph_XPRO93" hidden="1">'[1]S''PORE-D'!#REF!</definedName>
    <definedName name="__123Graph_XSP1" hidden="1">'[1]S''PORE-D'!#REF!</definedName>
    <definedName name="__123Graph_XTEM1" hidden="1">'[1]CRUDE-D'!#REF!</definedName>
    <definedName name="__123Graph_XULG1" hidden="1">'[1]PO97(02)'!#REF!</definedName>
    <definedName name="__123Graph_XULG2" hidden="1">'[1]PO97(02)'!#REF!</definedName>
    <definedName name="__123Graph_XULG3" hidden="1">'[1]PO97(02)'!#REF!</definedName>
    <definedName name="__123Graph_XULG4" hidden="1">'[1]PO97(02)'!#REF!</definedName>
    <definedName name="__123Graph_XULG5" hidden="1">'[1]PO97(02)'!#REF!</definedName>
    <definedName name="__123Graph_XULG92" hidden="1">'[1]S''PORE-D'!#REF!</definedName>
    <definedName name="__123Graph_XULG95" hidden="1">'[1]S''PORE-D'!#REF!</definedName>
    <definedName name="__123Graph_XULG97" hidden="1">'[1]S''PORE-D'!#REF!</definedName>
    <definedName name="_xlnm._FilterDatabase" localSheetId="3" hidden="1">'Pricing Procedure'!$A$1:$AC$141</definedName>
    <definedName name="_xlnm._FilterDatabase" localSheetId="4" hidden="1">'Value Field'!$B$1:$E$69</definedName>
    <definedName name="\a">#REF!</definedName>
    <definedName name="a">[2]Parameter!$C$2:$C$5</definedName>
    <definedName name="Action">'[3]Dropdown Value'!$A$2:$A$3</definedName>
    <definedName name="ALL_REQS" localSheetId="8">#REF!</definedName>
    <definedName name="ALL_REQS">#REF!</definedName>
    <definedName name="AMAZON">#REF!</definedName>
    <definedName name="Asof_Date">[4]Ref!$A$2</definedName>
    <definedName name="BillingList">'[5]Description_Project Plan 2014'!$J$9:$J$11</definedName>
    <definedName name="BUD_YR">#REF!</definedName>
    <definedName name="Business">[6]List!$G$3:$G$13</definedName>
    <definedName name="Business_Unit">'[7]Data Validation List'!$E$2:$E$13</definedName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comp">[8]List!$E$2:$E$5</definedName>
    <definedName name="Company">[6]List!$F$3:$F$5</definedName>
    <definedName name="Company_Code">'[7]Data Validation List'!$C$2:$C$13</definedName>
    <definedName name="Customer">#REF!</definedName>
    <definedName name="Customer_DB">#REF!</definedName>
    <definedName name="DATA1" localSheetId="7">#REF!</definedName>
    <definedName name="DATA1" localSheetId="8">#REF!</definedName>
    <definedName name="DATA1">'Pricing Procedure'!$A$2:$A$141</definedName>
    <definedName name="DATA10" localSheetId="7">#REF!</definedName>
    <definedName name="DATA10" localSheetId="8">#REF!</definedName>
    <definedName name="DATA10">'Pricing Procedure'!$M$2:$M$141</definedName>
    <definedName name="DATA11" localSheetId="7">#REF!</definedName>
    <definedName name="DATA11" localSheetId="8">#REF!</definedName>
    <definedName name="DATA11">'Pricing Procedure'!$N$2:$N$141</definedName>
    <definedName name="DATA12" localSheetId="7">#REF!</definedName>
    <definedName name="DATA12" localSheetId="8">#REF!</definedName>
    <definedName name="DATA12">'Pricing Procedure'!$O$2:$O$141</definedName>
    <definedName name="DATA13" localSheetId="7">#REF!</definedName>
    <definedName name="DATA13" localSheetId="8">#REF!</definedName>
    <definedName name="DATA13">'Pricing Procedure'!$P$2:$P$141</definedName>
    <definedName name="DATA14" localSheetId="7">#REF!</definedName>
    <definedName name="DATA14" localSheetId="8">#REF!</definedName>
    <definedName name="DATA14">'Pricing Procedure'!$Q$2:$Q$141</definedName>
    <definedName name="DATA15" localSheetId="7">#REF!</definedName>
    <definedName name="DATA15" localSheetId="8">#REF!</definedName>
    <definedName name="DATA15">'Pricing Procedure'!$R$2:$R$141</definedName>
    <definedName name="DATA16" localSheetId="7">#REF!</definedName>
    <definedName name="DATA16" localSheetId="8">#REF!</definedName>
    <definedName name="DATA16">'Pricing Procedure'!$T$2:$T$141</definedName>
    <definedName name="DATA17" localSheetId="7">#REF!</definedName>
    <definedName name="DATA17" localSheetId="8">#REF!</definedName>
    <definedName name="DATA17">'Pricing Procedure'!$U$2:$U$141</definedName>
    <definedName name="DATA18" localSheetId="7">#REF!</definedName>
    <definedName name="DATA18" localSheetId="8">#REF!</definedName>
    <definedName name="DATA18">'Pricing Procedure'!$V$2:$V$141</definedName>
    <definedName name="DATA19" localSheetId="7">#REF!</definedName>
    <definedName name="DATA19" localSheetId="8">#REF!</definedName>
    <definedName name="DATA19">'Pricing Procedure'!$W$2:$W$141</definedName>
    <definedName name="DATA2" localSheetId="7">#REF!</definedName>
    <definedName name="DATA2" localSheetId="8">#REF!</definedName>
    <definedName name="DATA2">'Pricing Procedure'!$B$2:$B$141</definedName>
    <definedName name="DATA20" localSheetId="8">#REF!</definedName>
    <definedName name="DATA20">'Pricing Procedure'!$I$2:$I$141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localSheetId="7">#REF!</definedName>
    <definedName name="DATA3" localSheetId="8">#REF!</definedName>
    <definedName name="DATA3">'Pricing Procedure'!$C$2:$C$141</definedName>
    <definedName name="DATA30">#REF!</definedName>
    <definedName name="DATA31">#REF!</definedName>
    <definedName name="DATA4" localSheetId="7">#REF!</definedName>
    <definedName name="DATA4" localSheetId="8">#REF!</definedName>
    <definedName name="DATA4">'Pricing Procedure'!$E$2:$E$141</definedName>
    <definedName name="DATA5" localSheetId="7">#REF!</definedName>
    <definedName name="DATA5" localSheetId="8">#REF!</definedName>
    <definedName name="DATA5">'Pricing Procedure'!$F$2:$F$141</definedName>
    <definedName name="DATA6" localSheetId="7">#REF!</definedName>
    <definedName name="DATA6" localSheetId="8">#REF!</definedName>
    <definedName name="DATA6">'Pricing Procedure'!$G$2:$G$141</definedName>
    <definedName name="DATA7" localSheetId="7">#REF!</definedName>
    <definedName name="DATA7" localSheetId="8">#REF!</definedName>
    <definedName name="DATA7">'Pricing Procedure'!$J$2:$J$141</definedName>
    <definedName name="DATA8" localSheetId="7">#REF!</definedName>
    <definedName name="DATA8" localSheetId="8">#REF!</definedName>
    <definedName name="DATA8">'Pricing Procedure'!$K$2:$K$141</definedName>
    <definedName name="DATA9" localSheetId="7">#REF!</definedName>
    <definedName name="DATA9" localSheetId="8">#REF!</definedName>
    <definedName name="DATA9">'Pricing Procedure'!$L$2:$L$141</definedName>
    <definedName name="Days">{0,1,2,3,4,5,6}</definedName>
    <definedName name="Existing_Program">[9]Parameter!$E$2:$E$4</definedName>
    <definedName name="F1_1">#REF!</definedName>
    <definedName name="F2_1">#REF!</definedName>
    <definedName name="Financial_Accounting__FI" localSheetId="1">#REF!</definedName>
    <definedName name="Financial_Accounting__FI" localSheetId="8">#REF!</definedName>
    <definedName name="Financial_Accounting__FI">#REF!</definedName>
    <definedName name="Gap_Difficulty">'[10]Value List'!$B$3:$B$7</definedName>
    <definedName name="GapDifficulty">[11]Parameter!$G$2:$G$6</definedName>
    <definedName name="GapObject">[11]Parameter!$E$2:$E$6</definedName>
    <definedName name="GapPriority">[11]Parameter!$F$2:$F$4</definedName>
    <definedName name="Governance_DB" localSheetId="8">#REF!</definedName>
    <definedName name="Governance_DB">#REF!</definedName>
    <definedName name="Group">[6]List!$H$3:$H$5</definedName>
    <definedName name="Impact">'[7]Data Validation List'!$B$2:$B$13</definedName>
    <definedName name="INV_PLAN">[12]INV_LIST!$A$99:$A$109</definedName>
    <definedName name="Invoice">#REF!</definedName>
    <definedName name="Invoice_DB">#REF!</definedName>
    <definedName name="loaded">'[13]999_Loaded Rate 2016-Q1'!$F:$J</definedName>
    <definedName name="LstChargedItem">'[13]999_MSRP'!$C$18:$C$21</definedName>
    <definedName name="LstLevel">'[13]999_MSRP'!$A$3:$A$10</definedName>
    <definedName name="LstSection">'[13]999_MSRP'!$A$18:$A$20</definedName>
    <definedName name="LstStaffs">'[13]999_Loaded Rate 2016-Q1'!$F$2:$F$468</definedName>
    <definedName name="Method">[6]List!$B$3:$B$21</definedName>
    <definedName name="Mod">[14]Parameter!$A$2:$A$12</definedName>
    <definedName name="Module">[9]Parameter!$A$2:$A$12</definedName>
    <definedName name="MoMonth">'[15]Month View'!$B$2</definedName>
    <definedName name="MoMonthNum">'[15]Month View'!$F$2</definedName>
    <definedName name="Months">{"January","February","March","April","May","June","July","August","September","October","November","December"}</definedName>
    <definedName name="MoYear">'[15]Month View'!$C$2</definedName>
    <definedName name="msrp">'[13]999_MSRP'!$A:$C</definedName>
    <definedName name="owner" localSheetId="1">#REF!</definedName>
    <definedName name="owner" localSheetId="8">#REF!</definedName>
    <definedName name="owner">#REF!</definedName>
    <definedName name="Phase">'[7]Data Validation List'!$A$2:$A$13</definedName>
    <definedName name="PLAN">#REF!</definedName>
    <definedName name="Price" localSheetId="8">#REF!</definedName>
    <definedName name="Price">#REF!</definedName>
    <definedName name="Price_DB" localSheetId="8">#REF!</definedName>
    <definedName name="Price_DB">#REF!</definedName>
    <definedName name="Priority" localSheetId="7">[16]Parameter!$H$2:$H$4</definedName>
    <definedName name="Priority" localSheetId="8">[11]Parameter!$B$2:$B$4</definedName>
    <definedName name="Priority">[17]Parameter!$H$2:$H$4</definedName>
    <definedName name="Product_Brand">'[7]Data Validation List'!$D$2:$D$13</definedName>
    <definedName name="programmer" localSheetId="1">#REF!</definedName>
    <definedName name="programmer" localSheetId="8">#REF!</definedName>
    <definedName name="programmer">#REF!</definedName>
    <definedName name="Prototpye_status">[18]Sheet1!$A$3:$A$8</definedName>
    <definedName name="qw">[2]Parameter!$B$2:$B$4</definedName>
    <definedName name="Raised_by_Module">'[7]Data Validation List'!$F$2:$F$13</definedName>
    <definedName name="Rebate">#REF!</definedName>
    <definedName name="Rebate_DB">#REF!</definedName>
    <definedName name="Report">#REF!</definedName>
    <definedName name="Report_DB">#REF!</definedName>
    <definedName name="RicepObjType">[11]Parameter!$H$2:$H$6</definedName>
    <definedName name="s">[19]Parameter!$E$2:$E$4</definedName>
    <definedName name="SAPBEXrevision" hidden="1">1</definedName>
    <definedName name="SAPBEXsysID" hidden="1">"PBW"</definedName>
    <definedName name="SAPBEXwbID" hidden="1">"3XOMIIY3FQU08B9HVNC7DDWLQ"</definedName>
    <definedName name="Script_status">#REF!</definedName>
    <definedName name="Script_status2">#REF!</definedName>
    <definedName name="SOE">#REF!</definedName>
    <definedName name="Status" localSheetId="1">'[7]Data Validation List'!$G$2:$G$13</definedName>
    <definedName name="Status" localSheetId="8">[11]Parameter!$C$2:$C$5</definedName>
    <definedName name="Status">#REF!</definedName>
    <definedName name="Status1">[20]Sheet1!$A$2:$A$8</definedName>
    <definedName name="SubModule" localSheetId="7">[21]Parameter!$B$2:$B$33</definedName>
    <definedName name="SubModule">[22]Parameter!$B$2:$B$33</definedName>
    <definedName name="SupportType">[11]Parameter!$D$2:$D$6</definedName>
    <definedName name="tder" localSheetId="1">#REF!</definedName>
    <definedName name="tder" localSheetId="8">#REF!</definedName>
    <definedName name="tder">#REF!</definedName>
    <definedName name="Test">#REF!</definedName>
    <definedName name="TEST0" localSheetId="7">#REF!</definedName>
    <definedName name="TEST0" localSheetId="8">#REF!</definedName>
    <definedName name="TEST0">'Pricing Procedure'!$A$2:$W$141</definedName>
    <definedName name="TEST1">#REF!</definedName>
    <definedName name="TESTHKEY">#REF!</definedName>
    <definedName name="TESTKEYS" localSheetId="7">#REF!</definedName>
    <definedName name="TESTKEYS" localSheetId="8">#REF!</definedName>
    <definedName name="TESTKEYS">'Pricing Procedure'!$A$2:$W$141</definedName>
    <definedName name="TESTVKEY" localSheetId="7">#REF!</definedName>
    <definedName name="TESTVKEY" localSheetId="8">#REF!</definedName>
    <definedName name="TESTVKEY">'Pricing Procedure'!$A$1:$W$1</definedName>
    <definedName name="WeekdayOption">MATCH(WeekStart,Weekdays,0)+10</definedName>
    <definedName name="Weekdays">{"Monday","Tuesday","Wednesday","Thursday","Friday","Saturday","Sunday"}</definedName>
    <definedName name="WeekStart">#REF!</definedName>
    <definedName name="WeekStartValue">IF(WeekStart="Monday",2,1)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3" l="1"/>
  <c r="H5" i="33"/>
  <c r="C15" i="33"/>
  <c r="L9" i="33"/>
  <c r="K9" i="33"/>
  <c r="L8" i="33"/>
  <c r="K8" i="33"/>
  <c r="H8" i="33"/>
  <c r="L7" i="33"/>
  <c r="K7" i="33"/>
  <c r="H7" i="33"/>
  <c r="L4" i="33"/>
  <c r="K4" i="33"/>
  <c r="H4" i="33"/>
  <c r="H9" i="33" s="1"/>
  <c r="M4" i="33" l="1"/>
  <c r="N8" i="33"/>
  <c r="N7" i="33"/>
  <c r="N4" i="33"/>
  <c r="M8" i="33"/>
  <c r="M7" i="33"/>
  <c r="Q4" i="33"/>
  <c r="Q7" i="33" l="1"/>
  <c r="Q6" i="33"/>
  <c r="Q5" i="33"/>
  <c r="Q8" i="33"/>
  <c r="O4" i="33"/>
  <c r="O7" i="33"/>
  <c r="O8" i="33"/>
  <c r="H15" i="33"/>
  <c r="N9" i="33"/>
  <c r="N10" i="33" s="1"/>
  <c r="M9" i="33"/>
  <c r="O9" i="33" l="1"/>
  <c r="M10" i="33"/>
  <c r="C29" i="27" l="1"/>
  <c r="L35" i="7"/>
  <c r="O54" i="2" s="1"/>
  <c r="O62" i="2" s="1"/>
  <c r="O66" i="2" s="1"/>
  <c r="J35" i="7"/>
  <c r="I35" i="7"/>
  <c r="L21" i="7"/>
  <c r="J21" i="7"/>
  <c r="I21" i="7"/>
  <c r="K21" i="7" s="1"/>
  <c r="K66" i="2"/>
  <c r="T62" i="2"/>
  <c r="T66" i="2" s="1"/>
  <c r="S62" i="2"/>
  <c r="S66" i="2" s="1"/>
  <c r="R62" i="2"/>
  <c r="R66" i="2" s="1"/>
  <c r="Q62" i="2"/>
  <c r="Q66" i="2" s="1"/>
  <c r="N62" i="2"/>
  <c r="N66" i="2" s="1"/>
  <c r="M62" i="2"/>
  <c r="M66" i="2" s="1"/>
  <c r="L62" i="2"/>
  <c r="L66" i="2" s="1"/>
  <c r="J62" i="2"/>
  <c r="J66" i="2" s="1"/>
  <c r="I62" i="2"/>
  <c r="I66" i="2" s="1"/>
  <c r="H62" i="2"/>
  <c r="H66" i="2" s="1"/>
  <c r="G62" i="2"/>
  <c r="G66" i="2" s="1"/>
  <c r="D62" i="2"/>
  <c r="D66" i="2" s="1"/>
  <c r="K44" i="2"/>
  <c r="T40" i="2"/>
  <c r="T44" i="2" s="1"/>
  <c r="S40" i="2"/>
  <c r="S44" i="2" s="1"/>
  <c r="R40" i="2"/>
  <c r="R44" i="2" s="1"/>
  <c r="Q40" i="2"/>
  <c r="Q44" i="2" s="1"/>
  <c r="N40" i="2"/>
  <c r="N44" i="2" s="1"/>
  <c r="M40" i="2"/>
  <c r="M44" i="2" s="1"/>
  <c r="L40" i="2"/>
  <c r="L44" i="2" s="1"/>
  <c r="J40" i="2"/>
  <c r="J44" i="2" s="1"/>
  <c r="I40" i="2"/>
  <c r="I44" i="2" s="1"/>
  <c r="H40" i="2"/>
  <c r="H44" i="2" s="1"/>
  <c r="G40" i="2"/>
  <c r="G44" i="2" s="1"/>
  <c r="E40" i="2"/>
  <c r="E44" i="2" s="1"/>
  <c r="D40" i="2"/>
  <c r="D44" i="2" s="1"/>
  <c r="O40" i="2"/>
  <c r="O44" i="2" s="1"/>
  <c r="K35" i="7" l="1"/>
  <c r="E54" i="2" s="1"/>
  <c r="E62" i="2" s="1"/>
  <c r="E66" i="2" s="1"/>
  <c r="U66" i="2" s="1"/>
  <c r="U44" i="2"/>
  <c r="U40" i="2"/>
  <c r="U62" i="2" l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6" i="10"/>
  <c r="H137" i="10"/>
  <c r="H138" i="10"/>
  <c r="H139" i="10"/>
  <c r="H140" i="10"/>
  <c r="H141" i="10"/>
  <c r="H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6" i="10"/>
  <c r="S137" i="10"/>
  <c r="S138" i="10"/>
  <c r="S139" i="10"/>
  <c r="S140" i="10"/>
  <c r="S141" i="10"/>
  <c r="S2" i="10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2" i="9"/>
  <c r="J16" i="2" l="1"/>
  <c r="J20" i="2" s="1"/>
  <c r="K20" i="2"/>
  <c r="L16" i="2" l="1"/>
  <c r="L20" i="2" s="1"/>
  <c r="I16" i="2" l="1"/>
  <c r="I20" i="2" s="1"/>
  <c r="L8" i="7" l="1"/>
  <c r="O8" i="2" s="1"/>
  <c r="J8" i="7" l="1"/>
  <c r="I8" i="7"/>
  <c r="K8" i="7" l="1"/>
  <c r="E8" i="2" s="1"/>
  <c r="H16" i="2" l="1"/>
  <c r="H20" i="2" s="1"/>
  <c r="E16" i="2" l="1"/>
  <c r="E20" i="2" s="1"/>
  <c r="G16" i="2" l="1"/>
  <c r="G20" i="2" s="1"/>
  <c r="D16" i="2" l="1"/>
  <c r="S16" i="2" l="1"/>
  <c r="S20" i="2" s="1"/>
  <c r="R16" i="2"/>
  <c r="R20" i="2" s="1"/>
  <c r="Q16" i="2"/>
  <c r="Q20" i="2" s="1"/>
  <c r="N16" i="2"/>
  <c r="N20" i="2" s="1"/>
  <c r="M16" i="2"/>
  <c r="M20" i="2" s="1"/>
  <c r="D20" i="2"/>
  <c r="T16" i="2"/>
  <c r="T20" i="2" s="1"/>
  <c r="O16" i="2"/>
  <c r="O20" i="2" s="1"/>
  <c r="U20" i="2" l="1"/>
  <c r="U16" i="2" l="1"/>
  <c r="U21" i="2"/>
  <c r="U22" i="2" s="1"/>
</calcChain>
</file>

<file path=xl/sharedStrings.xml><?xml version="1.0" encoding="utf-8"?>
<sst xmlns="http://schemas.openxmlformats.org/spreadsheetml/2006/main" count="3946" uniqueCount="565">
  <si>
    <t>Ticket</t>
  </si>
  <si>
    <t>POT</t>
  </si>
  <si>
    <t>Name</t>
  </si>
  <si>
    <t>Service Request</t>
  </si>
  <si>
    <t>Plan Start</t>
  </si>
  <si>
    <t>Plan End</t>
  </si>
  <si>
    <t xml:space="preserve">Plan Kickoff </t>
  </si>
  <si>
    <t xml:space="preserve">Plan Go-Live </t>
  </si>
  <si>
    <t>No.</t>
  </si>
  <si>
    <t>Status</t>
  </si>
  <si>
    <t>Scope Gathering</t>
  </si>
  <si>
    <t>(Mgr./VP Approve Technical Proposal in Mercury)</t>
  </si>
  <si>
    <t>211005287966</t>
  </si>
  <si>
    <t>PTT พัฒนาระบบ SAP รองรับการเรียกเก็บ Credit Term Surcharge ธุรกิจ GSM
ปรับปรุงระบบ SAP โดยเพิ่มรายการเรียกเก็บต้นทุนการเงินส่วนเพิ่ม ในใบแจ้งหนี้ สำหรับกลุ่มลูกค้า IPP และ SPP บางราย ที่มีการตกลงขยายวันครบกำหนดชำระเงินค่าก๊าซฯ โดยรายการดังกล่าว จะแสดงในใบแจ้งหนี้ค่าก๊าซสำหรับลูกค้ารายนั้นๆ รวมถึงระบบอื่นๆ ที่เกี่ยวข้อง หรือต่อเนื่องจากการเพิ่มรายการดังกล่าว
รายละเอียดเพิ่มเติม/Description: ขอทราบงบประมาณ สำหรับการปรับปรุงระบบก่อน ทั้งนี้ การปรับปรุงระบบ SAP ดังกล่าว อาจมีบางส่วนเกี่ยวข้องกับสายงาน NGR เนื่องจากเป็นโปรเจคเดียวกัน
โดยเป้าหมาย หากผู้บริหารอนุมัติโครงการ จะต้องเริ่มใช้งานในเดือน มกราคม 2565</t>
  </si>
  <si>
    <t>SR21005626</t>
  </si>
  <si>
    <t>10.10.2021</t>
  </si>
  <si>
    <t>31.10.2021</t>
  </si>
  <si>
    <t>15.11.2021</t>
  </si>
  <si>
    <t>15.01.2021</t>
  </si>
  <si>
    <t>*Subject to budgetary has been approved.</t>
  </si>
  <si>
    <t>GSM</t>
  </si>
  <si>
    <t>Task\Team</t>
  </si>
  <si>
    <t>Complexicity</t>
  </si>
  <si>
    <t>PM</t>
  </si>
  <si>
    <t>SD</t>
  </si>
  <si>
    <t>X</t>
  </si>
  <si>
    <t>LO</t>
  </si>
  <si>
    <t>MM</t>
  </si>
  <si>
    <t>EBPP</t>
  </si>
  <si>
    <t>EBPP vendor</t>
  </si>
  <si>
    <t>BW</t>
  </si>
  <si>
    <t>PI</t>
  </si>
  <si>
    <t>FI</t>
  </si>
  <si>
    <t>CO</t>
  </si>
  <si>
    <t>ABAP</t>
  </si>
  <si>
    <t>Basis</t>
  </si>
  <si>
    <t>Web-BA</t>
  </si>
  <si>
    <t>Web-Developer</t>
  </si>
  <si>
    <t>TOTAL</t>
  </si>
  <si>
    <t>Remark</t>
  </si>
  <si>
    <t>PIC</t>
  </si>
  <si>
    <t>Project Management</t>
  </si>
  <si>
    <t>Requirement Gathering</t>
  </si>
  <si>
    <t>Analysis &amp; Design</t>
  </si>
  <si>
    <t>Config. &amp; Unit Test
- ปรับปรุง 2 โครงสร้างราคาเพื่อรองรับการระบุมูลค่า Payment term Surcharge</t>
  </si>
  <si>
    <t>FS &amp; Development &amp; RICEF testing</t>
  </si>
  <si>
    <t>Integration Test</t>
  </si>
  <si>
    <t>Authorization</t>
  </si>
  <si>
    <t>Training + Material preparation</t>
  </si>
  <si>
    <t>UAT</t>
  </si>
  <si>
    <t>Regression Test</t>
  </si>
  <si>
    <t>-</t>
  </si>
  <si>
    <t>Conversion</t>
  </si>
  <si>
    <t>Go Live + Roll back plan</t>
  </si>
  <si>
    <t>Total</t>
  </si>
  <si>
    <t>Level</t>
  </si>
  <si>
    <t>SENIOR</t>
  </si>
  <si>
    <t>JUNIOR</t>
  </si>
  <si>
    <t>Rate (THB)</t>
  </si>
  <si>
    <t>Amount (THB)</t>
  </si>
  <si>
    <t>VAT 7%</t>
  </si>
  <si>
    <t>NGR</t>
  </si>
  <si>
    <t>Config. &amp; Unit Test
- ปรับปรุง 3 โครงสร้างราคาเพื่อรองรับการระบุมูลค่า Payment term Surcharge</t>
  </si>
  <si>
    <t>GSM &amp; NGR</t>
  </si>
  <si>
    <t>Config. &amp; Unit Test
- NGR: ปรับปรุง 3 โครงสร้างราคา
- GSM: ปรับปรุง 2 โครงสร้างราคา
เพื่อรองรับการระบุมูลค่า Payment term Surcharge</t>
  </si>
  <si>
    <t>Module</t>
  </si>
  <si>
    <t>Program</t>
  </si>
  <si>
    <t>Description</t>
  </si>
  <si>
    <t>Category</t>
  </si>
  <si>
    <t>T-Code</t>
  </si>
  <si>
    <t>Complexity</t>
  </si>
  <si>
    <t>Dev.Spec</t>
  </si>
  <si>
    <t>Test</t>
  </si>
  <si>
    <t>Sum FS + Test</t>
  </si>
  <si>
    <t xml:space="preserve">Abap </t>
  </si>
  <si>
    <t>ZSDSDE9x1</t>
  </si>
  <si>
    <t>Reserve for 1 Pricing Routine (If necessary)</t>
  </si>
  <si>
    <t>Price routine</t>
  </si>
  <si>
    <t>N/A</t>
  </si>
  <si>
    <t>Low</t>
  </si>
  <si>
    <t>ZSDSDR018</t>
  </si>
  <si>
    <t>List of Billing Report</t>
  </si>
  <si>
    <t>Report</t>
  </si>
  <si>
    <t>ZSDCOMR004</t>
  </si>
  <si>
    <t>แก้ไขเพื่อแสดง ส่วนลดเนื้อ GAS &amp; ส่วนลดส่งเสริมการขายของ LPG</t>
  </si>
  <si>
    <t>ZSDSDF005</t>
  </si>
  <si>
    <t>Gas Invoice Form</t>
  </si>
  <si>
    <t>Form</t>
  </si>
  <si>
    <t>เพิ่มการแสดงบรรทัดรายการ Payment Term Surcharge</t>
  </si>
  <si>
    <t>ZSDSDF040</t>
  </si>
  <si>
    <t>Gas CN/DN Form</t>
  </si>
  <si>
    <t>รองรับการแสดงมูลค่ากรณีที่มีการปรับปรุง Payment Term Surcharge</t>
  </si>
  <si>
    <t>ZSDSDR006</t>
  </si>
  <si>
    <t>Demand Charge Report</t>
  </si>
  <si>
    <t>ZSDNGRR001</t>
  </si>
  <si>
    <t>เพิ่มคอลัมน์เพื่อแสดง Payment Term Surcharge</t>
  </si>
  <si>
    <t>ZSDSDF024_IND ref. SFO</t>
  </si>
  <si>
    <t>Pricing Calculation Sheet - Industrial ref. SFO</t>
  </si>
  <si>
    <t>ZSDNGRF001</t>
  </si>
  <si>
    <t>Medium</t>
  </si>
  <si>
    <t>เพิ่มการแสดงข้อมูล Payment term Surcharge</t>
  </si>
  <si>
    <t>ZSDSDF024_IND Co-Gen X, Y</t>
  </si>
  <si>
    <t>Pricing Calculation Sheet - Industrial Co-Gen X, Y</t>
  </si>
  <si>
    <t>ZSDSDF024_IND Co-Gen Y with discount</t>
  </si>
  <si>
    <t>Pricing Calculation Sheet - Industrial Co-Gen Y with Discount</t>
  </si>
  <si>
    <t>U</t>
  </si>
  <si>
    <t>App</t>
  </si>
  <si>
    <t>Proc.</t>
  </si>
  <si>
    <t>Step</t>
  </si>
  <si>
    <t>Cntr</t>
  </si>
  <si>
    <t>CTyp</t>
  </si>
  <si>
    <t>From</t>
  </si>
  <si>
    <t>To</t>
  </si>
  <si>
    <t>Man.</t>
  </si>
  <si>
    <t>Reqt</t>
  </si>
  <si>
    <t>SubTo</t>
  </si>
  <si>
    <t>Stat</t>
  </si>
  <si>
    <t>AltCTy</t>
  </si>
  <si>
    <t>AltCBV</t>
  </si>
  <si>
    <t>ActKy</t>
  </si>
  <si>
    <t>Value Field</t>
  </si>
  <si>
    <t>Accrls</t>
  </si>
  <si>
    <t>Print</t>
  </si>
  <si>
    <t>Mdt</t>
  </si>
  <si>
    <t>ConvertUoM</t>
  </si>
  <si>
    <t>A</t>
  </si>
  <si>
    <t>V</t>
  </si>
  <si>
    <t>ZGSM01</t>
  </si>
  <si>
    <t>GSM: Standard Pricing</t>
  </si>
  <si>
    <t>010</t>
  </si>
  <si>
    <t>00</t>
  </si>
  <si>
    <t>ZDM1</t>
  </si>
  <si>
    <t/>
  </si>
  <si>
    <t>000</t>
  </si>
  <si>
    <t>965</t>
  </si>
  <si>
    <t>VPRS</t>
  </si>
  <si>
    <t>VVCOG</t>
  </si>
  <si>
    <t>MWST</t>
  </si>
  <si>
    <t>Output Tax</t>
  </si>
  <si>
    <t>020</t>
  </si>
  <si>
    <t>ZDM2</t>
  </si>
  <si>
    <t>ZCCN</t>
  </si>
  <si>
    <t>VVCCN</t>
  </si>
  <si>
    <t>Cost</t>
  </si>
  <si>
    <t>030</t>
  </si>
  <si>
    <t>ZDM3</t>
  </si>
  <si>
    <t>ZCOP</t>
  </si>
  <si>
    <t>ERLOS</t>
  </si>
  <si>
    <t>ZAAC</t>
  </si>
  <si>
    <t>GSM:A2 Ad hoc Cost</t>
  </si>
  <si>
    <t>040</t>
  </si>
  <si>
    <t>ZDMC</t>
  </si>
  <si>
    <t>ZCST</t>
  </si>
  <si>
    <t>VVCST</t>
  </si>
  <si>
    <t>ZAFN</t>
  </si>
  <si>
    <t>GSM:A1.2 Fin. Cost</t>
  </si>
  <si>
    <t>041</t>
  </si>
  <si>
    <t>ZST3</t>
  </si>
  <si>
    <t>002</t>
  </si>
  <si>
    <t>5</t>
  </si>
  <si>
    <t>948</t>
  </si>
  <si>
    <t>ERL</t>
  </si>
  <si>
    <t>ZD01</t>
  </si>
  <si>
    <t>VVDD2</t>
  </si>
  <si>
    <t>ZAOP</t>
  </si>
  <si>
    <t>GSM:A1.1 Oper. Cost</t>
  </si>
  <si>
    <t>050</t>
  </si>
  <si>
    <t>GSM: ZDM1+ZDM2+ZDM3+ZDMC</t>
  </si>
  <si>
    <t>E</t>
  </si>
  <si>
    <t>ZD02</t>
  </si>
  <si>
    <t>ZARE</t>
  </si>
  <si>
    <t>GSM:A1.3 Return</t>
  </si>
  <si>
    <t>051</t>
  </si>
  <si>
    <t>GSM: Copy ZST3</t>
  </si>
  <si>
    <t>D</t>
  </si>
  <si>
    <t>ZD04</t>
  </si>
  <si>
    <t>Commodity Charge-NM</t>
  </si>
  <si>
    <t>052</t>
  </si>
  <si>
    <t>ZDFM</t>
  </si>
  <si>
    <t>012</t>
  </si>
  <si>
    <t>ZDCM</t>
  </si>
  <si>
    <t>ZCOF</t>
  </si>
  <si>
    <t>NGR: ZCOX*(PAy/PA0)</t>
  </si>
  <si>
    <t>060</t>
  </si>
  <si>
    <t>ZDMT</t>
  </si>
  <si>
    <t>ZDFF</t>
  </si>
  <si>
    <t>VVDC3</t>
  </si>
  <si>
    <t>ZCOM</t>
  </si>
  <si>
    <t>NGR: Commercial tax</t>
  </si>
  <si>
    <t>070</t>
  </si>
  <si>
    <t>ZST8</t>
  </si>
  <si>
    <t>885</t>
  </si>
  <si>
    <t>NGR: ZEGP+ZCOF</t>
  </si>
  <si>
    <t>080</t>
  </si>
  <si>
    <t>ZDQ1</t>
  </si>
  <si>
    <t>G</t>
  </si>
  <si>
    <t>ZDIF</t>
  </si>
  <si>
    <t>GSM: Customs Charge</t>
  </si>
  <si>
    <t>090</t>
  </si>
  <si>
    <t>ZDQ2</t>
  </si>
  <si>
    <t>VVDC1</t>
  </si>
  <si>
    <t>GAS:Discount</t>
  </si>
  <si>
    <t>100</t>
  </si>
  <si>
    <t>ZDQ3</t>
  </si>
  <si>
    <t>VVDC2</t>
  </si>
  <si>
    <t>NGR: Discount 2 Acc.</t>
  </si>
  <si>
    <t>110</t>
  </si>
  <si>
    <t>ZDQC</t>
  </si>
  <si>
    <t>NGR: Discount 4 Acc.</t>
  </si>
  <si>
    <t>140</t>
  </si>
  <si>
    <t>ZPOL</t>
  </si>
  <si>
    <t>VVDC4</t>
  </si>
  <si>
    <t>ZDC1</t>
  </si>
  <si>
    <t>NGR:Ind DC Constant</t>
  </si>
  <si>
    <t>150</t>
  </si>
  <si>
    <t>ZPLR</t>
  </si>
  <si>
    <t>908</t>
  </si>
  <si>
    <t>NGR: Demand Charge</t>
  </si>
  <si>
    <t>160</t>
  </si>
  <si>
    <t>ZMR1</t>
  </si>
  <si>
    <t>GSM:DIFF:ZST2 -ZDQ*</t>
  </si>
  <si>
    <t>161</t>
  </si>
  <si>
    <t>GSM:DIFF ZST3 - ZDM</t>
  </si>
  <si>
    <t>162</t>
  </si>
  <si>
    <t>GSM:DIFF ZST1 - ZST6</t>
  </si>
  <si>
    <t>163</t>
  </si>
  <si>
    <t>ZDQN</t>
  </si>
  <si>
    <t>VVDCN</t>
  </si>
  <si>
    <t>GSM:  D.Ch on MCQ Z1</t>
  </si>
  <si>
    <t>164</t>
  </si>
  <si>
    <t>ZFIX</t>
  </si>
  <si>
    <t>GSM:  D.Ch on MCQ Z2</t>
  </si>
  <si>
    <t>165</t>
  </si>
  <si>
    <t>ZS1C</t>
  </si>
  <si>
    <t>945</t>
  </si>
  <si>
    <t>ZGP6</t>
  </si>
  <si>
    <t>GSM:  D.Ch on MCQ Z3</t>
  </si>
  <si>
    <t>166</t>
  </si>
  <si>
    <t>ZS2R</t>
  </si>
  <si>
    <t>ZIDC</t>
  </si>
  <si>
    <t>GSM:  D.Ch MCQ Jana</t>
  </si>
  <si>
    <t>170</t>
  </si>
  <si>
    <t>ZNG1</t>
  </si>
  <si>
    <t>955</t>
  </si>
  <si>
    <t>ZINP</t>
  </si>
  <si>
    <t>GSM:  D.Ch MCQ TTM</t>
  </si>
  <si>
    <t>180</t>
  </si>
  <si>
    <t>905</t>
  </si>
  <si>
    <t>ZLCG</t>
  </si>
  <si>
    <t>VVDCA</t>
  </si>
  <si>
    <t>GSM:  D.Ch.actual Z1</t>
  </si>
  <si>
    <t>190</t>
  </si>
  <si>
    <t>ZST6</t>
  </si>
  <si>
    <t>860</t>
  </si>
  <si>
    <t>ZLCN</t>
  </si>
  <si>
    <t>GSM:  D.Ch.actual Z2</t>
  </si>
  <si>
    <t>210</t>
  </si>
  <si>
    <t>ZST1</t>
  </si>
  <si>
    <t>958</t>
  </si>
  <si>
    <t>ZLDN</t>
  </si>
  <si>
    <t>GSM:  D.Ch.actual Z3</t>
  </si>
  <si>
    <t>211</t>
  </si>
  <si>
    <t>Reflect ZST1</t>
  </si>
  <si>
    <t>ZLDP</t>
  </si>
  <si>
    <t>Demand Charge</t>
  </si>
  <si>
    <t>212</t>
  </si>
  <si>
    <t>ZLNG</t>
  </si>
  <si>
    <t>VVPLP</t>
  </si>
  <si>
    <t>Demand Charge-NMP</t>
  </si>
  <si>
    <t>213</t>
  </si>
  <si>
    <t>ZST2</t>
  </si>
  <si>
    <t>6</t>
  </si>
  <si>
    <t>803</t>
  </si>
  <si>
    <t>ZMUR</t>
  </si>
  <si>
    <t>ZEGP</t>
  </si>
  <si>
    <t>NGR: EGAT price(n+1)</t>
  </si>
  <si>
    <t>214</t>
  </si>
  <si>
    <t>Reflect ZST2</t>
  </si>
  <si>
    <t>2</t>
  </si>
  <si>
    <t>ZPCC</t>
  </si>
  <si>
    <t>VVDS1</t>
  </si>
  <si>
    <t>NGR: Fixed Price</t>
  </si>
  <si>
    <t>215</t>
  </si>
  <si>
    <t>NG Price</t>
  </si>
  <si>
    <t>218</t>
  </si>
  <si>
    <t>082</t>
  </si>
  <si>
    <t>ZPPA</t>
  </si>
  <si>
    <t>NGR:Demand Charge</t>
  </si>
  <si>
    <t>220</t>
  </si>
  <si>
    <t>ZTCC</t>
  </si>
  <si>
    <t>ZPRC</t>
  </si>
  <si>
    <t>ZIN0</t>
  </si>
  <si>
    <t>NGR: SFO * FX</t>
  </si>
  <si>
    <t>230</t>
  </si>
  <si>
    <t>ZS01</t>
  </si>
  <si>
    <t>ZIN1</t>
  </si>
  <si>
    <t>NGR: ZIN0 * E * X</t>
  </si>
  <si>
    <t>235</t>
  </si>
  <si>
    <t>ZTC4</t>
  </si>
  <si>
    <t>ZS02</t>
  </si>
  <si>
    <t>ZIN2</t>
  </si>
  <si>
    <t>D*(.5+.5*PIn-1/PI43)</t>
  </si>
  <si>
    <t>240</t>
  </si>
  <si>
    <t>ZTTM</t>
  </si>
  <si>
    <t>VVTDC</t>
  </si>
  <si>
    <t>NGR: ZIN1 + ZIN2</t>
  </si>
  <si>
    <t>New</t>
  </si>
  <si>
    <t>ZSxx</t>
  </si>
  <si>
    <t>Payment Term Surcharge</t>
  </si>
  <si>
    <t>?????</t>
  </si>
  <si>
    <t>300</t>
  </si>
  <si>
    <t>Net Price</t>
  </si>
  <si>
    <t>4</t>
  </si>
  <si>
    <t>081</t>
  </si>
  <si>
    <t>350</t>
  </si>
  <si>
    <t>016</t>
  </si>
  <si>
    <t>MWS</t>
  </si>
  <si>
    <t>S</t>
  </si>
  <si>
    <t>Commodity Charge-NMP</t>
  </si>
  <si>
    <t>400</t>
  </si>
  <si>
    <t>004</t>
  </si>
  <si>
    <t>VVDCT</t>
  </si>
  <si>
    <t>450</t>
  </si>
  <si>
    <t>B</t>
  </si>
  <si>
    <t>VVTC4</t>
  </si>
  <si>
    <t>DP Demand Charge</t>
  </si>
  <si>
    <t>500</t>
  </si>
  <si>
    <t>Profit Margin</t>
  </si>
  <si>
    <t>011</t>
  </si>
  <si>
    <t>VVTCC</t>
  </si>
  <si>
    <t>LNG Price</t>
  </si>
  <si>
    <t>600</t>
  </si>
  <si>
    <t>ZWHT</t>
  </si>
  <si>
    <t>083</t>
  </si>
  <si>
    <t>GSM: Margin Normal</t>
  </si>
  <si>
    <t>ZGSM04</t>
  </si>
  <si>
    <t>GSM Manual Common</t>
  </si>
  <si>
    <t>Make up right</t>
  </si>
  <si>
    <t>ZPMN</t>
  </si>
  <si>
    <t>ZNCG</t>
  </si>
  <si>
    <t>NGR:MIN.MDCQ(IND-COG</t>
  </si>
  <si>
    <t>021</t>
  </si>
  <si>
    <t>GSM WH/P Pr+Mrgn 1</t>
  </si>
  <si>
    <t>022</t>
  </si>
  <si>
    <t>Sub Total</t>
  </si>
  <si>
    <t>ZNTP</t>
  </si>
  <si>
    <t>GAS: Net Price</t>
  </si>
  <si>
    <t>025</t>
  </si>
  <si>
    <t>NGR: P/L Cont. Charg</t>
  </si>
  <si>
    <t>031</t>
  </si>
  <si>
    <t>GSM: Pool Price Ref</t>
  </si>
  <si>
    <t>032</t>
  </si>
  <si>
    <t>GSM: NG Price</t>
  </si>
  <si>
    <t>033</t>
  </si>
  <si>
    <t>GSM: Pool / WH price</t>
  </si>
  <si>
    <t>034</t>
  </si>
  <si>
    <t>GSM: Adj. pool price</t>
  </si>
  <si>
    <t>035</t>
  </si>
  <si>
    <t>GAS:Manual price</t>
  </si>
  <si>
    <t>036</t>
  </si>
  <si>
    <t>GAS:Surcharge</t>
  </si>
  <si>
    <t>037</t>
  </si>
  <si>
    <t>GAS:Surcharge 2</t>
  </si>
  <si>
    <t>038</t>
  </si>
  <si>
    <t>GSM:S1 Cost+Return</t>
  </si>
  <si>
    <t>039</t>
  </si>
  <si>
    <t>GSM:S2 Risk Factor</t>
  </si>
  <si>
    <t>ZSMM</t>
  </si>
  <si>
    <t>NGR:Service Price-MM</t>
  </si>
  <si>
    <t>ZSMN</t>
  </si>
  <si>
    <t>NGR:Service Mainten.</t>
  </si>
  <si>
    <t>042</t>
  </si>
  <si>
    <t>ZSMP</t>
  </si>
  <si>
    <t>NGR:NET ServPrice-MM</t>
  </si>
  <si>
    <t>ZSPR</t>
  </si>
  <si>
    <t>NGR:Pipe rack</t>
  </si>
  <si>
    <t>055</t>
  </si>
  <si>
    <t>200</t>
  </si>
  <si>
    <t>P/WH Price+Mar+Cst</t>
  </si>
  <si>
    <t>250</t>
  </si>
  <si>
    <t>Demand Charge-TTM</t>
  </si>
  <si>
    <t>Commodity Charge</t>
  </si>
  <si>
    <t>ZNGR01</t>
  </si>
  <si>
    <t>NGR: Industrial (Old)</t>
  </si>
  <si>
    <t>005</t>
  </si>
  <si>
    <t>ZTOP</t>
  </si>
  <si>
    <t>NGR: Take or Pay</t>
  </si>
  <si>
    <t>919</t>
  </si>
  <si>
    <t>Tariff TTM Charge</t>
  </si>
  <si>
    <t>901</t>
  </si>
  <si>
    <t>Withholding Tax</t>
  </si>
  <si>
    <t>924</t>
  </si>
  <si>
    <t>006</t>
  </si>
  <si>
    <t>Gross Price</t>
  </si>
  <si>
    <t>1</t>
  </si>
  <si>
    <t>Price before Disc. /Surcharge</t>
  </si>
  <si>
    <t>840</t>
  </si>
  <si>
    <t>Total Discount</t>
  </si>
  <si>
    <t>151</t>
  </si>
  <si>
    <t>199</t>
  </si>
  <si>
    <t>Total Surcharge</t>
  </si>
  <si>
    <t>201</t>
  </si>
  <si>
    <t>249</t>
  </si>
  <si>
    <t>790</t>
  </si>
  <si>
    <t>917</t>
  </si>
  <si>
    <t>800</t>
  </si>
  <si>
    <t>810</t>
  </si>
  <si>
    <t>820</t>
  </si>
  <si>
    <t>902</t>
  </si>
  <si>
    <t>900</t>
  </si>
  <si>
    <t>Net Price after Demand Charge</t>
  </si>
  <si>
    <t>3</t>
  </si>
  <si>
    <t>915</t>
  </si>
  <si>
    <t>920</t>
  </si>
  <si>
    <t>Total Price</t>
  </si>
  <si>
    <t>940</t>
  </si>
  <si>
    <t>950</t>
  </si>
  <si>
    <t>ZNGR04</t>
  </si>
  <si>
    <t>NGR: Industrial CoGen X+Y</t>
  </si>
  <si>
    <t>903</t>
  </si>
  <si>
    <t>927</t>
  </si>
  <si>
    <t>149</t>
  </si>
  <si>
    <t>931</t>
  </si>
  <si>
    <t>805</t>
  </si>
  <si>
    <t>807</t>
  </si>
  <si>
    <t>912</t>
  </si>
  <si>
    <t>936</t>
  </si>
  <si>
    <t>ZMU</t>
  </si>
  <si>
    <t>830</t>
  </si>
  <si>
    <t>Net Price Before</t>
  </si>
  <si>
    <t>ZNGR11</t>
  </si>
  <si>
    <t>NGR: Manual DC/Price</t>
  </si>
  <si>
    <t>015</t>
  </si>
  <si>
    <t>017</t>
  </si>
  <si>
    <t>155</t>
  </si>
  <si>
    <t>ZTM</t>
  </si>
  <si>
    <t>Copy Gross Price</t>
  </si>
  <si>
    <t>Net Price Exclude CT</t>
  </si>
  <si>
    <t>890</t>
  </si>
  <si>
    <t>411</t>
  </si>
  <si>
    <t>960</t>
  </si>
  <si>
    <t>Pricing</t>
  </si>
  <si>
    <t>Cnd.Typ.</t>
  </si>
  <si>
    <t>PTTG</t>
  </si>
  <si>
    <t>TBD</t>
  </si>
  <si>
    <t>จัดหาและจำหน่ายก๊าซ</t>
  </si>
  <si>
    <t>TH</t>
  </si>
  <si>
    <t>31.12.9999</t>
  </si>
  <si>
    <t>ขาย LNG เชิงพาณิชย์</t>
  </si>
  <si>
    <t>ศูนย์กำไรระบบท่อย่อย</t>
  </si>
  <si>
    <t xml:space="preserve">Organization: </t>
  </si>
  <si>
    <t>PTT ตต.ตพก. และ ตป.ตพก.</t>
  </si>
  <si>
    <t xml:space="preserve">Application/Module: </t>
  </si>
  <si>
    <t>- SAP S4 HANA 
- SD, LO, FI, CO
- PTT LNG  Pricing Annuncement Web</t>
  </si>
  <si>
    <t>Key Requirement:</t>
  </si>
  <si>
    <t>พัฒนาระบบ SAP ให้รองรับโครงสร้างราคาขายใหม่จากธุรกรรมการซื้อขาย LNG ให้ลูกค้า Domestic และ Re-Export และ ปรับปรุงระบบ LNG Pricing Announcement Web  ให้รองรับการขายได้  สำหรับหน่วยงาน CMM  โดยมีรายละเอียดความต้องการดังนี้</t>
  </si>
  <si>
    <r>
      <t xml:space="preserve">1. กรณีที่ลูกค้า PTT LAO ซื้อสินค้าจากทาง CMM มีรูปแบบการขาย 2 รูปแบบคือ 
1.1 ลูกค้า PTT LAO ซื้อสินค้าจากทาง CMM โดยการมารับสินค้าที่จังหวัดระยอง (Reselling-Export)
1.2 ลูกค้า PTT LAO ซื้อสินค้าจากทาง CMM โดยทาง CMM เป็นผู้ขนส่งสินค้าไปยังประเทศลาว โดยทาง PTT LAO จะเป็นผู้รับผิดชอบค่าขนส่ง (Export)
ซึ่งการขายทั้ง 2 รูปแบบ ทาง CMM คิดราคาขายด้วยโครงสร้างการใหม่คือ  </t>
    </r>
    <r>
      <rPr>
        <b/>
        <sz val="14"/>
        <color rgb="FF0070C0"/>
        <rFont val="Cordia New"/>
        <family val="2"/>
      </rPr>
      <t>P</t>
    </r>
    <r>
      <rPr>
        <b/>
        <sz val="14"/>
        <color theme="1"/>
        <rFont val="Cordia New"/>
        <family val="2"/>
      </rPr>
      <t xml:space="preserve"> </t>
    </r>
    <r>
      <rPr>
        <b/>
        <sz val="14"/>
        <color rgb="FF0070C0"/>
        <rFont val="Cordia New"/>
        <family val="2"/>
      </rPr>
      <t>= [(X%Brent) + Y] * Fx</t>
    </r>
    <r>
      <rPr>
        <sz val="14"/>
        <color theme="1"/>
        <rFont val="Cordia New"/>
        <family val="2"/>
      </rPr>
      <t xml:space="preserve">
โดยที่: P = ราคาแอลเอ็นจี มีหน่วยเป็นบาทต่อล้านบีทียู
          Brent = ราคาเฉลี่ยน้ำมันดิบเบรนท์ตามประกาศของ Platts Crude Oil Marketwire มีหน่วยเป็นเหรียญดอลลาร์สหรัฐอเมริกาต่อบาร์เรล โดยคำนวณ จากราคาน้ำมันดิบเบรนท์รายวัน(Brent (Dated) PCAAS00) ในช่วงเวลา 3 เดือนก่อนหน้าเดือนที่มีการซื้อขายแอลเอ็นจี โดยให้ใช้เลขทศนิยม 3 (สาม) ตาแหน่ง โดยปัดเลขทศนิยมในตาแหน่งที่ 4 (สี่) ด้วยการให้ปัดขึ้นสาหรับตัวเลขที่มีค่าเท่ากับหรือมากกว่า 5 (ห้า)
          X = ค่าคงที่มีหน่วยเป็นเหรียญดอลลาร์สหรัฐต่อล้านบีทียู ซึ่งเปลี่ยนแปลงตามสถานที่ใช้แอลเอ็นจีในประเทศปลายทาง (“Destination”) โดย ปตท. จะเป็นฝ่ายกาหนดค่า X และแจ้งค่า X สาหรับ Destination ปลายทางแต่ละจุด พร้อมทั้งกาหนดวันเริ่มมีผลบังคับใช้ให้ผู้ซื้อรับทราบเป็นลายลักษณ์อักษร
         Y = ค่าคงที่มีหน่วยเป็นเหรียญดอลลาร์สหรัฐต่อล้านบีทียู ซึ่งเปลี่ยนแปลงตามสถานที่ใช้แอลเอ็นจีในประเทศปลายทาง (“Destination”) โดย ปตท. จะเป็นฝ่ายกาหนดค่า Y และแจ้งค่า Y สาหรับ Destination ปลายทางแต่ละจุด พร้อมทั้งกาหนดวันเริ่มมีผลบังคับใช้ให้ผู้ซื้อรับทราบเป็นลายลักษณ์อักษร</t>
    </r>
  </si>
  <si>
    <r>
      <t xml:space="preserve">2. กรณีลูกค้า Domestic ปัจจุบันลูกค้าเดิมแต่มี Ship-tp เจ้าใหม่ เช่น OR ซื้อสินค้าจากทาง CMM ไปจำหน่ายในช่องทางในประเทศ (Domestic) ทาง CMM คิดราคาขายด้วยโครงสร้างการใหม่คือ </t>
    </r>
    <r>
      <rPr>
        <b/>
        <sz val="14"/>
        <color rgb="FF0070C0"/>
        <rFont val="Cordia New"/>
        <family val="2"/>
      </rPr>
      <t>P =  (LPG EPPO (Wholesale) * 0.XX)</t>
    </r>
    <r>
      <rPr>
        <sz val="14"/>
        <color theme="1"/>
        <rFont val="Cordia New"/>
        <family val="2"/>
      </rPr>
      <t xml:space="preserve">
โดยที่: P = ราคาแอลเอ็นจี มีหน่วยเป็นบาทต่อล้านบีทียู
         LPG EPPO (Wholesale) = ราคาขายส่งก๊าซปิโตรเลียมเหลว (LPG) ที่ถูกประกาศโดยคณะกรรมการบริหารกองทุนน้ำมันเชื้อเพลิง (กบน.) ประกอบด้วย ราคา ณ โรงกลั่น (ราคาเนื้อ LPG) ภาษีสรรพสามิต ภาษีเทศบาล  กองทุนน้ำมันเชื้อเพลิง และกองทุนเพื่อส่งเสริมการอนุรักษ์พลังงาน คำนวณเฉลี่ยรายเดือนโดยใช้ราคาเฉลี่ยตั้งแต่วันที่ 26 ของสองเดือนก่อนหน้าถึงวันที่ 25 ของเดือนก่อนหน้า โดยให้ใช้เลขทศนิยม 4 (สี่) ตำแหน่ง โดยปัดเลขทศนิยมในตำแหน่งที่ 5 (ห้า) ด้วยการให้ปัดขึ้นสำหรับตัวเลขที่มีค่าเท่ากับหรือมากกว่า 5 (ห้า)
    </t>
    </r>
    <r>
      <rPr>
        <sz val="14"/>
        <rFont val="Cordia New"/>
        <family val="2"/>
      </rPr>
      <t xml:space="preserve">   X = ค่าคงที่มีหน่วยเป็นเหรียญดอลลาร์สหรัฐต่อล้านบีทียู ซึ่งเปลี่ยนแปลงตามสถานที่ใช้แอลเอ็นจีในประเทศปลายทาง (“Destination”) โดย ปตท. จะเป็นฝ่ายกาหนดค่า X และแจ้งค่า X สาหรับ Destination ปลายทางแต่ละจุด พร้อมทั้งกาหนดวันเริ่มมีผลบังคับใช้ให้ผู้ซื้อรับทราบเป็นลายลักษณ์อักษร</t>
    </r>
  </si>
  <si>
    <r>
      <t>3. กรณีลูกค้า Domestic ปัจจุบันลูกค้าเดิมมี Ship-tp เจ้าใหม่ เช่น บิ๊กแก๊ส ซื้อสินค้าจากทาง CMM ไปจำหน่ายในช่องทางในประเทศ (Domestic) ทาง CMM คิดราคาขายด้วยโครงสร้างการใหม่คือ</t>
    </r>
    <r>
      <rPr>
        <sz val="14"/>
        <color rgb="FF0070C0"/>
        <rFont val="Cordia New"/>
        <family val="2"/>
      </rPr>
      <t xml:space="preserve"> </t>
    </r>
    <r>
      <rPr>
        <b/>
        <sz val="14"/>
        <color rgb="FF0070C0"/>
        <rFont val="Cordia New"/>
        <family val="2"/>
      </rPr>
      <t xml:space="preserve">P =  (HSD Retail Price x 0.XX) - D
</t>
    </r>
    <r>
      <rPr>
        <sz val="14"/>
        <rFont val="Cordia New"/>
        <family val="2"/>
      </rPr>
      <t>โดยที่: P = ราคาแอลเอ็นจี มีหน่วยเป็นบาทต่อล้านบีทียู</t>
    </r>
    <r>
      <rPr>
        <sz val="14"/>
        <color theme="1"/>
        <rFont val="Cordia New"/>
        <family val="2"/>
      </rPr>
      <t xml:space="preserve">
         HSD Retail Price = ราคาประกาศเดือนที่มีการซื้อขายปัจจุบัน (เดือน M) ราคาเฉลี่ยตั้งแต่วันที่ 26 ของเดือน M-2 ถึงวันที่ 25 ของเดือน M-1 อ้างอิงราคาจาก Website EPPO
        X = ค่าคงที่มีหน่วยเป็นเหรียญดอลลาร์สหรัฐต่อล้านบีทียู ซึ่งเปลี่ยนแปลงตามสถานที่ใช้แอลเอ็นจีในประเทศปลายทาง (“Destination”) โดย ปตท. จะเป็นฝ่ายกาหนดค่า X และแจ้งค่า X สาหรับ Destination ปลายทางแต่ละจุด พร้อมทั้งกาหนดวันเริ่มมีผลบังคับใช้ให้ผู้ซื้อรับทราบเป็นลายลักษณ์อักษร
        D = ส่วนลดสำหรับการตลาดเพิ่มเติม มีหน่วยเป็น THB/MMBTU (Ex VAT)</t>
    </r>
  </si>
  <si>
    <t>ดังนั้นมีความจำเป็นต้องปรับปรุงระบบให้รองรับสูตรราคาใหม่ โดยไม่กระทบโครงสร้างราคาเดิม</t>
  </si>
  <si>
    <t>- ปรับปรุงโครงสร้างราคา LNG Track Loading สำหรับการขายให้แก่ลูกค้า PTT LAO ทั้งการขาย 2 รูปแบบ (Reselling-Export และ Export)ด้วยสูตรโครงสร้างราคาใหม่</t>
  </si>
  <si>
    <t>- ปรับปรุงโครงสร้างราคา LNG Track Loading สำหรับการขาย Domestic สำหรับลูกค้าเดิมที่มีเจ้า ship-to ใหม่ด้วยสูตรโครงสร้างราคาใหม่</t>
  </si>
  <si>
    <t xml:space="preserve">- ปรับปรุงระบบ SAP S/4 WRICEF: Interface ส่งข้อมูลราคาประกาศขาย LNG ให้ระบบ Web LNG ด้วยข้อมูลราคาตามการคำนวนด้วยโครงสร้างราคาใหม่ </t>
  </si>
  <si>
    <t xml:space="preserve">- ปรับปรุงระบบ SAP S/4 WRICEF: Interface ส่งข้อมูลราคาขาย LNG รายเที่ยวให้ระบบ Web LNG ด้วยข้อมูลราคาตามการคำนวนด้วยโครงสร้างราคาใหม่ </t>
  </si>
  <si>
    <t>- ปรับปรุงโปรแกรม SAP S/4 WRICEF: Price calculation sheet for GSM-LNG Truck Load  ให้รองรับการพิมพ์เอกสารด้วยข้อมูลราคาตามการคำนวนด้วยโครงสร้างราคาใหม่</t>
  </si>
  <si>
    <t>- ปรับปรุงโปรแกรมรายงาน List of Billing Document ให้เพิ่ม Column ให้แสดงข้อมูลมูลค่าและราคาจากกรณีการขาย Domestic และ Reselling-Export ด้วยสูตรโครงสร้างราคาใหม่</t>
  </si>
  <si>
    <t>Web LNG Announcement</t>
  </si>
  <si>
    <t xml:space="preserve">1. ปรับปรุงระบบ PTT LNG  Pricing Announcement ให้รองรับกรณีการขายแบบ Export และ Re-Export
2. ปรับปรุงระบบ PTT LNG  Pricing Announcement  ให้เป็นไปตาม technology standard ของ ปตท. ดังนี้
- Migrate to New Web Server
- PDPA
- CA&amp;A (Azure AD &amp; Azure B2C)
- Migrate Custom Dev Pro-Code Lang.- </t>
  </si>
  <si>
    <t>FI/CO</t>
  </si>
  <si>
    <t xml:space="preserve">   - เข้าร่วมกระบวนการทดสอบ เพื่อตรวจสอบรายการบันทึกบัญชีทางระบบงาน CO </t>
  </si>
  <si>
    <t>Assumption:</t>
  </si>
  <si>
    <t xml:space="preserve">   - SD: การเพิ่มโครงสร้างราคาใหม่นี้ต้องไม่กระทบต่อการทำงานของโครงสร้างราคาเก่า</t>
  </si>
  <si>
    <t>- SD: ไม่มีการปรับปรุงแบบฟอร์มใบแจ้งหนี้, ใบลดหนี้ จะยังคงใช้ Template เดียวกับตามกระบวนการปัจจุบัน</t>
  </si>
  <si>
    <t>- SD: กระบวนการขายที่เกี่ยวข้อง (กระบวนการปรับปรุงปริมาณ+ราคา, กระบวนการยกเลิกเอกสาร) จะเป็นการทดสอบเพื่อตรวจสอบการทำงานของสูตรราคาใหม่เท่านั้น</t>
  </si>
  <si>
    <t>- SD: กระบวนการ TOP-MUR จะทดสอบสำหรับรูปแบบการขายของธุรกรรมการขายในประเทศ (Domectic) ไม่รองรับการทำธุรกรรม TOP-MUR แก่ลูกค้า PTT LAO</t>
  </si>
  <si>
    <t>Testing:</t>
  </si>
  <si>
    <t xml:space="preserve">Unit test / System Integration Test / User Acceptance Test </t>
  </si>
  <si>
    <t>เฉพาะกระบวนการ, แบบฟอร์มและรายงานที่มีการปรับปรุง หรือพัฒนาขึ้นใหม่</t>
  </si>
  <si>
    <t>Training:</t>
  </si>
  <si>
    <t xml:space="preserve">Training Material (Power Point) และจัดสอน Key User แบบ Train The Trainer </t>
  </si>
  <si>
    <t>Data Conversion:</t>
  </si>
  <si>
    <t>ไม่มี</t>
  </si>
  <si>
    <t>Duration:</t>
  </si>
  <si>
    <r>
      <rPr>
        <sz val="14"/>
        <color rgb="FFFF0000"/>
        <rFont val="Cordia New"/>
        <family val="2"/>
      </rPr>
      <t xml:space="preserve">X </t>
    </r>
    <r>
      <rPr>
        <sz val="14"/>
        <color theme="1"/>
        <rFont val="Cordia New"/>
        <family val="2"/>
      </rPr>
      <t>เดือน</t>
    </r>
  </si>
  <si>
    <t>Budget:</t>
  </si>
  <si>
    <t>Target Go-Live:</t>
  </si>
  <si>
    <t>(01 เม.ย. 2026)</t>
  </si>
  <si>
    <t>Out of Scope:</t>
  </si>
  <si>
    <r>
      <t>-</t>
    </r>
    <r>
      <rPr>
        <sz val="7"/>
        <color theme="1"/>
        <rFont val="Times New Roman"/>
        <family val="1"/>
      </rPr>
      <t>  </t>
    </r>
    <r>
      <rPr>
        <sz val="14"/>
        <color theme="1"/>
        <rFont val="Cordia New"/>
        <family val="2"/>
      </rPr>
      <t xml:space="preserve">การประเมินครั้งนี้ ไม่รวมการแก้ไขไม่รวมการแก้ไขโปรแกรม TOP สำหรับการขาย Export </t>
    </r>
  </si>
  <si>
    <r>
      <t>-</t>
    </r>
    <r>
      <rPr>
        <sz val="7"/>
        <color theme="1"/>
        <rFont val="Times New Roman"/>
        <family val="1"/>
      </rPr>
      <t>  </t>
    </r>
    <r>
      <rPr>
        <sz val="14"/>
        <color theme="1"/>
        <rFont val="Cordia New"/>
        <family val="2"/>
      </rPr>
      <t>การประเมินครั้งนี้ ไม่รวม Change Management, ค่าใช้จ่ายเดินทางและที่พัก (ถ้ามี)</t>
    </r>
  </si>
  <si>
    <t>SD Note</t>
  </si>
  <si>
    <t xml:space="preserve">หน่วยงาน CMM Export (Channel 13) ปัจจุบันสร้างเอกสารขายแบบ manual คือสร้างเอกสาร SO และ DO GI Billing ที่โปรแกรม ZISPUE181 ซึ่งในโครงการนี้ต้องการพัฒนาให้รองรับการใช้งานที่ LNG Pricing Announcement ซึ่งโครงการนี้ต้องการให้รองรับการทำงานเหมือน Domestic และ Re-Export ในข้อที่ 1 คือมีข้อมูล เช่น volume และค่าความร้อนต่างๆ ไหลมาจาก LNG terminal web เข้าสู่ LNG Pricing Announcement มีการคำนวณปริมาณ MMBTU ให้ </t>
  </si>
  <si>
    <t>**ทาง user คาดหวังว่าระบบ S4 จะสามารถทำ SO ของ export บน web ได้แล้วจาก requirement ในข้อ 1 (Digital ต้องตรวจสอบข้อมูลอีกที)</t>
  </si>
  <si>
    <t>Special case: หน่วยงาน CMM Export (Channel 13) มีรูปแบบการรับเงินล่วงหน้า (advance payment) แล้วลูกค้ามีการ advance payment ด้วย 2 ก้อนผสมกัน ซึ่งทางบัญชีแจ้งว่าต้องใช้ Exchange rate ที่แตกต่างกันตอนออก Bill จึงเกิดกรณี 1 SO 2 DO GI Billing (1 SO = 1 shipment) และแยกส่งจาก Exchange rate กรณีนี้อาจจะไม่ได้มีเคสเยอะ (เฉลี่ย 1 ครั้ง /เดือน) หน้า LNG Pricing Announcement ต้องรองรับการแก้ไข SO เพื่อแก้ไข --&gt; อยากให้ประเมินแยกถ้า web เป็น auto full loop คือรองรับ special case</t>
  </si>
  <si>
    <t>**หลักการคำนวณว่าจะต้องใช้ 2 Exchange rate คือดูยอดเงินที่เหลือในยอด advance payment (ดอลลาร์) เราจะ convert ยอดเงินนั้นเป็นปริมาณในยอด bill แรก ส่วนน้ำหนักที่เหลือของรถคันนั้นจะเป็นยอด bill ที่สอง</t>
  </si>
  <si>
    <t xml:space="preserve">หน่วยงาน CMM Export (Channel 13) ปัจจุบันสามารถแก้ไข Text ในเอกสาร SO ได้ ซึ่งโครงการนี้ต้องการให้ LNG Pricing Announcement สามารถส่งข้อมูล text ที่ต้องการแก้ไขให้ทาง sap (ข้อมูล text ต่างๆ ทาง user จะแจ้งอีกครั้งนึง) </t>
  </si>
  <si>
    <t>หน่วยงาน CMM Export ปัจจุบันมีการระบุราคาขายแบบ manual price ซึ่งโครงการนี้ต้องการให้รองรับการแสดงราคาบน LNG Pricing Announcement ซึ่งทางธุรกิจยืนยันว่าราคาจะเท่ากันทั้งเดือน แต่ค่า surcharge อาจจะต้อง adjust บ้าง)</t>
  </si>
  <si>
    <r>
      <t>**</t>
    </r>
    <r>
      <rPr>
        <sz val="11"/>
        <color theme="1"/>
        <rFont val="Aptos"/>
        <family val="2"/>
      </rPr>
      <t xml:space="preserve"> </t>
    </r>
    <r>
      <rPr>
        <sz val="11"/>
        <color theme="1"/>
        <rFont val="Cordia New"/>
        <family val="2"/>
      </rPr>
      <t>Export ไม่ต้องมีการแสดงราคาประกาศ เนื่องจากลูกค้าไม่สามารถเข้า LNG Pricing Announcement ได้อยู่แล้ว แสดงราคาแค่ราย bill</t>
    </r>
  </si>
  <si>
    <t>แบบฟอร์มของ Export ต้องไปปริ้นบนระบบ SAP ทาง user จึงอยากให้ดึงฟอร์มขึ้นไปบน web</t>
  </si>
  <si>
    <t>หน่วยงาน CMM Export ต้องการให้ระบบ sap รองรับการสร้างเอกสาร TOP โดยเงื่อนไขจะเหมือน Domestic และ Re-Export แต่ไม่มี MUR ซึ่ง ทาง SAP ต้องตรวจสอบว่าโปรแกรม ZSDGSME008 calculate กับ ZSDGSME009 Gen document ว่ารองรับไหม?</t>
  </si>
  <si>
    <t>หน่วยงาน CMM Re-Export  ต้องการให้ทาง web ดึง DCQ โดยเพิ่มเงื่อนไขของ ship-to เข้ามาด้วย ซึ่งระบบ SAP มีการ Maintain DCQ ระดับ ship-to อยู่แล้ว (ZSDGSMT001) ต้องเช็ค interface ที่ส่งหา web ?</t>
  </si>
  <si>
    <t>Junior</t>
  </si>
  <si>
    <t>Grand Total</t>
  </si>
  <si>
    <t>Role</t>
  </si>
  <si>
    <t>Start date</t>
  </si>
  <si>
    <t>End date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</si>
  <si>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</si>
  <si>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</si>
  <si>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</si>
  <si>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</si>
  <si>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</si>
  <si>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</si>
  <si>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</si>
  <si>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</si>
  <si>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</si>
  <si>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</si>
  <si>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</si>
  <si>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</si>
  <si>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Digital</t>
  </si>
  <si>
    <t>Development &amp; Testing</t>
  </si>
  <si>
    <t xml:space="preserve">    - Config &amp; Development &amp; Unit Test</t>
  </si>
  <si>
    <t xml:space="preserve">    - Systems Integration Test</t>
  </si>
  <si>
    <t xml:space="preserve">    - Authorization Design and Setup</t>
  </si>
  <si>
    <t xml:space="preserve">    - Key user Training</t>
  </si>
  <si>
    <t>PTT&amp;Digital</t>
  </si>
  <si>
    <t xml:space="preserve">    - User Acceptance Test</t>
  </si>
  <si>
    <t>Golive</t>
  </si>
  <si>
    <t xml:space="preserve">    -  Golive Preparation</t>
  </si>
  <si>
    <t>Resource Cost</t>
  </si>
  <si>
    <t>Total Manday (Day)</t>
  </si>
  <si>
    <t>Commercial Information</t>
  </si>
  <si>
    <t>Profit Analysis</t>
  </si>
  <si>
    <t>Rate</t>
  </si>
  <si>
    <t>Estimated Amount</t>
  </si>
  <si>
    <t>(Margin/Loss)</t>
  </si>
  <si>
    <t>Type</t>
  </si>
  <si>
    <t>Planned (Day)</t>
  </si>
  <si>
    <t>Manday Rate (Baht)</t>
  </si>
  <si>
    <t>Charged Item</t>
  </si>
  <si>
    <t>Cost/Rev Owner</t>
  </si>
  <si>
    <t>Retail Rate</t>
  </si>
  <si>
    <t>Loaded</t>
  </si>
  <si>
    <t>Revenue</t>
  </si>
  <si>
    <t>Amount</t>
  </si>
  <si>
    <t>%</t>
  </si>
  <si>
    <t>Outsource</t>
  </si>
  <si>
    <t>Project Manager</t>
  </si>
  <si>
    <t>Senior</t>
  </si>
  <si>
    <t>Functional (SAP)</t>
  </si>
  <si>
    <t>คุณชลิตา ศิริธนาภรณ์พันธ์</t>
  </si>
  <si>
    <t>PTT Digital</t>
  </si>
  <si>
    <t>Technical (SAP-BASIS)</t>
  </si>
  <si>
    <t>คุณพิเชษฐ์ สุขประเสริฐ์</t>
  </si>
  <si>
    <t>Technical (ABAPER)</t>
  </si>
  <si>
    <t>Other Cost</t>
  </si>
  <si>
    <t>Total Amount (Baht)</t>
  </si>
  <si>
    <t>object</t>
  </si>
  <si>
    <t>Z0010-SDSD-D-MD-COND_NFA_NGR</t>
  </si>
  <si>
    <t>Add value into Object V_KONH_VKS (Condition Type)</t>
  </si>
  <si>
    <t>เพิ่ม condition type ใหม่</t>
  </si>
  <si>
    <t>Z0010-SDSD-M-MD-PRICE_NFA_NGR</t>
  </si>
  <si>
    <t>และอื่นๆที่อาจเกี่ยวข้อง</t>
  </si>
  <si>
    <t>คุณพิทยา พิพัฒน์พัลลภ</t>
  </si>
  <si>
    <t>คุณณัฐพล เขียวประเสริฐ</t>
  </si>
  <si>
    <t>คุณฤทัยชนก คงศรีสวัสดิ์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</si>
</sst>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</numFmts>
  <fonts count="51" x14ac:knownFonts="1"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AngsanaUPC"/>
      <family val="1"/>
    </font>
    <font>
      <b/>
      <sz val="14"/>
      <color rgb="FF000000"/>
      <name val="AngsanaUPC"/>
      <family val="1"/>
    </font>
    <font>
      <sz val="14"/>
      <color rgb="FF000000"/>
      <name val="AngsanaUPC"/>
      <family val="1"/>
    </font>
    <font>
      <sz val="14"/>
      <color rgb="FF1F497D"/>
      <name val="AngsanaUPC"/>
      <family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4"/>
      <color theme="1"/>
      <name val="Cordia New"/>
      <family val="2"/>
    </font>
    <font>
      <sz val="7"/>
      <color theme="1"/>
      <name val="Times New Roman"/>
      <family val="1"/>
    </font>
    <font>
      <sz val="11"/>
      <color theme="1"/>
      <name val="Cordia New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charset val="22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4"/>
      <name val="Cordia New"/>
      <family val="2"/>
    </font>
    <font>
      <sz val="14"/>
      <color rgb="FF000000"/>
      <name val="Cordia New"/>
      <family val="2"/>
    </font>
    <font>
      <sz val="14"/>
      <color rgb="FF004F88"/>
      <name val="Cordia New"/>
      <family val="2"/>
    </font>
    <font>
      <sz val="14"/>
      <color rgb="FFFF0000"/>
      <name val="Cordia New"/>
      <family val="2"/>
    </font>
    <font>
      <sz val="11"/>
      <color theme="1"/>
      <name val="Aptos"/>
      <family val="2"/>
    </font>
    <font>
      <b/>
      <sz val="14"/>
      <color theme="1"/>
      <name val="Cordia New"/>
      <family val="2"/>
    </font>
    <font>
      <b/>
      <sz val="14"/>
      <color rgb="FF0070C0"/>
      <name val="Cordia New"/>
      <family val="2"/>
    </font>
    <font>
      <sz val="14"/>
      <color rgb="FF0070C0"/>
      <name val="Cordia New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name val="Tahoma"/>
      <family val="2"/>
    </font>
    <font>
      <b/>
      <sz val="14"/>
      <color theme="1"/>
      <name val="Tahoma"/>
      <family val="2"/>
    </font>
    <font>
      <sz val="14"/>
      <color theme="1"/>
      <name val="Calibri"/>
      <family val="2"/>
      <scheme val="minor"/>
    </font>
    <font>
      <b/>
      <i/>
      <sz val="14"/>
      <color theme="1"/>
      <name val="Tahoma"/>
      <family val="2"/>
    </font>
    <font>
      <sz val="11"/>
      <color rgb="FF006100"/>
      <name val="Calibri"/>
      <family val="2"/>
      <charset val="222"/>
      <scheme val="minor"/>
    </font>
    <font>
      <sz val="14"/>
      <name val="Tahoma"/>
      <family val="2"/>
    </font>
    <font>
      <sz val="14"/>
      <color theme="1"/>
      <name val="Tahoma"/>
      <family val="2"/>
    </font>
    <font>
      <sz val="11"/>
      <color rgb="FF9C6500"/>
      <name val="Calibri"/>
      <family val="2"/>
      <charset val="222"/>
      <scheme val="minor"/>
    </font>
    <font>
      <sz val="14"/>
      <color theme="0"/>
      <name val="Tahoma"/>
      <family val="2"/>
    </font>
    <font>
      <sz val="14"/>
      <color theme="1" tint="0.499984740745262"/>
      <name val="Tahoma"/>
      <family val="2"/>
    </font>
    <font>
      <sz val="14"/>
      <color theme="9" tint="-0.249977111117893"/>
      <name val="Tahoma"/>
      <family val="2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9">
    <xf numFmtId="0" fontId="0" fillId="0" borderId="0"/>
    <xf numFmtId="164" fontId="6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6" fillId="0" borderId="0"/>
    <xf numFmtId="164" fontId="19" fillId="0" borderId="0" applyFont="0" applyFill="0" applyBorder="0" applyAlignment="0" applyProtection="0"/>
    <xf numFmtId="0" fontId="5" fillId="0" borderId="0"/>
    <xf numFmtId="0" fontId="25" fillId="0" borderId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5" fillId="19" borderId="46" applyNumberFormat="0" applyFont="0" applyAlignment="0" applyProtection="0"/>
    <xf numFmtId="0" fontId="27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25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6" fillId="0" borderId="47" applyNumberFormat="0" applyFill="0" applyAlignment="0" applyProtection="0"/>
    <xf numFmtId="0" fontId="37" fillId="22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42" fillId="20" borderId="0" applyNumberFormat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5" fillId="21" borderId="0" applyNumberFormat="0" applyBorder="0" applyAlignment="0" applyProtection="0"/>
  </cellStyleXfs>
  <cellXfs count="321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1" fillId="4" borderId="0" xfId="0" applyFont="1" applyFill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2" fillId="6" borderId="0" xfId="0" applyFont="1" applyFill="1" applyAlignment="1">
      <alignment horizontal="center"/>
    </xf>
    <xf numFmtId="0" fontId="12" fillId="0" borderId="0" xfId="0" applyFont="1" applyAlignment="1">
      <alignment horizontal="left" wrapText="1"/>
    </xf>
    <xf numFmtId="0" fontId="13" fillId="0" borderId="8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right" vertical="top"/>
    </xf>
    <xf numFmtId="0" fontId="13" fillId="0" borderId="7" xfId="0" applyFont="1" applyBorder="1" applyAlignment="1">
      <alignment vertical="top" wrapText="1"/>
    </xf>
    <xf numFmtId="0" fontId="13" fillId="0" borderId="8" xfId="0" applyFont="1" applyBorder="1" applyAlignment="1">
      <alignment vertical="top" wrapText="1"/>
    </xf>
    <xf numFmtId="0" fontId="13" fillId="0" borderId="8" xfId="0" applyFont="1" applyBorder="1" applyAlignment="1">
      <alignment horizontal="center" vertical="top"/>
    </xf>
    <xf numFmtId="0" fontId="13" fillId="5" borderId="8" xfId="0" applyFont="1" applyFill="1" applyBorder="1" applyAlignment="1">
      <alignment horizontal="center" vertical="top"/>
    </xf>
    <xf numFmtId="0" fontId="13" fillId="0" borderId="8" xfId="0" quotePrefix="1" applyFont="1" applyBorder="1" applyAlignment="1">
      <alignment horizontal="center" vertical="top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top"/>
    </xf>
    <xf numFmtId="0" fontId="13" fillId="0" borderId="8" xfId="0" quotePrefix="1" applyFont="1" applyBorder="1" applyAlignment="1">
      <alignment horizontal="center" vertical="center"/>
    </xf>
    <xf numFmtId="0" fontId="13" fillId="5" borderId="8" xfId="0" applyFont="1" applyFill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0" borderId="10" xfId="0" quotePrefix="1" applyFont="1" applyBorder="1" applyAlignment="1">
      <alignment horizontal="center" vertical="center"/>
    </xf>
    <xf numFmtId="0" fontId="11" fillId="7" borderId="0" xfId="0" applyFont="1" applyFill="1" applyAlignment="1">
      <alignment horizontal="right" vertical="center"/>
    </xf>
    <xf numFmtId="0" fontId="11" fillId="7" borderId="4" xfId="0" applyFont="1" applyFill="1" applyBorder="1" applyAlignment="1">
      <alignment vertical="center"/>
    </xf>
    <xf numFmtId="0" fontId="11" fillId="7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/>
    </xf>
    <xf numFmtId="0" fontId="15" fillId="0" borderId="0" xfId="0" applyFont="1" applyAlignment="1">
      <alignment horizontal="left" wrapText="1"/>
    </xf>
    <xf numFmtId="0" fontId="15" fillId="0" borderId="0" xfId="0" applyFont="1"/>
    <xf numFmtId="0" fontId="12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2" fillId="0" borderId="0" xfId="1" applyFont="1"/>
    <xf numFmtId="164" fontId="15" fillId="0" borderId="0" xfId="1" applyFont="1" applyAlignment="1">
      <alignment horizontal="center"/>
    </xf>
    <xf numFmtId="164" fontId="12" fillId="0" borderId="0" xfId="1" applyFont="1" applyAlignment="1">
      <alignment horizontal="center" vertical="center"/>
    </xf>
    <xf numFmtId="164" fontId="12" fillId="5" borderId="0" xfId="1" applyFont="1" applyFill="1" applyAlignment="1">
      <alignment horizontal="center" vertical="center"/>
    </xf>
    <xf numFmtId="164" fontId="12" fillId="0" borderId="0" xfId="1" applyFont="1" applyAlignment="1">
      <alignment horizontal="center"/>
    </xf>
    <xf numFmtId="164" fontId="12" fillId="0" borderId="0" xfId="1" applyFont="1" applyAlignment="1">
      <alignment horizontal="left"/>
    </xf>
    <xf numFmtId="164" fontId="12" fillId="8" borderId="5" xfId="1" applyFont="1" applyFill="1" applyBorder="1"/>
    <xf numFmtId="164" fontId="15" fillId="8" borderId="12" xfId="1" applyFont="1" applyFill="1" applyBorder="1" applyAlignment="1">
      <alignment horizontal="center"/>
    </xf>
    <xf numFmtId="164" fontId="12" fillId="8" borderId="12" xfId="1" applyFont="1" applyFill="1" applyBorder="1" applyAlignment="1">
      <alignment horizontal="center" vertical="center"/>
    </xf>
    <xf numFmtId="164" fontId="12" fillId="5" borderId="12" xfId="1" applyFont="1" applyFill="1" applyBorder="1" applyAlignment="1">
      <alignment horizontal="center" vertical="center"/>
    </xf>
    <xf numFmtId="164" fontId="15" fillId="8" borderId="11" xfId="1" applyFont="1" applyFill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164" fontId="15" fillId="0" borderId="13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6" fillId="0" borderId="11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15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top" wrapText="1"/>
    </xf>
    <xf numFmtId="0" fontId="16" fillId="0" borderId="4" xfId="0" quotePrefix="1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3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0" borderId="8" xfId="0" quotePrefix="1" applyFont="1" applyBorder="1" applyAlignment="1">
      <alignment horizontal="center"/>
    </xf>
    <xf numFmtId="0" fontId="13" fillId="0" borderId="8" xfId="0" applyFont="1" applyBorder="1"/>
    <xf numFmtId="0" fontId="7" fillId="0" borderId="0" xfId="0" applyFont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wrapText="1"/>
    </xf>
    <xf numFmtId="0" fontId="13" fillId="0" borderId="9" xfId="0" applyFont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2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164" fontId="15" fillId="0" borderId="0" xfId="1" applyFont="1" applyAlignment="1">
      <alignment horizontal="center" wrapText="1"/>
    </xf>
    <xf numFmtId="164" fontId="15" fillId="8" borderId="12" xfId="1" applyFont="1" applyFill="1" applyBorder="1" applyAlignment="1">
      <alignment horizontal="center" wrapText="1"/>
    </xf>
    <xf numFmtId="0" fontId="16" fillId="0" borderId="14" xfId="0" applyFont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16" fillId="0" borderId="15" xfId="0" quotePrefix="1" applyFont="1" applyBorder="1" applyAlignment="1">
      <alignment horizontal="left" vertical="top" wrapText="1" indent="1"/>
    </xf>
    <xf numFmtId="0" fontId="18" fillId="0" borderId="3" xfId="0" quotePrefix="1" applyFont="1" applyBorder="1" applyAlignment="1">
      <alignment horizontal="left" vertical="center" wrapText="1" indent="3"/>
    </xf>
    <xf numFmtId="0" fontId="16" fillId="0" borderId="4" xfId="0" applyFont="1" applyBorder="1" applyAlignment="1">
      <alignment horizontal="left" vertical="center" wrapText="1"/>
    </xf>
    <xf numFmtId="0" fontId="14" fillId="0" borderId="8" xfId="0" quotePrefix="1" applyFont="1" applyBorder="1" applyAlignment="1">
      <alignment horizontal="center" vertical="center"/>
    </xf>
    <xf numFmtId="0" fontId="9" fillId="9" borderId="3" xfId="0" quotePrefix="1" applyFont="1" applyFill="1" applyBorder="1" applyAlignment="1">
      <alignment horizontal="center" vertical="top"/>
    </xf>
    <xf numFmtId="0" fontId="9" fillId="9" borderId="3" xfId="0" applyFont="1" applyFill="1" applyBorder="1" applyAlignment="1">
      <alignment horizontal="center" vertical="top"/>
    </xf>
    <xf numFmtId="0" fontId="9" fillId="9" borderId="4" xfId="0" applyFont="1" applyFill="1" applyBorder="1" applyAlignment="1">
      <alignment vertical="top" wrapText="1"/>
    </xf>
    <xf numFmtId="0" fontId="9" fillId="9" borderId="4" xfId="0" applyFont="1" applyFill="1" applyBorder="1" applyAlignment="1">
      <alignment horizontal="center" vertical="top" wrapText="1"/>
    </xf>
    <xf numFmtId="0" fontId="10" fillId="9" borderId="4" xfId="0" applyFont="1" applyFill="1" applyBorder="1" applyAlignment="1">
      <alignment horizontal="center" vertical="top" wrapText="1"/>
    </xf>
    <xf numFmtId="0" fontId="16" fillId="0" borderId="15" xfId="0" applyFont="1" applyBorder="1" applyAlignment="1">
      <alignment vertical="top" wrapText="1"/>
    </xf>
    <xf numFmtId="0" fontId="7" fillId="0" borderId="0" xfId="0" applyFont="1" applyAlignment="1">
      <alignment wrapText="1"/>
    </xf>
    <xf numFmtId="0" fontId="19" fillId="0" borderId="0" xfId="3"/>
    <xf numFmtId="0" fontId="19" fillId="0" borderId="0" xfId="3" applyAlignment="1">
      <alignment vertical="top"/>
    </xf>
    <xf numFmtId="0" fontId="19" fillId="0" borderId="0" xfId="3" applyAlignment="1">
      <alignment horizontal="center" vertical="top"/>
    </xf>
    <xf numFmtId="0" fontId="18" fillId="0" borderId="14" xfId="0" quotePrefix="1" applyFont="1" applyBorder="1" applyAlignment="1">
      <alignment horizontal="left" vertical="center" wrapText="1"/>
    </xf>
    <xf numFmtId="0" fontId="13" fillId="10" borderId="11" xfId="0" applyFont="1" applyFill="1" applyBorder="1" applyAlignment="1">
      <alignment vertical="top"/>
    </xf>
    <xf numFmtId="0" fontId="13" fillId="10" borderId="6" xfId="0" applyFont="1" applyFill="1" applyBorder="1" applyAlignment="1">
      <alignment vertical="top"/>
    </xf>
    <xf numFmtId="0" fontId="13" fillId="10" borderId="12" xfId="0" applyFont="1" applyFill="1" applyBorder="1" applyAlignment="1">
      <alignment vertical="top"/>
    </xf>
    <xf numFmtId="0" fontId="13" fillId="10" borderId="5" xfId="0" applyFont="1" applyFill="1" applyBorder="1" applyAlignment="1">
      <alignment horizontal="center" vertical="top"/>
    </xf>
    <xf numFmtId="0" fontId="13" fillId="0" borderId="3" xfId="0" applyFont="1" applyBorder="1" applyAlignment="1">
      <alignment vertical="top"/>
    </xf>
    <xf numFmtId="0" fontId="13" fillId="0" borderId="4" xfId="0" applyFont="1" applyBorder="1" applyAlignment="1">
      <alignment vertical="top"/>
    </xf>
    <xf numFmtId="0" fontId="20" fillId="0" borderId="4" xfId="0" applyFont="1" applyBorder="1" applyAlignment="1">
      <alignment horizontal="center" vertical="top"/>
    </xf>
    <xf numFmtId="0" fontId="13" fillId="0" borderId="3" xfId="0" applyFont="1" applyBorder="1" applyAlignment="1">
      <alignment vertical="top" wrapText="1"/>
    </xf>
    <xf numFmtId="0" fontId="13" fillId="0" borderId="3" xfId="0" applyFont="1" applyBorder="1" applyAlignment="1">
      <alignment horizontal="center" vertical="top"/>
    </xf>
    <xf numFmtId="0" fontId="13" fillId="0" borderId="4" xfId="0" applyFont="1" applyBorder="1" applyAlignment="1">
      <alignment vertical="top" wrapText="1"/>
    </xf>
    <xf numFmtId="0" fontId="13" fillId="10" borderId="0" xfId="0" applyFont="1" applyFill="1" applyAlignment="1">
      <alignment vertical="top" wrapText="1"/>
    </xf>
    <xf numFmtId="0" fontId="13" fillId="10" borderId="16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9" fillId="9" borderId="3" xfId="0" applyFont="1" applyFill="1" applyBorder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1" fillId="10" borderId="0" xfId="0" applyFont="1" applyFill="1" applyAlignment="1">
      <alignment vertical="top"/>
    </xf>
    <xf numFmtId="0" fontId="13" fillId="10" borderId="0" xfId="0" applyFont="1" applyFill="1" applyAlignment="1">
      <alignment vertical="top"/>
    </xf>
    <xf numFmtId="0" fontId="20" fillId="10" borderId="0" xfId="0" applyFont="1" applyFill="1" applyAlignment="1">
      <alignment horizontal="center" vertical="top"/>
    </xf>
    <xf numFmtId="0" fontId="13" fillId="10" borderId="5" xfId="0" applyFont="1" applyFill="1" applyBorder="1" applyAlignment="1">
      <alignment vertical="top" wrapText="1"/>
    </xf>
    <xf numFmtId="0" fontId="13" fillId="0" borderId="17" xfId="0" applyFont="1" applyBorder="1" applyAlignment="1">
      <alignment vertical="top"/>
    </xf>
    <xf numFmtId="0" fontId="13" fillId="0" borderId="18" xfId="0" applyFont="1" applyBorder="1" applyAlignment="1">
      <alignment vertical="top" wrapText="1"/>
    </xf>
    <xf numFmtId="0" fontId="16" fillId="11" borderId="14" xfId="0" applyFont="1" applyFill="1" applyBorder="1" applyAlignment="1">
      <alignment horizontal="left" vertical="top" wrapText="1"/>
    </xf>
    <xf numFmtId="0" fontId="16" fillId="11" borderId="15" xfId="0" quotePrefix="1" applyFont="1" applyFill="1" applyBorder="1" applyAlignment="1">
      <alignment horizontal="left" vertical="top" wrapText="1" indent="1"/>
    </xf>
    <xf numFmtId="0" fontId="0" fillId="12" borderId="0" xfId="0" applyFill="1"/>
    <xf numFmtId="49" fontId="0" fillId="13" borderId="0" xfId="0" applyNumberFormat="1" applyFill="1"/>
    <xf numFmtId="0" fontId="0" fillId="13" borderId="0" xfId="0" applyFill="1"/>
    <xf numFmtId="49" fontId="0" fillId="14" borderId="0" xfId="0" applyNumberFormat="1" applyFill="1"/>
    <xf numFmtId="0" fontId="0" fillId="14" borderId="0" xfId="0" applyFill="1"/>
    <xf numFmtId="0" fontId="15" fillId="0" borderId="0" xfId="0" applyFont="1" applyAlignment="1">
      <alignment wrapText="1"/>
    </xf>
    <xf numFmtId="0" fontId="11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20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13" fillId="0" borderId="11" xfId="0" applyFont="1" applyBorder="1" applyAlignment="1">
      <alignment horizontal="center" vertical="top"/>
    </xf>
    <xf numFmtId="0" fontId="13" fillId="10" borderId="3" xfId="0" applyFont="1" applyFill="1" applyBorder="1" applyAlignment="1">
      <alignment horizontal="center" vertical="top"/>
    </xf>
    <xf numFmtId="0" fontId="0" fillId="15" borderId="0" xfId="0" applyFill="1"/>
    <xf numFmtId="0" fontId="21" fillId="17" borderId="22" xfId="0" applyFont="1" applyFill="1" applyBorder="1" applyAlignment="1">
      <alignment horizontal="center" vertical="center"/>
    </xf>
    <xf numFmtId="0" fontId="21" fillId="17" borderId="11" xfId="0" applyFont="1" applyFill="1" applyBorder="1" applyAlignment="1">
      <alignment vertical="center"/>
    </xf>
    <xf numFmtId="0" fontId="21" fillId="17" borderId="23" xfId="0" applyFont="1" applyFill="1" applyBorder="1" applyAlignment="1">
      <alignment horizontal="center" vertical="center"/>
    </xf>
    <xf numFmtId="0" fontId="21" fillId="17" borderId="24" xfId="0" applyFont="1" applyFill="1" applyBorder="1" applyAlignment="1">
      <alignment horizontal="center" vertical="center"/>
    </xf>
    <xf numFmtId="0" fontId="21" fillId="17" borderId="25" xfId="0" applyFont="1" applyFill="1" applyBorder="1" applyAlignment="1">
      <alignment horizontal="center" vertical="center"/>
    </xf>
    <xf numFmtId="0" fontId="21" fillId="17" borderId="26" xfId="0" applyFont="1" applyFill="1" applyBorder="1" applyAlignment="1">
      <alignment horizontal="center" vertical="center"/>
    </xf>
    <xf numFmtId="0" fontId="21" fillId="17" borderId="27" xfId="0" applyFont="1" applyFill="1" applyBorder="1" applyAlignment="1">
      <alignment horizontal="center" vertical="center"/>
    </xf>
    <xf numFmtId="0" fontId="22" fillId="18" borderId="28" xfId="0" applyFont="1" applyFill="1" applyBorder="1"/>
    <xf numFmtId="0" fontId="23" fillId="18" borderId="29" xfId="0" applyFont="1" applyFill="1" applyBorder="1" applyAlignment="1">
      <alignment horizontal="center"/>
    </xf>
    <xf numFmtId="14" fontId="23" fillId="18" borderId="30" xfId="0" applyNumberFormat="1" applyFont="1" applyFill="1" applyBorder="1" applyAlignment="1">
      <alignment horizontal="center"/>
    </xf>
    <xf numFmtId="0" fontId="23" fillId="16" borderId="31" xfId="0" applyFont="1" applyFill="1" applyBorder="1"/>
    <xf numFmtId="0" fontId="23" fillId="15" borderId="32" xfId="0" applyFont="1" applyFill="1" applyBorder="1"/>
    <xf numFmtId="0" fontId="23" fillId="15" borderId="33" xfId="0" applyFont="1" applyFill="1" applyBorder="1"/>
    <xf numFmtId="0" fontId="23" fillId="15" borderId="31" xfId="0" applyFont="1" applyFill="1" applyBorder="1"/>
    <xf numFmtId="0" fontId="23" fillId="15" borderId="34" xfId="0" applyFont="1" applyFill="1" applyBorder="1"/>
    <xf numFmtId="0" fontId="23" fillId="0" borderId="31" xfId="0" applyFont="1" applyBorder="1"/>
    <xf numFmtId="0" fontId="23" fillId="0" borderId="32" xfId="0" applyFont="1" applyBorder="1"/>
    <xf numFmtId="0" fontId="23" fillId="0" borderId="34" xfId="0" applyFont="1" applyBorder="1"/>
    <xf numFmtId="0" fontId="23" fillId="15" borderId="35" xfId="0" applyFont="1" applyFill="1" applyBorder="1"/>
    <xf numFmtId="0" fontId="23" fillId="15" borderId="20" xfId="0" applyFont="1" applyFill="1" applyBorder="1"/>
    <xf numFmtId="0" fontId="23" fillId="15" borderId="36" xfId="0" applyFont="1" applyFill="1" applyBorder="1"/>
    <xf numFmtId="0" fontId="23" fillId="15" borderId="37" xfId="0" applyFont="1" applyFill="1" applyBorder="1"/>
    <xf numFmtId="0" fontId="23" fillId="18" borderId="38" xfId="0" applyFont="1" applyFill="1" applyBorder="1" applyAlignment="1">
      <alignment horizontal="center"/>
    </xf>
    <xf numFmtId="0" fontId="23" fillId="16" borderId="19" xfId="0" applyFont="1" applyFill="1" applyBorder="1"/>
    <xf numFmtId="0" fontId="23" fillId="15" borderId="19" xfId="0" applyFont="1" applyFill="1" applyBorder="1"/>
    <xf numFmtId="0" fontId="23" fillId="15" borderId="21" xfId="0" applyFont="1" applyFill="1" applyBorder="1"/>
    <xf numFmtId="0" fontId="23" fillId="15" borderId="39" xfId="0" applyFont="1" applyFill="1" applyBorder="1"/>
    <xf numFmtId="0" fontId="23" fillId="15" borderId="40" xfId="0" applyFont="1" applyFill="1" applyBorder="1"/>
    <xf numFmtId="0" fontId="23" fillId="0" borderId="39" xfId="0" applyFont="1" applyBorder="1"/>
    <xf numFmtId="0" fontId="23" fillId="0" borderId="19" xfId="0" applyFont="1" applyBorder="1"/>
    <xf numFmtId="0" fontId="23" fillId="0" borderId="40" xfId="0" applyFont="1" applyBorder="1"/>
    <xf numFmtId="0" fontId="23" fillId="18" borderId="28" xfId="0" applyFont="1" applyFill="1" applyBorder="1" applyAlignment="1">
      <alignment horizontal="center"/>
    </xf>
    <xf numFmtId="0" fontId="23" fillId="18" borderId="39" xfId="0" applyFont="1" applyFill="1" applyBorder="1"/>
    <xf numFmtId="0" fontId="23" fillId="18" borderId="19" xfId="0" applyFont="1" applyFill="1" applyBorder="1"/>
    <xf numFmtId="0" fontId="23" fillId="18" borderId="21" xfId="0" applyFont="1" applyFill="1" applyBorder="1"/>
    <xf numFmtId="0" fontId="23" fillId="18" borderId="40" xfId="0" applyFont="1" applyFill="1" applyBorder="1"/>
    <xf numFmtId="0" fontId="23" fillId="18" borderId="37" xfId="0" applyFont="1" applyFill="1" applyBorder="1"/>
    <xf numFmtId="0" fontId="23" fillId="18" borderId="20" xfId="0" applyFont="1" applyFill="1" applyBorder="1"/>
    <xf numFmtId="0" fontId="23" fillId="15" borderId="28" xfId="0" applyFont="1" applyFill="1" applyBorder="1"/>
    <xf numFmtId="0" fontId="23" fillId="15" borderId="38" xfId="0" applyFont="1" applyFill="1" applyBorder="1" applyAlignment="1">
      <alignment horizontal="center"/>
    </xf>
    <xf numFmtId="14" fontId="23" fillId="15" borderId="38" xfId="0" applyNumberFormat="1" applyFont="1" applyFill="1" applyBorder="1" applyAlignment="1">
      <alignment horizontal="center"/>
    </xf>
    <xf numFmtId="0" fontId="23" fillId="16" borderId="39" xfId="0" applyFont="1" applyFill="1" applyBorder="1"/>
    <xf numFmtId="0" fontId="23" fillId="0" borderId="35" xfId="0" applyFont="1" applyBorder="1"/>
    <xf numFmtId="0" fontId="23" fillId="0" borderId="36" xfId="0" applyFont="1" applyBorder="1"/>
    <xf numFmtId="0" fontId="23" fillId="0" borderId="20" xfId="0" applyFont="1" applyBorder="1"/>
    <xf numFmtId="0" fontId="23" fillId="18" borderId="38" xfId="0" applyFont="1" applyFill="1" applyBorder="1"/>
    <xf numFmtId="0" fontId="23" fillId="18" borderId="28" xfId="0" applyFont="1" applyFill="1" applyBorder="1"/>
    <xf numFmtId="0" fontId="23" fillId="15" borderId="42" xfId="0" applyFont="1" applyFill="1" applyBorder="1"/>
    <xf numFmtId="0" fontId="23" fillId="15" borderId="43" xfId="0" applyFont="1" applyFill="1" applyBorder="1" applyAlignment="1">
      <alignment horizontal="center"/>
    </xf>
    <xf numFmtId="14" fontId="23" fillId="15" borderId="43" xfId="0" applyNumberFormat="1" applyFont="1" applyFill="1" applyBorder="1" applyAlignment="1">
      <alignment horizontal="center"/>
    </xf>
    <xf numFmtId="14" fontId="23" fillId="15" borderId="42" xfId="0" applyNumberFormat="1" applyFont="1" applyFill="1" applyBorder="1" applyAlignment="1">
      <alignment horizontal="center"/>
    </xf>
    <xf numFmtId="0" fontId="23" fillId="15" borderId="44" xfId="0" applyFont="1" applyFill="1" applyBorder="1"/>
    <xf numFmtId="0" fontId="23" fillId="15" borderId="45" xfId="0" applyFont="1" applyFill="1" applyBorder="1"/>
    <xf numFmtId="0" fontId="23" fillId="0" borderId="45" xfId="0" applyFont="1" applyBorder="1"/>
    <xf numFmtId="0" fontId="23" fillId="0" borderId="41" xfId="0" applyFont="1" applyBorder="1"/>
    <xf numFmtId="0" fontId="23" fillId="16" borderId="45" xfId="0" applyFont="1" applyFill="1" applyBorder="1"/>
    <xf numFmtId="0" fontId="23" fillId="15" borderId="41" xfId="0" applyFont="1" applyFill="1" applyBorder="1"/>
    <xf numFmtId="14" fontId="0" fillId="15" borderId="0" xfId="0" applyNumberFormat="1" applyFill="1"/>
    <xf numFmtId="0" fontId="24" fillId="17" borderId="0" xfId="0" applyFont="1" applyFill="1"/>
    <xf numFmtId="0" fontId="24" fillId="0" borderId="0" xfId="0" applyFont="1"/>
    <xf numFmtId="0" fontId="16" fillId="0" borderId="15" xfId="0" quotePrefix="1" applyFont="1" applyBorder="1" applyAlignment="1">
      <alignment vertical="top" wrapText="1"/>
    </xf>
    <xf numFmtId="0" fontId="16" fillId="0" borderId="14" xfId="0" quotePrefix="1" applyFont="1" applyBorder="1" applyAlignment="1">
      <alignment horizontal="left" vertical="center" wrapText="1"/>
    </xf>
    <xf numFmtId="0" fontId="28" fillId="0" borderId="4" xfId="0" quotePrefix="1" applyFont="1" applyBorder="1" applyAlignment="1">
      <alignment vertical="top" wrapText="1"/>
    </xf>
    <xf numFmtId="0" fontId="29" fillId="0" borderId="4" xfId="0" quotePrefix="1" applyFont="1" applyBorder="1" applyAlignment="1">
      <alignment wrapText="1"/>
    </xf>
    <xf numFmtId="0" fontId="23" fillId="16" borderId="21" xfId="0" applyFont="1" applyFill="1" applyBorder="1"/>
    <xf numFmtId="0" fontId="30" fillId="0" borderId="15" xfId="5" applyFont="1" applyBorder="1" applyAlignment="1">
      <alignment vertical="center" wrapText="1"/>
    </xf>
    <xf numFmtId="43" fontId="31" fillId="0" borderId="4" xfId="46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7"/>
    </xf>
    <xf numFmtId="0" fontId="16" fillId="0" borderId="15" xfId="5" quotePrefix="1" applyFont="1" applyBorder="1" applyAlignment="1">
      <alignment vertical="center" wrapText="1"/>
    </xf>
    <xf numFmtId="0" fontId="31" fillId="0" borderId="4" xfId="0" applyFont="1" applyBorder="1" applyAlignment="1">
      <alignment wrapText="1"/>
    </xf>
    <xf numFmtId="0" fontId="0" fillId="0" borderId="14" xfId="0" applyBorder="1"/>
    <xf numFmtId="0" fontId="38" fillId="23" borderId="19" xfId="52" applyFont="1" applyFill="1" applyBorder="1" applyAlignment="1">
      <alignment horizontal="center" vertical="center"/>
    </xf>
    <xf numFmtId="0" fontId="40" fillId="0" borderId="0" xfId="54" applyFont="1"/>
    <xf numFmtId="0" fontId="38" fillId="23" borderId="2" xfId="52" applyFont="1" applyFill="1" applyBorder="1" applyAlignment="1">
      <alignment vertical="center"/>
    </xf>
    <xf numFmtId="0" fontId="38" fillId="23" borderId="51" xfId="52" applyFont="1" applyFill="1" applyBorder="1" applyAlignment="1">
      <alignment horizontal="center" vertical="center"/>
    </xf>
    <xf numFmtId="1" fontId="38" fillId="24" borderId="51" xfId="53" applyNumberFormat="1" applyFont="1" applyFill="1" applyBorder="1" applyAlignment="1">
      <alignment horizontal="center" vertical="center" wrapText="1"/>
    </xf>
    <xf numFmtId="4" fontId="38" fillId="24" borderId="51" xfId="53" applyNumberFormat="1" applyFont="1" applyFill="1" applyBorder="1" applyAlignment="1">
      <alignment horizontal="center" vertical="center" wrapText="1"/>
    </xf>
    <xf numFmtId="0" fontId="38" fillId="24" borderId="19" xfId="53" applyNumberFormat="1" applyFont="1" applyFill="1" applyBorder="1" applyAlignment="1">
      <alignment horizontal="left" vertical="center"/>
    </xf>
    <xf numFmtId="0" fontId="38" fillId="23" borderId="4" xfId="52" applyFont="1" applyFill="1" applyBorder="1" applyAlignment="1">
      <alignment vertical="center" wrapText="1"/>
    </xf>
    <xf numFmtId="0" fontId="38" fillId="23" borderId="52" xfId="52" applyFont="1" applyFill="1" applyBorder="1" applyAlignment="1">
      <alignment vertical="center" wrapText="1"/>
    </xf>
    <xf numFmtId="0" fontId="39" fillId="23" borderId="44" xfId="52" applyFont="1" applyFill="1" applyBorder="1" applyAlignment="1">
      <alignment vertical="center"/>
    </xf>
    <xf numFmtId="0" fontId="39" fillId="23" borderId="41" xfId="52" applyFont="1" applyFill="1" applyBorder="1" applyAlignment="1">
      <alignment vertical="center"/>
    </xf>
    <xf numFmtId="0" fontId="39" fillId="23" borderId="44" xfId="52" applyFont="1" applyFill="1" applyBorder="1" applyAlignment="1">
      <alignment vertical="center" wrapText="1"/>
    </xf>
    <xf numFmtId="0" fontId="39" fillId="23" borderId="41" xfId="52" applyFont="1" applyFill="1" applyBorder="1" applyAlignment="1">
      <alignment vertical="center" wrapText="1"/>
    </xf>
    <xf numFmtId="0" fontId="39" fillId="24" borderId="44" xfId="52" applyFont="1" applyFill="1" applyBorder="1" applyAlignment="1">
      <alignment vertical="center"/>
    </xf>
    <xf numFmtId="0" fontId="39" fillId="24" borderId="41" xfId="52" applyFont="1" applyFill="1" applyBorder="1" applyAlignment="1">
      <alignment vertical="center"/>
    </xf>
    <xf numFmtId="0" fontId="43" fillId="0" borderId="19" xfId="55" applyFont="1" applyFill="1" applyBorder="1" applyAlignment="1">
      <alignment horizontal="center"/>
    </xf>
    <xf numFmtId="0" fontId="43" fillId="0" borderId="19" xfId="55" applyFont="1" applyFill="1" applyBorder="1" applyAlignment="1">
      <alignment vertical="center" wrapText="1"/>
    </xf>
    <xf numFmtId="4" fontId="43" fillId="0" borderId="21" xfId="55" applyNumberFormat="1" applyFont="1" applyFill="1" applyBorder="1"/>
    <xf numFmtId="0" fontId="43" fillId="0" borderId="19" xfId="55" applyFont="1" applyFill="1" applyBorder="1" applyAlignment="1">
      <alignment horizontal="right" vertical="center" wrapText="1"/>
    </xf>
    <xf numFmtId="3" fontId="43" fillId="0" borderId="19" xfId="55" applyNumberFormat="1" applyFont="1" applyFill="1" applyBorder="1" applyAlignment="1">
      <alignment horizontal="right" vertical="center" wrapText="1"/>
    </xf>
    <xf numFmtId="43" fontId="43" fillId="0" borderId="53" xfId="56" applyFont="1" applyFill="1" applyBorder="1"/>
    <xf numFmtId="0" fontId="43" fillId="20" borderId="8" xfId="55" applyNumberFormat="1" applyFont="1" applyBorder="1"/>
    <xf numFmtId="0" fontId="43" fillId="20" borderId="54" xfId="55" applyFont="1" applyBorder="1"/>
    <xf numFmtId="43" fontId="43" fillId="20" borderId="55" xfId="55" applyNumberFormat="1" applyFont="1" applyBorder="1"/>
    <xf numFmtId="43" fontId="43" fillId="20" borderId="56" xfId="55" applyNumberFormat="1" applyFont="1" applyBorder="1"/>
    <xf numFmtId="9" fontId="43" fillId="20" borderId="56" xfId="55" applyNumberFormat="1" applyFont="1" applyBorder="1"/>
    <xf numFmtId="0" fontId="44" fillId="0" borderId="0" xfId="54" applyFont="1"/>
    <xf numFmtId="0" fontId="44" fillId="0" borderId="0" xfId="54" quotePrefix="1" applyFont="1"/>
    <xf numFmtId="0" fontId="43" fillId="0" borderId="19" xfId="58" applyFont="1" applyFill="1" applyBorder="1" applyAlignment="1">
      <alignment horizontal="center"/>
    </xf>
    <xf numFmtId="0" fontId="43" fillId="0" borderId="19" xfId="58" applyFont="1" applyFill="1" applyBorder="1" applyAlignment="1">
      <alignment vertical="center" wrapText="1"/>
    </xf>
    <xf numFmtId="4" fontId="43" fillId="0" borderId="21" xfId="58" applyNumberFormat="1" applyFont="1" applyFill="1" applyBorder="1"/>
    <xf numFmtId="0" fontId="43" fillId="0" borderId="19" xfId="58" applyFont="1" applyFill="1" applyBorder="1" applyAlignment="1">
      <alignment horizontal="right" vertical="center" wrapText="1"/>
    </xf>
    <xf numFmtId="3" fontId="43" fillId="0" borderId="19" xfId="58" applyNumberFormat="1" applyFont="1" applyFill="1" applyBorder="1" applyAlignment="1">
      <alignment horizontal="right" vertical="center" wrapText="1"/>
    </xf>
    <xf numFmtId="0" fontId="43" fillId="21" borderId="8" xfId="58" applyNumberFormat="1" applyFont="1" applyBorder="1"/>
    <xf numFmtId="0" fontId="43" fillId="21" borderId="54" xfId="58" applyFont="1" applyBorder="1"/>
    <xf numFmtId="43" fontId="43" fillId="21" borderId="55" xfId="58" applyNumberFormat="1" applyFont="1" applyBorder="1"/>
    <xf numFmtId="43" fontId="43" fillId="21" borderId="56" xfId="58" applyNumberFormat="1" applyFont="1" applyBorder="1"/>
    <xf numFmtId="9" fontId="43" fillId="21" borderId="56" xfId="58" applyNumberFormat="1" applyFont="1" applyBorder="1"/>
    <xf numFmtId="0" fontId="46" fillId="22" borderId="19" xfId="51" applyFont="1" applyBorder="1" applyAlignment="1">
      <alignment horizontal="center"/>
    </xf>
    <xf numFmtId="0" fontId="46" fillId="22" borderId="19" xfId="51" applyFont="1" applyBorder="1"/>
    <xf numFmtId="4" fontId="46" fillId="22" borderId="19" xfId="51" applyNumberFormat="1" applyFont="1" applyBorder="1"/>
    <xf numFmtId="0" fontId="44" fillId="0" borderId="10" xfId="53" applyNumberFormat="1" applyFont="1" applyBorder="1"/>
    <xf numFmtId="0" fontId="44" fillId="0" borderId="57" xfId="52" applyFont="1" applyBorder="1"/>
    <xf numFmtId="43" fontId="47" fillId="0" borderId="58" xfId="53" applyFont="1" applyBorder="1"/>
    <xf numFmtId="43" fontId="48" fillId="0" borderId="56" xfId="53" applyFont="1" applyBorder="1"/>
    <xf numFmtId="43" fontId="47" fillId="18" borderId="58" xfId="53" applyFont="1" applyFill="1" applyBorder="1"/>
    <xf numFmtId="43" fontId="48" fillId="18" borderId="59" xfId="52" applyNumberFormat="1" applyFont="1" applyFill="1" applyBorder="1"/>
    <xf numFmtId="43" fontId="44" fillId="18" borderId="58" xfId="52" applyNumberFormat="1" applyFont="1" applyFill="1" applyBorder="1"/>
    <xf numFmtId="9" fontId="44" fillId="18" borderId="59" xfId="57" applyFont="1" applyFill="1" applyBorder="1"/>
    <xf numFmtId="0" fontId="44" fillId="0" borderId="0" xfId="52" applyFont="1" applyAlignment="1">
      <alignment horizontal="center"/>
    </xf>
    <xf numFmtId="0" fontId="44" fillId="0" borderId="0" xfId="52" applyFont="1"/>
    <xf numFmtId="1" fontId="44" fillId="0" borderId="0" xfId="52" applyNumberFormat="1" applyFont="1"/>
    <xf numFmtId="4" fontId="44" fillId="0" borderId="0" xfId="52" applyNumberFormat="1" applyFont="1"/>
    <xf numFmtId="166" fontId="44" fillId="0" borderId="0" xfId="52" applyNumberFormat="1" applyFont="1"/>
    <xf numFmtId="0" fontId="44" fillId="0" borderId="48" xfId="52" applyFont="1" applyBorder="1"/>
    <xf numFmtId="43" fontId="39" fillId="0" borderId="0" xfId="52" applyNumberFormat="1" applyFont="1"/>
    <xf numFmtId="43" fontId="39" fillId="0" borderId="0" xfId="53" applyFont="1"/>
    <xf numFmtId="9" fontId="39" fillId="0" borderId="0" xfId="57" applyFont="1"/>
    <xf numFmtId="165" fontId="38" fillId="24" borderId="51" xfId="53" applyNumberFormat="1" applyFont="1" applyFill="1" applyBorder="1" applyAlignment="1">
      <alignment vertical="center" wrapText="1"/>
    </xf>
    <xf numFmtId="0" fontId="44" fillId="0" borderId="21" xfId="52" applyFont="1" applyBorder="1" applyAlignment="1">
      <alignment horizontal="center"/>
    </xf>
    <xf numFmtId="0" fontId="44" fillId="25" borderId="19" xfId="52" applyFont="1" applyFill="1" applyBorder="1" applyAlignment="1">
      <alignment vertical="center" wrapText="1"/>
    </xf>
    <xf numFmtId="166" fontId="44" fillId="26" borderId="19" xfId="53" applyNumberFormat="1" applyFont="1" applyFill="1" applyBorder="1"/>
    <xf numFmtId="0" fontId="44" fillId="0" borderId="19" xfId="52" applyFont="1" applyBorder="1"/>
    <xf numFmtId="0" fontId="46" fillId="22" borderId="0" xfId="51" applyFont="1" applyAlignment="1">
      <alignment horizontal="center"/>
    </xf>
    <xf numFmtId="0" fontId="46" fillId="22" borderId="0" xfId="51" applyFont="1"/>
    <xf numFmtId="166" fontId="46" fillId="22" borderId="0" xfId="51" applyNumberFormat="1" applyFont="1"/>
    <xf numFmtId="0" fontId="39" fillId="0" borderId="47" xfId="50" applyFont="1"/>
    <xf numFmtId="4" fontId="40" fillId="0" borderId="0" xfId="54" applyNumberFormat="1" applyFont="1"/>
    <xf numFmtId="0" fontId="43" fillId="20" borderId="15" xfId="55" applyNumberFormat="1" applyFont="1" applyBorder="1"/>
    <xf numFmtId="0" fontId="43" fillId="20" borderId="61" xfId="55" applyFont="1" applyBorder="1"/>
    <xf numFmtId="43" fontId="43" fillId="20" borderId="62" xfId="55" applyNumberFormat="1" applyFont="1" applyBorder="1"/>
    <xf numFmtId="43" fontId="43" fillId="20" borderId="63" xfId="55" applyNumberFormat="1" applyFont="1" applyBorder="1"/>
    <xf numFmtId="9" fontId="43" fillId="20" borderId="63" xfId="55" applyNumberFormat="1" applyFont="1" applyBorder="1"/>
    <xf numFmtId="0" fontId="49" fillId="0" borderId="0" xfId="54" applyFont="1"/>
    <xf numFmtId="0" fontId="46" fillId="0" borderId="0" xfId="54" applyFont="1"/>
    <xf numFmtId="2" fontId="46" fillId="0" borderId="0" xfId="54" applyNumberFormat="1" applyFont="1"/>
    <xf numFmtId="43" fontId="46" fillId="22" borderId="19" xfId="51" applyNumberFormat="1" applyFont="1" applyBorder="1"/>
    <xf numFmtId="43" fontId="39" fillId="0" borderId="47" xfId="50" applyNumberFormat="1" applyFont="1"/>
    <xf numFmtId="0" fontId="50" fillId="0" borderId="0" xfId="54" applyFont="1"/>
    <xf numFmtId="43" fontId="50" fillId="0" borderId="0" xfId="46" applyFont="1"/>
    <xf numFmtId="43" fontId="50" fillId="0" borderId="0" xfId="54" applyNumberFormat="1" applyFont="1"/>
    <xf numFmtId="43" fontId="40" fillId="0" borderId="0" xfId="54" applyNumberFormat="1" applyFont="1"/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38" fillId="23" borderId="21" xfId="52" applyFont="1" applyFill="1" applyBorder="1" applyAlignment="1">
      <alignment horizontal="center" vertical="center"/>
    </xf>
    <xf numFmtId="0" fontId="38" fillId="23" borderId="60" xfId="52" applyFont="1" applyFill="1" applyBorder="1" applyAlignment="1">
      <alignment horizontal="center" vertical="center"/>
    </xf>
    <xf numFmtId="0" fontId="38" fillId="23" borderId="19" xfId="52" applyFont="1" applyFill="1" applyBorder="1" applyAlignment="1">
      <alignment horizontal="center" vertical="center"/>
    </xf>
    <xf numFmtId="165" fontId="38" fillId="24" borderId="19" xfId="53" applyNumberFormat="1" applyFont="1" applyFill="1" applyBorder="1" applyAlignment="1">
      <alignment horizontal="center" vertical="center" wrapText="1"/>
    </xf>
    <xf numFmtId="165" fontId="38" fillId="24" borderId="19" xfId="53" applyNumberFormat="1" applyFont="1" applyFill="1" applyBorder="1" applyAlignment="1">
      <alignment horizontal="center" vertical="center"/>
    </xf>
    <xf numFmtId="0" fontId="39" fillId="23" borderId="48" xfId="52" applyFont="1" applyFill="1" applyBorder="1" applyAlignment="1">
      <alignment horizontal="center" vertical="center"/>
    </xf>
    <xf numFmtId="0" fontId="39" fillId="23" borderId="2" xfId="52" applyFont="1" applyFill="1" applyBorder="1" applyAlignment="1">
      <alignment horizontal="center" vertical="center"/>
    </xf>
    <xf numFmtId="0" fontId="39" fillId="24" borderId="49" xfId="52" applyFont="1" applyFill="1" applyBorder="1" applyAlignment="1">
      <alignment horizontal="center"/>
    </xf>
    <xf numFmtId="0" fontId="39" fillId="24" borderId="2" xfId="52" applyFont="1" applyFill="1" applyBorder="1" applyAlignment="1">
      <alignment horizontal="center"/>
    </xf>
    <xf numFmtId="0" fontId="39" fillId="23" borderId="31" xfId="52" applyFont="1" applyFill="1" applyBorder="1" applyAlignment="1">
      <alignment horizontal="center"/>
    </xf>
    <xf numFmtId="0" fontId="39" fillId="23" borderId="34" xfId="52" applyFont="1" applyFill="1" applyBorder="1" applyAlignment="1">
      <alignment horizontal="center"/>
    </xf>
    <xf numFmtId="0" fontId="39" fillId="23" borderId="49" xfId="52" applyFont="1" applyFill="1" applyBorder="1" applyAlignment="1">
      <alignment horizontal="center" wrapText="1"/>
    </xf>
    <xf numFmtId="0" fontId="39" fillId="23" borderId="2" xfId="52" applyFont="1" applyFill="1" applyBorder="1" applyAlignment="1">
      <alignment horizontal="center" wrapText="1"/>
    </xf>
    <xf numFmtId="0" fontId="41" fillId="24" borderId="50" xfId="52" applyFont="1" applyFill="1" applyBorder="1" applyAlignment="1">
      <alignment horizontal="center"/>
    </xf>
    <xf numFmtId="0" fontId="41" fillId="24" borderId="15" xfId="52" applyFont="1" applyFill="1" applyBorder="1" applyAlignment="1">
      <alignment horizontal="center"/>
    </xf>
  </cellXfs>
  <cellStyles count="59">
    <cellStyle name="Accent4" xfId="51" builtinId="41"/>
    <cellStyle name="Comma" xfId="46" builtinId="3"/>
    <cellStyle name="Comma 10" xfId="56" xr:uid="{00000000-0005-0000-0000-000002000000}"/>
    <cellStyle name="Comma 2" xfId="4" xr:uid="{00000000-0005-0000-0000-000003000000}"/>
    <cellStyle name="Comma 2 2" xfId="11" xr:uid="{00000000-0005-0000-0000-000004000000}"/>
    <cellStyle name="Comma 2 2 2" xfId="14" xr:uid="{00000000-0005-0000-0000-000005000000}"/>
    <cellStyle name="Comma 2 2 2 2" xfId="29" xr:uid="{00000000-0005-0000-0000-000006000000}"/>
    <cellStyle name="Comma 2 2 3" xfId="17" xr:uid="{00000000-0005-0000-0000-000007000000}"/>
    <cellStyle name="Comma 2 2 3 2" xfId="32" xr:uid="{00000000-0005-0000-0000-000008000000}"/>
    <cellStyle name="Comma 2 2 4" xfId="26" xr:uid="{00000000-0005-0000-0000-000009000000}"/>
    <cellStyle name="Comma 2 3" xfId="13" xr:uid="{00000000-0005-0000-0000-00000A000000}"/>
    <cellStyle name="Comma 2 3 2" xfId="28" xr:uid="{00000000-0005-0000-0000-00000B000000}"/>
    <cellStyle name="Comma 2 4" xfId="16" xr:uid="{00000000-0005-0000-0000-00000C000000}"/>
    <cellStyle name="Comma 2 4 2" xfId="31" xr:uid="{00000000-0005-0000-0000-00000D000000}"/>
    <cellStyle name="Comma 2 5" xfId="21" xr:uid="{00000000-0005-0000-0000-00000E000000}"/>
    <cellStyle name="Comma 2 6" xfId="25" xr:uid="{00000000-0005-0000-0000-00000F000000}"/>
    <cellStyle name="Comma 2 7" xfId="10" xr:uid="{00000000-0005-0000-0000-000010000000}"/>
    <cellStyle name="Comma 2 8" xfId="45" xr:uid="{00000000-0005-0000-0000-000011000000}"/>
    <cellStyle name="Comma 2 9" xfId="49" xr:uid="{00000000-0005-0000-0000-000012000000}"/>
    <cellStyle name="Comma 3" xfId="1" xr:uid="{00000000-0005-0000-0000-000013000000}"/>
    <cellStyle name="Comma 3 2" xfId="35" xr:uid="{00000000-0005-0000-0000-000014000000}"/>
    <cellStyle name="Comma 3 2 2" xfId="37" xr:uid="{00000000-0005-0000-0000-000015000000}"/>
    <cellStyle name="Comma 3 3" xfId="18" xr:uid="{00000000-0005-0000-0000-000016000000}"/>
    <cellStyle name="Comma 4" xfId="6" xr:uid="{00000000-0005-0000-0000-000017000000}"/>
    <cellStyle name="Comma 4 2" xfId="40" xr:uid="{00000000-0005-0000-0000-000018000000}"/>
    <cellStyle name="Comma 4 3" xfId="20" xr:uid="{00000000-0005-0000-0000-000019000000}"/>
    <cellStyle name="Comma 4 4" xfId="53" xr:uid="{00000000-0005-0000-0000-00001A000000}"/>
    <cellStyle name="Comma 5" xfId="38" xr:uid="{00000000-0005-0000-0000-00001B000000}"/>
    <cellStyle name="Comma 6" xfId="41" xr:uid="{00000000-0005-0000-0000-00001C000000}"/>
    <cellStyle name="Comma 7" xfId="22" xr:uid="{00000000-0005-0000-0000-00001D000000}"/>
    <cellStyle name="Comma 8" xfId="44" xr:uid="{00000000-0005-0000-0000-00001E000000}"/>
    <cellStyle name="Comma 9" xfId="48" xr:uid="{00000000-0005-0000-0000-00001F000000}"/>
    <cellStyle name="Explanatory Text 2" xfId="34" xr:uid="{00000000-0005-0000-0000-000020000000}"/>
    <cellStyle name="Good 2" xfId="55" xr:uid="{00000000-0005-0000-0000-000021000000}"/>
    <cellStyle name="Neutral 2" xfId="58" xr:uid="{00000000-0005-0000-0000-000022000000}"/>
    <cellStyle name="Normal" xfId="0" builtinId="0"/>
    <cellStyle name="Normal 14 4 2 2" xfId="3" xr:uid="{00000000-0005-0000-0000-000024000000}"/>
    <cellStyle name="Normal 14 4 2 2 2" xfId="7" xr:uid="{00000000-0005-0000-0000-000025000000}"/>
    <cellStyle name="Normal 14 4 2 2 3" xfId="39" xr:uid="{00000000-0005-0000-0000-000026000000}"/>
    <cellStyle name="Normal 2" xfId="5" xr:uid="{00000000-0005-0000-0000-000027000000}"/>
    <cellStyle name="Normal 2 2" xfId="9" xr:uid="{00000000-0005-0000-0000-000028000000}"/>
    <cellStyle name="Normal 2 2 2" xfId="24" xr:uid="{00000000-0005-0000-0000-000029000000}"/>
    <cellStyle name="Normal 2 3" xfId="12" xr:uid="{00000000-0005-0000-0000-00002A000000}"/>
    <cellStyle name="Normal 2 3 2" xfId="27" xr:uid="{00000000-0005-0000-0000-00002B000000}"/>
    <cellStyle name="Normal 2 3 2 2" xfId="36" xr:uid="{00000000-0005-0000-0000-00002C000000}"/>
    <cellStyle name="Normal 2 4" xfId="15" xr:uid="{00000000-0005-0000-0000-00002D000000}"/>
    <cellStyle name="Normal 2 4 2" xfId="30" xr:uid="{00000000-0005-0000-0000-00002E000000}"/>
    <cellStyle name="Normal 2 5" xfId="23" xr:uid="{00000000-0005-0000-0000-00002F000000}"/>
    <cellStyle name="Normal 2 6" xfId="43" xr:uid="{00000000-0005-0000-0000-000030000000}"/>
    <cellStyle name="Normal 3" xfId="2" xr:uid="{00000000-0005-0000-0000-000031000000}"/>
    <cellStyle name="Normal 3 2" xfId="19" xr:uid="{00000000-0005-0000-0000-000032000000}"/>
    <cellStyle name="Normal 3 3" xfId="52" xr:uid="{00000000-0005-0000-0000-000033000000}"/>
    <cellStyle name="Normal 4" xfId="8" xr:uid="{00000000-0005-0000-0000-000034000000}"/>
    <cellStyle name="Normal 5" xfId="42" xr:uid="{00000000-0005-0000-0000-000035000000}"/>
    <cellStyle name="Normal 6" xfId="47" xr:uid="{00000000-0005-0000-0000-000036000000}"/>
    <cellStyle name="Normal 7" xfId="54" xr:uid="{00000000-0005-0000-0000-000037000000}"/>
    <cellStyle name="Note 2" xfId="33" xr:uid="{00000000-0005-0000-0000-000038000000}"/>
    <cellStyle name="Percent 2" xfId="57" xr:uid="{00000000-0005-0000-0000-000039000000}"/>
    <cellStyle name="Total" xfId="50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customXml" Target="../customXml/item3.xml"/><Relationship Id="rId21" Type="http://schemas.openxmlformats.org/officeDocument/2006/relationships/externalLink" Target="externalLinks/externalLink1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8226</xdr:colOff>
      <xdr:row>2</xdr:row>
      <xdr:rowOff>54428</xdr:rowOff>
    </xdr:from>
    <xdr:to>
      <xdr:col>6</xdr:col>
      <xdr:colOff>7620</xdr:colOff>
      <xdr:row>2</xdr:row>
      <xdr:rowOff>175260</xdr:rowOff>
    </xdr:to>
    <xdr:sp macro="" textlink="">
      <xdr:nvSpPr>
        <xdr:cNvPr id="2" name="Left-Right Arrow 1">
          <a:extLst>
            <a:ext uri="{FF2B5EF4-FFF2-40B4-BE49-F238E27FC236}">
              <a16:creationId xmlns:a16="http://schemas.microsoft.com/office/drawing/2014/main" id="{059921FB-E65C-4C21-8DDA-2972B5B1B162}"/>
            </a:ext>
          </a:extLst>
        </xdr:cNvPr>
        <xdr:cNvSpPr/>
      </xdr:nvSpPr>
      <xdr:spPr>
        <a:xfrm>
          <a:off x="4269076" y="444953"/>
          <a:ext cx="313719" cy="124007"/>
        </a:xfrm>
        <a:prstGeom prst="left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5</xdr:col>
      <xdr:colOff>123824</xdr:colOff>
      <xdr:row>5</xdr:row>
      <xdr:rowOff>6985</xdr:rowOff>
    </xdr:from>
    <xdr:to>
      <xdr:col>6</xdr:col>
      <xdr:colOff>276224</xdr:colOff>
      <xdr:row>5</xdr:row>
      <xdr:rowOff>180975</xdr:rowOff>
    </xdr:to>
    <xdr:sp macro="" textlink="">
      <xdr:nvSpPr>
        <xdr:cNvPr id="3" name="Left-Right Arrow 1">
          <a:extLst>
            <a:ext uri="{FF2B5EF4-FFF2-40B4-BE49-F238E27FC236}">
              <a16:creationId xmlns:a16="http://schemas.microsoft.com/office/drawing/2014/main" id="{12C1D07A-BB0B-4F9D-B995-AFADECD64A19}"/>
            </a:ext>
          </a:extLst>
        </xdr:cNvPr>
        <xdr:cNvSpPr/>
      </xdr:nvSpPr>
      <xdr:spPr>
        <a:xfrm>
          <a:off x="4381499" y="997585"/>
          <a:ext cx="619125" cy="173990"/>
        </a:xfrm>
        <a:prstGeom prst="left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8</xdr:col>
      <xdr:colOff>102031</xdr:colOff>
      <xdr:row>12</xdr:row>
      <xdr:rowOff>83396</xdr:rowOff>
    </xdr:from>
    <xdr:to>
      <xdr:col>10</xdr:col>
      <xdr:colOff>52070</xdr:colOff>
      <xdr:row>13</xdr:row>
      <xdr:rowOff>53340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F053B6-5EC6-4CFC-BF49-2F26E3D158AD}"/>
            </a:ext>
          </a:extLst>
        </xdr:cNvPr>
        <xdr:cNvSpPr txBox="1"/>
      </xdr:nvSpPr>
      <xdr:spPr>
        <a:xfrm>
          <a:off x="5305856" y="2477346"/>
          <a:ext cx="572339" cy="144569"/>
        </a:xfrm>
        <a:prstGeom prst="rect">
          <a:avLst/>
        </a:prstGeom>
        <a:solidFill>
          <a:srgbClr val="F8FCF6"/>
        </a:solidFill>
        <a:ln w="25400" cmpd="sng">
          <a:solidFill>
            <a:srgbClr val="FF0000"/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000"/>
            <a:t>Golive</a:t>
          </a:r>
          <a:endParaRPr lang="th-TH" sz="1000"/>
        </a:p>
      </xdr:txBody>
    </xdr:sp>
    <xdr:clientData/>
  </xdr:twoCellAnchor>
  <xdr:twoCellAnchor>
    <xdr:from>
      <xdr:col>5</xdr:col>
      <xdr:colOff>8226</xdr:colOff>
      <xdr:row>3</xdr:row>
      <xdr:rowOff>54428</xdr:rowOff>
    </xdr:from>
    <xdr:to>
      <xdr:col>6</xdr:col>
      <xdr:colOff>7620</xdr:colOff>
      <xdr:row>3</xdr:row>
      <xdr:rowOff>175260</xdr:rowOff>
    </xdr:to>
    <xdr:sp macro="" textlink="">
      <xdr:nvSpPr>
        <xdr:cNvPr id="5" name="Left-Right Arrow 1">
          <a:extLst>
            <a:ext uri="{FF2B5EF4-FFF2-40B4-BE49-F238E27FC236}">
              <a16:creationId xmlns:a16="http://schemas.microsoft.com/office/drawing/2014/main" id="{A1A0A415-E92D-42B4-87E2-DBFAE7820F09}"/>
            </a:ext>
          </a:extLst>
        </xdr:cNvPr>
        <xdr:cNvSpPr/>
      </xdr:nvSpPr>
      <xdr:spPr>
        <a:xfrm>
          <a:off x="4269076" y="644978"/>
          <a:ext cx="313719" cy="124007"/>
        </a:xfrm>
        <a:prstGeom prst="left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6</xdr:col>
      <xdr:colOff>53975</xdr:colOff>
      <xdr:row>6</xdr:row>
      <xdr:rowOff>38553</xdr:rowOff>
    </xdr:from>
    <xdr:to>
      <xdr:col>6</xdr:col>
      <xdr:colOff>458470</xdr:colOff>
      <xdr:row>6</xdr:row>
      <xdr:rowOff>177800</xdr:rowOff>
    </xdr:to>
    <xdr:sp macro="" textlink="">
      <xdr:nvSpPr>
        <xdr:cNvPr id="6" name="Left-Right Arrow 1">
          <a:extLst>
            <a:ext uri="{FF2B5EF4-FFF2-40B4-BE49-F238E27FC236}">
              <a16:creationId xmlns:a16="http://schemas.microsoft.com/office/drawing/2014/main" id="{8A59231E-06A8-4205-B6C8-B93C27F76D95}"/>
            </a:ext>
          </a:extLst>
        </xdr:cNvPr>
        <xdr:cNvSpPr/>
      </xdr:nvSpPr>
      <xdr:spPr>
        <a:xfrm>
          <a:off x="4778375" y="1229178"/>
          <a:ext cx="404495" cy="139247"/>
        </a:xfrm>
        <a:prstGeom prst="left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7</xdr:col>
      <xdr:colOff>6350</xdr:colOff>
      <xdr:row>7</xdr:row>
      <xdr:rowOff>35378</xdr:rowOff>
    </xdr:from>
    <xdr:to>
      <xdr:col>7</xdr:col>
      <xdr:colOff>458470</xdr:colOff>
      <xdr:row>7</xdr:row>
      <xdr:rowOff>180975</xdr:rowOff>
    </xdr:to>
    <xdr:sp macro="" textlink="">
      <xdr:nvSpPr>
        <xdr:cNvPr id="7" name="Left-Right Arrow 1">
          <a:extLst>
            <a:ext uri="{FF2B5EF4-FFF2-40B4-BE49-F238E27FC236}">
              <a16:creationId xmlns:a16="http://schemas.microsoft.com/office/drawing/2014/main" id="{C6DF9D61-C429-480D-AE87-1F7B9C3017D3}"/>
            </a:ext>
          </a:extLst>
        </xdr:cNvPr>
        <xdr:cNvSpPr/>
      </xdr:nvSpPr>
      <xdr:spPr>
        <a:xfrm>
          <a:off x="5197475" y="1426028"/>
          <a:ext cx="452120" cy="145597"/>
        </a:xfrm>
        <a:prstGeom prst="left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7</xdr:col>
      <xdr:colOff>104775</xdr:colOff>
      <xdr:row>8</xdr:row>
      <xdr:rowOff>35378</xdr:rowOff>
    </xdr:from>
    <xdr:to>
      <xdr:col>8</xdr:col>
      <xdr:colOff>10795</xdr:colOff>
      <xdr:row>8</xdr:row>
      <xdr:rowOff>180975</xdr:rowOff>
    </xdr:to>
    <xdr:sp macro="" textlink="">
      <xdr:nvSpPr>
        <xdr:cNvPr id="8" name="Left-Right Arrow 1">
          <a:extLst>
            <a:ext uri="{FF2B5EF4-FFF2-40B4-BE49-F238E27FC236}">
              <a16:creationId xmlns:a16="http://schemas.microsoft.com/office/drawing/2014/main" id="{49D982E5-5D0E-44D1-A9D0-6E005893FA0A}"/>
            </a:ext>
          </a:extLst>
        </xdr:cNvPr>
        <xdr:cNvSpPr/>
      </xdr:nvSpPr>
      <xdr:spPr>
        <a:xfrm>
          <a:off x="5295900" y="1626053"/>
          <a:ext cx="372745" cy="145597"/>
        </a:xfrm>
        <a:prstGeom prst="left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8</xdr:col>
      <xdr:colOff>0</xdr:colOff>
      <xdr:row>11</xdr:row>
      <xdr:rowOff>27305</xdr:rowOff>
    </xdr:from>
    <xdr:to>
      <xdr:col>8</xdr:col>
      <xdr:colOff>438150</xdr:colOff>
      <xdr:row>11</xdr:row>
      <xdr:rowOff>171450</xdr:rowOff>
    </xdr:to>
    <xdr:sp macro="" textlink="">
      <xdr:nvSpPr>
        <xdr:cNvPr id="10" name="Left-Right Arrow 1">
          <a:extLst>
            <a:ext uri="{FF2B5EF4-FFF2-40B4-BE49-F238E27FC236}">
              <a16:creationId xmlns:a16="http://schemas.microsoft.com/office/drawing/2014/main" id="{B0E0BECF-1F54-40A5-9D7C-05A5DE6B8A6D}"/>
            </a:ext>
          </a:extLst>
        </xdr:cNvPr>
        <xdr:cNvSpPr/>
      </xdr:nvSpPr>
      <xdr:spPr>
        <a:xfrm>
          <a:off x="5657850" y="2218055"/>
          <a:ext cx="438150" cy="144145"/>
        </a:xfrm>
        <a:prstGeom prst="left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  <xdr:twoCellAnchor>
    <xdr:from>
      <xdr:col>8</xdr:col>
      <xdr:colOff>371474</xdr:colOff>
      <xdr:row>11</xdr:row>
      <xdr:rowOff>28574</xdr:rowOff>
    </xdr:from>
    <xdr:to>
      <xdr:col>9</xdr:col>
      <xdr:colOff>113740</xdr:colOff>
      <xdr:row>12</xdr:row>
      <xdr:rowOff>19050</xdr:rowOff>
    </xdr:to>
    <xdr:sp macro="" textlink="">
      <xdr:nvSpPr>
        <xdr:cNvPr id="11" name="5-Point Star 18">
          <a:extLst>
            <a:ext uri="{FF2B5EF4-FFF2-40B4-BE49-F238E27FC236}">
              <a16:creationId xmlns:a16="http://schemas.microsoft.com/office/drawing/2014/main" id="{19BA52F1-B815-4EDC-9784-893056F0CF5C}"/>
            </a:ext>
          </a:extLst>
        </xdr:cNvPr>
        <xdr:cNvSpPr/>
      </xdr:nvSpPr>
      <xdr:spPr>
        <a:xfrm>
          <a:off x="6029324" y="2219324"/>
          <a:ext cx="208991" cy="190501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ln>
              <a:solidFill>
                <a:srgbClr val="FF0000"/>
              </a:solidFill>
            </a:ln>
          </a:endParaRPr>
        </a:p>
      </xdr:txBody>
    </xdr:sp>
    <xdr:clientData/>
  </xdr:twoCellAnchor>
  <xdr:twoCellAnchor>
    <xdr:from>
      <xdr:col>7</xdr:col>
      <xdr:colOff>133350</xdr:colOff>
      <xdr:row>9</xdr:row>
      <xdr:rowOff>15875</xdr:rowOff>
    </xdr:from>
    <xdr:to>
      <xdr:col>8</xdr:col>
      <xdr:colOff>406400</xdr:colOff>
      <xdr:row>9</xdr:row>
      <xdr:rowOff>171450</xdr:rowOff>
    </xdr:to>
    <xdr:sp macro="" textlink="">
      <xdr:nvSpPr>
        <xdr:cNvPr id="12" name="Left-Right Arrow 1">
          <a:extLst>
            <a:ext uri="{FF2B5EF4-FFF2-40B4-BE49-F238E27FC236}">
              <a16:creationId xmlns:a16="http://schemas.microsoft.com/office/drawing/2014/main" id="{15228D6A-6DAC-4856-9B30-A80ADBCFB8FD}"/>
            </a:ext>
          </a:extLst>
        </xdr:cNvPr>
        <xdr:cNvSpPr/>
      </xdr:nvSpPr>
      <xdr:spPr>
        <a:xfrm>
          <a:off x="5324475" y="1806575"/>
          <a:ext cx="739775" cy="155575"/>
        </a:xfrm>
        <a:prstGeom prst="leftRightArrow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th-TH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itkanereng-xp/My%20Documents/WINDOWS/Temporary%20Internet%20Files/Content.IE5/D0WRDD4X/DATA/POO/DATA_MO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raeAoM/01%20Project/PTT/PTT/03%20Key%20Requirement_Gap_Change%20impact/01%20FI-CO/02%20CO/01%20CC/PC-UR-Key%20Business%20Requirement-V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PTT/99-Tasks/20160620-PTT%20Authorization%20Project/Deliverables-Process%20&amp;%20Forms/PTT%20Authorization%20Request%20%20Form/PTT%20Authorization%20Request%20Form%20v0.0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rngrud.t/AppData/Local/Microsoft/Windows/INetCache/Content.Outlook/Q4KK5WDR/Report_2023-02-24_POT%20with%20C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ttgrp.sharepoint.com/Users/560021/AppData/Local/Microsoft/Windows/Temporary%20Internet%20Files/Content.Outlook/DLH0MNVF/OIL%20GA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phaendin/Google%2520Drive/01%2520Work/00%2520PTT%2520BPC%2520Implementation/01%2520Project%2520Management/Template/Backup/2405002965-IG-Cut%2520over%2520Plan%2520Phase%25202%2520COOI-V15_Summary%252020150528%2520S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ttgrp-fs-s01/pttict2/2019/PTTGroup/DCAP/DCAP_Assessment%20Questions_FI%20V0_0_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00%2520COOI/010%2520Project%2520Implement/03%2520Realization/01%2520Data%2520Conversion/00%2520IG/Template/2405002965-MM-Cut%2520over%2520Plan%2520Phase%25202%2520COOI-V0.0.3-Templat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k/Z-Project/PTT%20Support/GTM-Re%20Org/172.17.15.220/H2O%20Project/010%20Project%20Implementation/12%20Enhancement/01%20FI-CO-BCS/01%20FI/FI-AA/03%20Signed-off/AA-UR-Enhancement%20List-VF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/My%20project/PTT_H2O/99%20Deliverables/Design%20Phase/LO-UR-Process%20Gap%20Analysis-VFF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Project/11%20PTTICT%202017/GAS%20Support/ZZ_Other/LNG-SAT/PTT-LNG-SAT_SD-KBR-Key%20Business%20Requirement-V.0.0.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ttintranet.pttgrp.com/INV%20Template%20Ver%201.3/INV%20Template%20Ver%201.3/INV/INV-P01-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Proposal_RITM0039519-11%20Dimension%20and%20Effort%20iRPC%20v3%20301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raeAoM/01%20Project/PTT/PTT/03%20Key%20Requirement_Gap_Change%20impact/01%20FI-CO/02%20CO/01%20CC/CC-UR-Key%20Business%20Requirement-VF-tes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dministrator/AppData/Local/Microsoft/Windows/Temporary%2520Internet%2520Files/Content.Outlook/CEI8NL8C/COOI%2520%2520Conversion%2520Calenda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65990975/AR-EN-Enhancement%20List-V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k/Z-Project/PTT%20Support/GTM-Re%20Org/172.17.15.220/H2O%20Project/010%20Project%20Implementation/12%20Enhancement/12%20Development/12.0%20ABAP%20Dev%20Plan/01%20FI-CO-BCS/01%20FI/03%20Signed-off/AR-EN-Enhancement%20List-V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H2O%20Project/010%20Project%20Implementation/06%20Prototype/13%20Integration/Prototype%20Scenario/IG-Prototype%20Scenario%20Tracking%20Shee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k/Z-Project/PTT%20Support/GTM-Re%20Org/172.17.15.220/H2O%20Project/010%20Project%20Implementation/12%20Enhancement/07%20PM/03%20Signed-off/PM-Enhancement%20List-20110331-VF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H2O%20Project/010%20Project%20Implementation/07%20Testing/08%20SD-IS%20OIL-LO-PP/Unit%20Test/01%20SD/SD%20Gas/SD-UnitTestControlSheet-Gas-V5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65990975/AA-EN-Enhancement%20List-VF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k/Z-Project/PTT%20Support/GTM-Re%20Org/172.17.15.220/H2O%20Project/010%20Project%20Implementation/12%20Enhancement/12%20Development/12.0%20ABAP%20Dev%20Plan/01%20FI-CO-BCS/01%20FI/03%20Signed-off/AA-EN-Enhancement%20List-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โครงสร้างราคา"/>
      <sheetName val="retail"/>
      <sheetName val="CRUDE-M"/>
      <sheetName val="CRUDE-D"/>
      <sheetName val="S'PORE-M"/>
      <sheetName val="S'PORE-D"/>
      <sheetName val="PO97(02)"/>
      <sheetName val="POSTF1"/>
      <sheetName val="POSTHD1"/>
      <sheetName val="POSTLP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ersion Control"/>
      <sheetName val="Process list"/>
      <sheetName val="Process Requirement"/>
      <sheetName val="Naming Conversion"/>
      <sheetName val="Parameter"/>
      <sheetName val="Version_Control"/>
      <sheetName val="Process_list"/>
      <sheetName val="Process_Requirement"/>
      <sheetName val="Naming_Conver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 Valu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"/>
      <sheetName val="Ref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ำแนะนำ"/>
      <sheetName val="Summary"/>
      <sheetName val="SCP"/>
      <sheetName val="SDO-A"/>
      <sheetName val="SDO-B"/>
      <sheetName val="SDO-F"/>
      <sheetName val="SDO-H"/>
      <sheetName val="SDO-L"/>
      <sheetName val="SDO-R"/>
      <sheetName val="SDO-S"/>
      <sheetName val="CSM-C"/>
      <sheetName val="CSM-I"/>
      <sheetName val="SDI-E"/>
      <sheetName val="SDI-D"/>
      <sheetName val="SDI-N"/>
      <sheetName val="CSB"/>
      <sheetName val="Description_Project Plan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"/>
      <sheetName val="Data Validation List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ersion Control"/>
      <sheetName val="Process List"/>
      <sheetName val="Gap Analysis and Resolution"/>
      <sheetName val="Naming Conversion"/>
      <sheetName val="Value List"/>
      <sheetName val="Version_Control"/>
      <sheetName val="Process_List"/>
      <sheetName val="Gap_Analysis_and_Resolution"/>
      <sheetName val="Naming_Conversion"/>
      <sheetName val="Value_List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ersion Control"/>
      <sheetName val="Process Requirement"/>
      <sheetName val="Naming Conversion"/>
      <sheetName val="Parameter"/>
      <sheetName val="Sheet1"/>
      <sheetName val="Sheet2"/>
      <sheetName val="Sheet3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-P01-A"/>
      <sheetName val="Master"/>
      <sheetName val="INV_LIST"/>
      <sheetName val="Index"/>
      <sheetName val="Definition การปรับงบ OPEX"/>
      <sheetName val="Definition การทบทวนงบ CAPEX"/>
      <sheetName val="Sheet2"/>
      <sheetName val="Sheet3"/>
      <sheetName val="Sheet1"/>
      <sheetName val="แบบฟอร์ม 3.2 สรุปครุภัณฑ์ 61"/>
      <sheetName val="Definition_การปรับงบ_OPEX1"/>
      <sheetName val="Definition_การทบทวนงบ_CAPEX1"/>
      <sheetName val="Definition_การปรับงบ_OPEX"/>
      <sheetName val="Definition_การทบทวนงบ_CAPEX"/>
      <sheetName val="Definition_การปรับงบ_OPEX2"/>
      <sheetName val="Definition_การทบทวนงบ_CAPEX2"/>
      <sheetName val="Definition_การปรับงบ_OPEX3"/>
      <sheetName val="Definition_การทบทวนงบ_CAPEX3"/>
      <sheetName val="AGP"/>
      <sheetName val="ประเภทเหตุผล OPEX"/>
      <sheetName val="ประเภทเหตุผล CAPEX"/>
      <sheetName val="ประเภทเหตุผล"/>
      <sheetName val="Data Validation"/>
      <sheetName val="WP Master List"/>
      <sheetName val="OPEX List Drop Down"/>
      <sheetName val="XZLC003_PART1"/>
      <sheetName val="Project Capital"/>
      <sheetName val="Summary Financials"/>
      <sheetName val="Revenue &amp; Cash Flows"/>
      <sheetName val="General Inf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TM0039519"/>
      <sheetName val="Budget RITM0039519"/>
      <sheetName val="Requirement"/>
      <sheetName val="Estimated Effort"/>
      <sheetName val="Other service"/>
      <sheetName val="Meeting iRPC"/>
      <sheetName val="Draft PPS"/>
      <sheetName val="Note"/>
      <sheetName val="Ref. WBS"/>
      <sheetName val="ALL -&gt;"/>
      <sheetName val="11 Dimensions"/>
      <sheetName val="ABAP Effort"/>
      <sheetName val="UAT Scenarios"/>
      <sheetName val="Legacy-Assessment"/>
      <sheetName val="AM-IM-FTE"/>
      <sheetName val="999_MSRP"/>
      <sheetName val="999_Loaded Rate 2016-Q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C1">
            <v>0</v>
          </cell>
        </row>
        <row r="2">
          <cell r="A2" t="str">
            <v>Level</v>
          </cell>
          <cell r="C2" t="str">
            <v>Manday Rate</v>
          </cell>
        </row>
        <row r="3">
          <cell r="A3" t="str">
            <v>VP</v>
          </cell>
          <cell r="C3">
            <v>39200</v>
          </cell>
        </row>
        <row r="4">
          <cell r="A4" t="str">
            <v>Sr.Manager</v>
          </cell>
          <cell r="B4">
            <v>0</v>
          </cell>
          <cell r="C4">
            <v>24100</v>
          </cell>
        </row>
        <row r="5">
          <cell r="A5" t="str">
            <v>Manager</v>
          </cell>
          <cell r="B5">
            <v>0</v>
          </cell>
          <cell r="C5">
            <v>22000</v>
          </cell>
        </row>
        <row r="6">
          <cell r="A6" t="str">
            <v>Sr.Officer</v>
          </cell>
          <cell r="B6">
            <v>0</v>
          </cell>
          <cell r="C6">
            <v>14000</v>
          </cell>
        </row>
        <row r="7">
          <cell r="A7" t="str">
            <v>Officer</v>
          </cell>
          <cell r="B7">
            <v>0</v>
          </cell>
          <cell r="C7">
            <v>8500</v>
          </cell>
        </row>
        <row r="8">
          <cell r="A8" t="str">
            <v>Associate Officer/Programmer</v>
          </cell>
          <cell r="B8">
            <v>0</v>
          </cell>
          <cell r="C8">
            <v>5500</v>
          </cell>
        </row>
        <row r="9">
          <cell r="A9" t="str">
            <v>Zyen ABAPER</v>
          </cell>
          <cell r="B9">
            <v>0</v>
          </cell>
          <cell r="C9">
            <v>7500</v>
          </cell>
        </row>
        <row r="10">
          <cell r="A10" t="str">
            <v>Zyen ABAPER (NM)</v>
          </cell>
          <cell r="B10">
            <v>0</v>
          </cell>
          <cell r="C10">
            <v>8000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7">
          <cell r="A17" t="str">
            <v>Section</v>
          </cell>
          <cell r="B17">
            <v>0</v>
          </cell>
          <cell r="C17" t="str">
            <v>Charged Item</v>
          </cell>
        </row>
        <row r="18">
          <cell r="A18" t="str">
            <v>PTT ICT</v>
          </cell>
          <cell r="C18" t="str">
            <v>Implementation</v>
          </cell>
        </row>
        <row r="19">
          <cell r="A19" t="str">
            <v>Vendor</v>
          </cell>
          <cell r="C19" t="str">
            <v>Hardware</v>
          </cell>
        </row>
        <row r="20">
          <cell r="C20" t="str">
            <v>Software</v>
          </cell>
        </row>
        <row r="21">
          <cell r="C21" t="str">
            <v>Expense</v>
          </cell>
        </row>
      </sheetData>
      <sheetData sheetId="16">
        <row r="1">
          <cell r="F1" t="str">
            <v>Name Short</v>
          </cell>
          <cell r="G1" t="str">
            <v>CostCode</v>
          </cell>
          <cell r="H1" t="str">
            <v>Company</v>
          </cell>
          <cell r="I1" t="str">
            <v>Loaded Rate</v>
          </cell>
          <cell r="J1" t="str">
            <v>Loaded Rate
(Day)</v>
          </cell>
        </row>
        <row r="2">
          <cell r="F2" t="str">
            <v>adisak.n</v>
          </cell>
          <cell r="G2" t="str">
            <v>SA03</v>
          </cell>
          <cell r="H2" t="str">
            <v>PTTEP</v>
          </cell>
          <cell r="I2">
            <v>1282.5357142857142</v>
          </cell>
          <cell r="J2">
            <v>15800.84</v>
          </cell>
        </row>
        <row r="3">
          <cell r="F3" t="str">
            <v>akachai.y</v>
          </cell>
          <cell r="G3" t="str">
            <v>AN05</v>
          </cell>
          <cell r="H3" t="str">
            <v>PTTICT</v>
          </cell>
          <cell r="I3">
            <v>446.91101694915255</v>
          </cell>
          <cell r="J3">
            <v>5505.9437288135596</v>
          </cell>
        </row>
        <row r="4">
          <cell r="F4" t="str">
            <v>akarachai.a</v>
          </cell>
          <cell r="G4" t="str">
            <v>SA03</v>
          </cell>
          <cell r="H4" t="str">
            <v>PTTICT</v>
          </cell>
          <cell r="I4">
            <v>765.72563559322032</v>
          </cell>
          <cell r="J4">
            <v>9433.7398305084753</v>
          </cell>
        </row>
        <row r="5">
          <cell r="F5" t="str">
            <v>akkaphon.n</v>
          </cell>
          <cell r="G5" t="str">
            <v>AN03</v>
          </cell>
          <cell r="H5" t="str">
            <v>PTTICT</v>
          </cell>
          <cell r="I5">
            <v>425.29184322033899</v>
          </cell>
          <cell r="J5">
            <v>5239.5955084745765</v>
          </cell>
        </row>
        <row r="6">
          <cell r="F6" t="str">
            <v>aleena.t</v>
          </cell>
          <cell r="G6" t="str">
            <v>SA02</v>
          </cell>
          <cell r="H6" t="str">
            <v>PTTICT</v>
          </cell>
          <cell r="I6">
            <v>599.20868644067798</v>
          </cell>
          <cell r="J6">
            <v>7382.2510169491525</v>
          </cell>
        </row>
        <row r="7">
          <cell r="F7" t="str">
            <v>amornsak.p</v>
          </cell>
          <cell r="G7" t="str">
            <v>SA01</v>
          </cell>
          <cell r="H7" t="str">
            <v>PTTICT</v>
          </cell>
          <cell r="I7">
            <v>487.73887711864404</v>
          </cell>
          <cell r="J7">
            <v>6008.9429661016948</v>
          </cell>
        </row>
        <row r="8">
          <cell r="F8" t="str">
            <v>anake.p</v>
          </cell>
          <cell r="G8" t="str">
            <v>SA06</v>
          </cell>
          <cell r="H8" t="str">
            <v>PTTICT</v>
          </cell>
          <cell r="I8">
            <v>953.00529661016947</v>
          </cell>
          <cell r="J8">
            <v>11741.025254237287</v>
          </cell>
        </row>
        <row r="9">
          <cell r="F9" t="str">
            <v>anawin.e</v>
          </cell>
          <cell r="G9" t="str">
            <v>SA02</v>
          </cell>
          <cell r="H9" t="str">
            <v>PTTICT</v>
          </cell>
          <cell r="I9">
            <v>599.20868644067798</v>
          </cell>
          <cell r="J9">
            <v>7382.2510169491525</v>
          </cell>
        </row>
        <row r="10">
          <cell r="F10" t="str">
            <v>annop.r</v>
          </cell>
          <cell r="G10" t="str">
            <v>AN05</v>
          </cell>
          <cell r="H10" t="str">
            <v>PTTICT</v>
          </cell>
          <cell r="I10">
            <v>446.91101694915255</v>
          </cell>
          <cell r="J10">
            <v>5505.9437288135596</v>
          </cell>
        </row>
        <row r="11">
          <cell r="F11" t="str">
            <v>anocha.u</v>
          </cell>
          <cell r="G11" t="str">
            <v>AN01</v>
          </cell>
          <cell r="H11" t="str">
            <v>PTTICT</v>
          </cell>
          <cell r="I11">
            <v>272.47828389830511</v>
          </cell>
          <cell r="J11">
            <v>3356.9324576271192</v>
          </cell>
        </row>
        <row r="12">
          <cell r="F12" t="str">
            <v>anucha.c</v>
          </cell>
          <cell r="G12" t="str">
            <v>AN05</v>
          </cell>
          <cell r="H12" t="str">
            <v>PTTICT</v>
          </cell>
          <cell r="I12">
            <v>446.91101694915255</v>
          </cell>
          <cell r="J12">
            <v>5505.9437288135596</v>
          </cell>
        </row>
        <row r="13">
          <cell r="F13" t="str">
            <v>anuchit.c</v>
          </cell>
          <cell r="G13" t="str">
            <v>MG04</v>
          </cell>
          <cell r="H13" t="str">
            <v>PTT</v>
          </cell>
          <cell r="I13">
            <v>1607.9334415584415</v>
          </cell>
          <cell r="J13">
            <v>19809.739999999998</v>
          </cell>
        </row>
        <row r="14">
          <cell r="F14" t="str">
            <v>anut.c</v>
          </cell>
          <cell r="G14" t="str">
            <v>AN01</v>
          </cell>
          <cell r="H14" t="str">
            <v>PTTICT</v>
          </cell>
          <cell r="I14">
            <v>272.47828389830511</v>
          </cell>
          <cell r="J14">
            <v>3356.9324576271192</v>
          </cell>
        </row>
        <row r="15">
          <cell r="F15" t="str">
            <v>aphichat.n</v>
          </cell>
          <cell r="G15" t="str">
            <v>SA02</v>
          </cell>
          <cell r="H15" t="str">
            <v>PTTICT</v>
          </cell>
          <cell r="I15">
            <v>599.20868644067798</v>
          </cell>
          <cell r="J15">
            <v>7382.2510169491525</v>
          </cell>
        </row>
        <row r="16">
          <cell r="F16" t="str">
            <v>apichaluck.c</v>
          </cell>
          <cell r="G16" t="str">
            <v>AN05</v>
          </cell>
          <cell r="H16" t="str">
            <v>PTTICT</v>
          </cell>
          <cell r="I16">
            <v>446.91101694915255</v>
          </cell>
          <cell r="J16">
            <v>5505.9437288135596</v>
          </cell>
        </row>
        <row r="17">
          <cell r="F17" t="str">
            <v>apichat.m</v>
          </cell>
          <cell r="G17" t="str">
            <v>AN02</v>
          </cell>
          <cell r="H17" t="str">
            <v>PTTICT</v>
          </cell>
          <cell r="I17">
            <v>345.64088983050846</v>
          </cell>
          <cell r="J17">
            <v>4258.295762711864</v>
          </cell>
        </row>
        <row r="18">
          <cell r="F18" t="str">
            <v>apinun.b</v>
          </cell>
          <cell r="G18" t="str">
            <v>MG04</v>
          </cell>
          <cell r="H18" t="str">
            <v>PTTEP</v>
          </cell>
          <cell r="I18">
            <v>1537.0097402597403</v>
          </cell>
          <cell r="J18">
            <v>18935.96</v>
          </cell>
        </row>
        <row r="19">
          <cell r="F19" t="str">
            <v>apiwat.b</v>
          </cell>
          <cell r="G19" t="str">
            <v>SA06</v>
          </cell>
          <cell r="H19" t="str">
            <v>PTTEP</v>
          </cell>
          <cell r="I19">
            <v>1437.7608225108224</v>
          </cell>
          <cell r="J19">
            <v>17713.213333333333</v>
          </cell>
        </row>
        <row r="20">
          <cell r="F20" t="str">
            <v>arisa.p</v>
          </cell>
          <cell r="G20" t="str">
            <v>SA02</v>
          </cell>
          <cell r="H20" t="str">
            <v>PTTICT</v>
          </cell>
          <cell r="I20">
            <v>599.20868644067798</v>
          </cell>
          <cell r="J20">
            <v>7382.2510169491525</v>
          </cell>
        </row>
        <row r="21">
          <cell r="F21" t="str">
            <v>ariya.k</v>
          </cell>
          <cell r="G21" t="str">
            <v>SA06</v>
          </cell>
          <cell r="H21" t="str">
            <v>PTTICT</v>
          </cell>
          <cell r="I21">
            <v>953.00529661016947</v>
          </cell>
          <cell r="J21">
            <v>11741.025254237287</v>
          </cell>
        </row>
        <row r="22">
          <cell r="F22" t="str">
            <v>arunrote.k</v>
          </cell>
          <cell r="G22" t="str">
            <v>AN05</v>
          </cell>
          <cell r="H22" t="str">
            <v>PTTICT</v>
          </cell>
          <cell r="I22">
            <v>446.91101694915255</v>
          </cell>
          <cell r="J22">
            <v>5505.9437288135596</v>
          </cell>
        </row>
        <row r="23">
          <cell r="F23" t="str">
            <v>arunya.c</v>
          </cell>
          <cell r="G23" t="str">
            <v>MG05</v>
          </cell>
          <cell r="H23" t="str">
            <v>PTTICT</v>
          </cell>
          <cell r="I23">
            <v>1771.2164502164503</v>
          </cell>
          <cell r="J23">
            <v>21821.386666666669</v>
          </cell>
        </row>
        <row r="24">
          <cell r="F24" t="str">
            <v>atawee.y</v>
          </cell>
          <cell r="G24" t="str">
            <v>SA03</v>
          </cell>
          <cell r="H24" t="str">
            <v>PTTICT</v>
          </cell>
          <cell r="I24">
            <v>765.72563559322032</v>
          </cell>
          <cell r="J24">
            <v>9433.7398305084753</v>
          </cell>
        </row>
        <row r="25">
          <cell r="F25" t="str">
            <v>athita.a</v>
          </cell>
          <cell r="G25" t="str">
            <v>MG03</v>
          </cell>
          <cell r="H25" t="str">
            <v>PTT</v>
          </cell>
          <cell r="I25">
            <v>1358.2754329004329</v>
          </cell>
          <cell r="J25">
            <v>16733.953333333335</v>
          </cell>
        </row>
        <row r="26">
          <cell r="F26" t="str">
            <v>attayoot.p</v>
          </cell>
          <cell r="G26" t="str">
            <v>SA04</v>
          </cell>
          <cell r="H26" t="str">
            <v>PTTICT</v>
          </cell>
          <cell r="I26">
            <v>638.34639830508479</v>
          </cell>
          <cell r="J26">
            <v>7864.4276271186445</v>
          </cell>
        </row>
        <row r="27">
          <cell r="F27" t="str">
            <v>benjaluk.y</v>
          </cell>
          <cell r="G27" t="str">
            <v>SA01</v>
          </cell>
          <cell r="H27" t="str">
            <v>PTTICT</v>
          </cell>
          <cell r="I27">
            <v>487.73887711864404</v>
          </cell>
          <cell r="J27">
            <v>6008.9429661016948</v>
          </cell>
        </row>
        <row r="28">
          <cell r="F28" t="str">
            <v>benjo.j</v>
          </cell>
          <cell r="G28" t="str">
            <v>AN05</v>
          </cell>
          <cell r="H28" t="str">
            <v>PTTICT</v>
          </cell>
          <cell r="I28">
            <v>446.91101694915255</v>
          </cell>
          <cell r="J28">
            <v>5505.9437288135596</v>
          </cell>
        </row>
        <row r="29">
          <cell r="F29" t="str">
            <v>benyapa.a</v>
          </cell>
          <cell r="G29" t="str">
            <v>AN03</v>
          </cell>
          <cell r="H29" t="str">
            <v>PTTICT</v>
          </cell>
          <cell r="I29">
            <v>425.29184322033899</v>
          </cell>
          <cell r="J29">
            <v>5239.5955084745765</v>
          </cell>
        </row>
        <row r="30">
          <cell r="F30" t="str">
            <v>bongkoch.r</v>
          </cell>
          <cell r="G30" t="str">
            <v>AN05</v>
          </cell>
          <cell r="H30" t="str">
            <v>PTTICT</v>
          </cell>
          <cell r="I30">
            <v>446.91101694915255</v>
          </cell>
          <cell r="J30">
            <v>5505.9437288135596</v>
          </cell>
        </row>
        <row r="31">
          <cell r="F31" t="str">
            <v>boonrueng.t</v>
          </cell>
          <cell r="G31" t="str">
            <v>VP01</v>
          </cell>
          <cell r="H31" t="str">
            <v>PTTEP</v>
          </cell>
          <cell r="I31">
            <v>2078.4837662337663</v>
          </cell>
          <cell r="J31">
            <v>25606.920000000002</v>
          </cell>
        </row>
        <row r="32">
          <cell r="F32" t="str">
            <v>boonsomsak.p</v>
          </cell>
          <cell r="G32" t="str">
            <v>SA04</v>
          </cell>
          <cell r="H32" t="str">
            <v>PTTEP</v>
          </cell>
          <cell r="I32">
            <v>704.25</v>
          </cell>
          <cell r="J32">
            <v>8676.36</v>
          </cell>
        </row>
        <row r="33">
          <cell r="F33" t="str">
            <v>boonsong.l</v>
          </cell>
          <cell r="G33" t="str">
            <v>SM02</v>
          </cell>
          <cell r="H33" t="str">
            <v>PTTGC</v>
          </cell>
          <cell r="I33">
            <v>2237.8085930735933</v>
          </cell>
          <cell r="J33">
            <v>27569.801866666672</v>
          </cell>
        </row>
        <row r="34">
          <cell r="F34" t="str">
            <v>boonyapat.p</v>
          </cell>
          <cell r="G34" t="str">
            <v>AN05</v>
          </cell>
          <cell r="H34" t="str">
            <v>PTTICT</v>
          </cell>
          <cell r="I34">
            <v>446.91101694915255</v>
          </cell>
          <cell r="J34">
            <v>5505.9437288135596</v>
          </cell>
        </row>
        <row r="35">
          <cell r="F35" t="str">
            <v>borvonwan.p</v>
          </cell>
          <cell r="G35" t="str">
            <v>SA06</v>
          </cell>
          <cell r="H35" t="str">
            <v>PTTEP</v>
          </cell>
          <cell r="I35">
            <v>1437.7608225108224</v>
          </cell>
          <cell r="J35">
            <v>17713.213333333333</v>
          </cell>
        </row>
        <row r="36">
          <cell r="F36" t="str">
            <v>buchaya.r</v>
          </cell>
          <cell r="G36" t="str">
            <v>SA01</v>
          </cell>
          <cell r="H36" t="str">
            <v>PTTICT</v>
          </cell>
          <cell r="I36">
            <v>487.73887711864404</v>
          </cell>
          <cell r="J36">
            <v>6008.9429661016948</v>
          </cell>
        </row>
        <row r="37">
          <cell r="F37" t="str">
            <v>burin.y</v>
          </cell>
          <cell r="G37" t="str">
            <v>MG03</v>
          </cell>
          <cell r="H37" t="str">
            <v>PTTICT</v>
          </cell>
          <cell r="I37">
            <v>1046.5573593073593</v>
          </cell>
          <cell r="J37">
            <v>12893.586666666668</v>
          </cell>
        </row>
        <row r="38">
          <cell r="F38" t="str">
            <v>busakorn.i</v>
          </cell>
          <cell r="G38" t="str">
            <v>MG04</v>
          </cell>
          <cell r="H38" t="str">
            <v>PTT</v>
          </cell>
          <cell r="I38">
            <v>1607.9334415584415</v>
          </cell>
          <cell r="J38">
            <v>19809.739999999998</v>
          </cell>
        </row>
        <row r="39">
          <cell r="F39" t="str">
            <v>chaiwut.c</v>
          </cell>
          <cell r="G39" t="str">
            <v>SA06</v>
          </cell>
          <cell r="H39" t="str">
            <v>PTTICT</v>
          </cell>
          <cell r="I39">
            <v>953.00529661016947</v>
          </cell>
          <cell r="J39">
            <v>11741.025254237287</v>
          </cell>
        </row>
        <row r="40">
          <cell r="F40" t="str">
            <v>chaiyapol.w</v>
          </cell>
          <cell r="G40" t="str">
            <v>SA06</v>
          </cell>
          <cell r="H40" t="str">
            <v>PTTICT</v>
          </cell>
          <cell r="I40">
            <v>953.00529661016947</v>
          </cell>
          <cell r="J40">
            <v>11741.025254237287</v>
          </cell>
        </row>
        <row r="41">
          <cell r="F41" t="str">
            <v>chaiyapurk.j</v>
          </cell>
          <cell r="G41" t="str">
            <v>AN06</v>
          </cell>
          <cell r="H41" t="str">
            <v>PTTICT</v>
          </cell>
          <cell r="I41">
            <v>534.14036016949149</v>
          </cell>
          <cell r="J41">
            <v>6580.6092372881349</v>
          </cell>
        </row>
        <row r="42">
          <cell r="F42" t="str">
            <v>chanatip.s</v>
          </cell>
          <cell r="G42" t="str">
            <v>AN02</v>
          </cell>
          <cell r="H42" t="str">
            <v>PTTICT</v>
          </cell>
          <cell r="I42">
            <v>345.64088983050846</v>
          </cell>
          <cell r="J42">
            <v>4258.295762711864</v>
          </cell>
        </row>
        <row r="43">
          <cell r="F43" t="str">
            <v>chanin.m</v>
          </cell>
          <cell r="G43" t="str">
            <v>SA05</v>
          </cell>
          <cell r="H43" t="str">
            <v>PTTICT</v>
          </cell>
          <cell r="I43">
            <v>712.57309322033893</v>
          </cell>
          <cell r="J43">
            <v>8778.900508474575</v>
          </cell>
        </row>
        <row r="44">
          <cell r="F44" t="str">
            <v>channarongwet.s</v>
          </cell>
          <cell r="G44" t="str">
            <v>AN06</v>
          </cell>
          <cell r="H44" t="str">
            <v>PTTICT</v>
          </cell>
          <cell r="I44">
            <v>534.14036016949149</v>
          </cell>
          <cell r="J44">
            <v>6580.6092372881349</v>
          </cell>
        </row>
        <row r="45">
          <cell r="F45" t="str">
            <v>chanprapa.t</v>
          </cell>
          <cell r="G45" t="str">
            <v>SA06</v>
          </cell>
          <cell r="H45" t="str">
            <v>PTTICT</v>
          </cell>
          <cell r="I45">
            <v>953.00529661016947</v>
          </cell>
          <cell r="J45">
            <v>11741.025254237287</v>
          </cell>
        </row>
        <row r="46">
          <cell r="F46" t="str">
            <v>charoen.n</v>
          </cell>
          <cell r="G46" t="str">
            <v>SA05</v>
          </cell>
          <cell r="H46" t="str">
            <v>PTTICT</v>
          </cell>
          <cell r="I46">
            <v>712.57309322033893</v>
          </cell>
          <cell r="J46">
            <v>8778.900508474575</v>
          </cell>
        </row>
        <row r="47">
          <cell r="F47" t="str">
            <v>chatchai.w</v>
          </cell>
          <cell r="G47" t="str">
            <v>SA04</v>
          </cell>
          <cell r="H47" t="str">
            <v>PTTICT</v>
          </cell>
          <cell r="I47">
            <v>638.34639830508479</v>
          </cell>
          <cell r="J47">
            <v>7864.4276271186445</v>
          </cell>
        </row>
        <row r="48">
          <cell r="F48" t="str">
            <v>chatchanun.k</v>
          </cell>
          <cell r="G48" t="str">
            <v>AN01</v>
          </cell>
          <cell r="H48" t="str">
            <v>PTTICT</v>
          </cell>
          <cell r="I48">
            <v>272.47828389830511</v>
          </cell>
          <cell r="J48">
            <v>3356.9324576271192</v>
          </cell>
        </row>
        <row r="49">
          <cell r="F49" t="str">
            <v>chatchapon.p</v>
          </cell>
          <cell r="G49" t="str">
            <v>AN04</v>
          </cell>
          <cell r="H49" t="str">
            <v>PTTICT</v>
          </cell>
          <cell r="I49">
            <v>363.23728813559325</v>
          </cell>
          <cell r="J49">
            <v>4475.0833898305091</v>
          </cell>
        </row>
        <row r="50">
          <cell r="F50" t="str">
            <v>chatlada.t</v>
          </cell>
          <cell r="G50" t="str">
            <v>AN03</v>
          </cell>
          <cell r="H50" t="str">
            <v>PTTICT</v>
          </cell>
          <cell r="I50">
            <v>425.29184322033899</v>
          </cell>
          <cell r="J50">
            <v>5239.5955084745765</v>
          </cell>
        </row>
        <row r="51">
          <cell r="F51" t="str">
            <v>chattrabhorn.m</v>
          </cell>
          <cell r="G51" t="str">
            <v>AN05</v>
          </cell>
          <cell r="H51" t="str">
            <v>PTTICT</v>
          </cell>
          <cell r="I51">
            <v>446.91101694915255</v>
          </cell>
          <cell r="J51">
            <v>5505.9437288135596</v>
          </cell>
        </row>
        <row r="52">
          <cell r="F52" t="str">
            <v>chawalita.l</v>
          </cell>
          <cell r="G52" t="str">
            <v>SA02</v>
          </cell>
          <cell r="H52" t="str">
            <v>PTTICT</v>
          </cell>
          <cell r="I52">
            <v>599.20868644067798</v>
          </cell>
          <cell r="J52">
            <v>7382.2510169491525</v>
          </cell>
        </row>
        <row r="53">
          <cell r="F53" t="str">
            <v>chawanat.c</v>
          </cell>
          <cell r="G53" t="str">
            <v>AN02</v>
          </cell>
          <cell r="H53" t="str">
            <v>PTTICT</v>
          </cell>
          <cell r="I53">
            <v>345.64088983050846</v>
          </cell>
          <cell r="J53">
            <v>4258.295762711864</v>
          </cell>
        </row>
        <row r="54">
          <cell r="F54" t="str">
            <v>chayamon.d</v>
          </cell>
          <cell r="G54" t="str">
            <v>AN01</v>
          </cell>
          <cell r="H54" t="str">
            <v>PTTICT</v>
          </cell>
          <cell r="I54">
            <v>272.47828389830511</v>
          </cell>
          <cell r="J54">
            <v>3356.9324576271192</v>
          </cell>
        </row>
        <row r="55">
          <cell r="F55" t="str">
            <v>chedsada.r</v>
          </cell>
          <cell r="G55" t="str">
            <v>AN06</v>
          </cell>
          <cell r="H55" t="str">
            <v>PTTICT</v>
          </cell>
          <cell r="I55">
            <v>534.14036016949149</v>
          </cell>
          <cell r="J55">
            <v>6580.6092372881349</v>
          </cell>
        </row>
        <row r="56">
          <cell r="F56" t="str">
            <v>chintana.t</v>
          </cell>
          <cell r="G56" t="str">
            <v>SA06</v>
          </cell>
          <cell r="H56" t="str">
            <v>PTTGC</v>
          </cell>
          <cell r="I56">
            <v>1281.4376190476189</v>
          </cell>
          <cell r="J56">
            <v>15787.311466666666</v>
          </cell>
        </row>
        <row r="57">
          <cell r="F57" t="str">
            <v>chokchai.p</v>
          </cell>
          <cell r="G57" t="str">
            <v>MG04</v>
          </cell>
          <cell r="H57" t="str">
            <v>PTTICT</v>
          </cell>
          <cell r="I57">
            <v>1203.1028138528138</v>
          </cell>
          <cell r="J57">
            <v>14822.226666666667</v>
          </cell>
        </row>
        <row r="58">
          <cell r="F58" t="str">
            <v>cholticha.t</v>
          </cell>
          <cell r="G58" t="str">
            <v>SA02</v>
          </cell>
          <cell r="H58" t="str">
            <v>PTTICT</v>
          </cell>
          <cell r="I58">
            <v>599.20868644067798</v>
          </cell>
          <cell r="J58">
            <v>7382.2510169491525</v>
          </cell>
        </row>
        <row r="59">
          <cell r="F59" t="str">
            <v>chompoonuch.p</v>
          </cell>
          <cell r="G59" t="str">
            <v>AN02</v>
          </cell>
          <cell r="H59" t="str">
            <v>PTTICT</v>
          </cell>
          <cell r="I59">
            <v>345.64088983050846</v>
          </cell>
          <cell r="J59">
            <v>4258.295762711864</v>
          </cell>
        </row>
        <row r="60">
          <cell r="F60" t="str">
            <v>chompunuch.r</v>
          </cell>
          <cell r="G60" t="str">
            <v>MG05</v>
          </cell>
          <cell r="H60" t="str">
            <v>PTTGC</v>
          </cell>
          <cell r="I60">
            <v>1958.9550865800866</v>
          </cell>
          <cell r="J60">
            <v>24134.326666666668</v>
          </cell>
        </row>
        <row r="61">
          <cell r="F61" t="str">
            <v>choochai.p</v>
          </cell>
          <cell r="G61" t="str">
            <v>SA04</v>
          </cell>
          <cell r="H61" t="str">
            <v>PTT</v>
          </cell>
          <cell r="I61">
            <v>903.99783549783547</v>
          </cell>
          <cell r="J61">
            <v>11137.253333333334</v>
          </cell>
        </row>
        <row r="62">
          <cell r="F62" t="str">
            <v>chotiros.k</v>
          </cell>
          <cell r="G62" t="str">
            <v>AN04</v>
          </cell>
          <cell r="H62" t="str">
            <v>PTTICT</v>
          </cell>
          <cell r="I62">
            <v>363.23728813559325</v>
          </cell>
          <cell r="J62">
            <v>4475.0833898305091</v>
          </cell>
        </row>
        <row r="63">
          <cell r="F63" t="str">
            <v>chutinathorn.t</v>
          </cell>
          <cell r="G63" t="str">
            <v>AN06</v>
          </cell>
          <cell r="H63" t="str">
            <v>PTTICT</v>
          </cell>
          <cell r="I63">
            <v>534.14036016949149</v>
          </cell>
          <cell r="J63">
            <v>6580.6092372881349</v>
          </cell>
        </row>
        <row r="64">
          <cell r="F64" t="str">
            <v>deena.u</v>
          </cell>
          <cell r="G64" t="str">
            <v>MG05</v>
          </cell>
          <cell r="H64" t="str">
            <v>PTTEP</v>
          </cell>
          <cell r="I64">
            <v>2199.5292207792209</v>
          </cell>
          <cell r="J64">
            <v>27098.2</v>
          </cell>
        </row>
        <row r="65">
          <cell r="F65" t="str">
            <v>denchart.p</v>
          </cell>
          <cell r="G65" t="str">
            <v>AN05</v>
          </cell>
          <cell r="H65" t="str">
            <v>PTTICT</v>
          </cell>
          <cell r="I65">
            <v>446.91101694915255</v>
          </cell>
          <cell r="J65">
            <v>5505.9437288135596</v>
          </cell>
        </row>
        <row r="66">
          <cell r="F66" t="str">
            <v>duangjaichanok.d</v>
          </cell>
          <cell r="G66" t="str">
            <v>AN01</v>
          </cell>
          <cell r="H66" t="str">
            <v>PTTICT</v>
          </cell>
          <cell r="I66">
            <v>272.47828389830511</v>
          </cell>
          <cell r="J66">
            <v>3356.9324576271192</v>
          </cell>
        </row>
        <row r="67">
          <cell r="F67" t="str">
            <v>eakarach.t</v>
          </cell>
          <cell r="G67" t="str">
            <v>SA01</v>
          </cell>
          <cell r="H67" t="str">
            <v>PTTICT</v>
          </cell>
          <cell r="I67">
            <v>487.73887711864404</v>
          </cell>
          <cell r="J67">
            <v>6008.9429661016948</v>
          </cell>
        </row>
        <row r="68">
          <cell r="F68" t="str">
            <v>eakchai.j</v>
          </cell>
          <cell r="G68" t="str">
            <v>AN06</v>
          </cell>
          <cell r="H68" t="str">
            <v>PTTICT</v>
          </cell>
          <cell r="I68">
            <v>534.14036016949149</v>
          </cell>
          <cell r="J68">
            <v>6580.6092372881349</v>
          </cell>
        </row>
        <row r="69">
          <cell r="F69" t="str">
            <v>eakong.a</v>
          </cell>
          <cell r="G69" t="str">
            <v>SA02</v>
          </cell>
          <cell r="H69" t="str">
            <v>PTTICT</v>
          </cell>
          <cell r="I69">
            <v>599.20868644067798</v>
          </cell>
          <cell r="J69">
            <v>7382.2510169491525</v>
          </cell>
        </row>
        <row r="70">
          <cell r="F70" t="str">
            <v>ekaraj.p</v>
          </cell>
          <cell r="G70" t="str">
            <v>AN05</v>
          </cell>
          <cell r="H70" t="str">
            <v>PTTICT</v>
          </cell>
          <cell r="I70">
            <v>446.91101694915255</v>
          </cell>
          <cell r="J70">
            <v>5505.9437288135596</v>
          </cell>
        </row>
        <row r="71">
          <cell r="F71" t="str">
            <v>ekkaluk.w</v>
          </cell>
          <cell r="G71" t="str">
            <v>AN05</v>
          </cell>
          <cell r="H71" t="str">
            <v>PTTICT</v>
          </cell>
          <cell r="I71">
            <v>446.91101694915255</v>
          </cell>
          <cell r="J71">
            <v>5505.9437288135596</v>
          </cell>
        </row>
        <row r="72">
          <cell r="F72" t="str">
            <v>ekkapong.k</v>
          </cell>
          <cell r="G72" t="str">
            <v>AN04</v>
          </cell>
          <cell r="H72" t="str">
            <v>PTTICT</v>
          </cell>
          <cell r="I72">
            <v>363.23728813559325</v>
          </cell>
          <cell r="J72">
            <v>4475.0833898305091</v>
          </cell>
        </row>
        <row r="73">
          <cell r="F73" t="str">
            <v>ekkarat.m</v>
          </cell>
          <cell r="G73" t="str">
            <v>AN05</v>
          </cell>
          <cell r="H73" t="str">
            <v>PTTICT</v>
          </cell>
          <cell r="I73">
            <v>446.91101694915255</v>
          </cell>
          <cell r="J73">
            <v>5505.9437288135596</v>
          </cell>
        </row>
        <row r="74">
          <cell r="F74" t="str">
            <v>gedsarin.k</v>
          </cell>
          <cell r="G74" t="str">
            <v>AN05</v>
          </cell>
          <cell r="H74" t="str">
            <v>PTTICT</v>
          </cell>
          <cell r="I74">
            <v>446.91101694915255</v>
          </cell>
          <cell r="J74">
            <v>5505.9437288135596</v>
          </cell>
        </row>
        <row r="75">
          <cell r="F75" t="str">
            <v>gitisak.p</v>
          </cell>
          <cell r="G75" t="str">
            <v>SA04</v>
          </cell>
          <cell r="H75" t="str">
            <v>PTT</v>
          </cell>
          <cell r="I75">
            <v>903.99783549783547</v>
          </cell>
          <cell r="J75">
            <v>11137.253333333334</v>
          </cell>
        </row>
        <row r="76">
          <cell r="F76" t="str">
            <v>haemwaan.s</v>
          </cell>
          <cell r="G76" t="str">
            <v>SA03</v>
          </cell>
          <cell r="H76" t="str">
            <v>PTTICT</v>
          </cell>
          <cell r="I76">
            <v>765.72563559322032</v>
          </cell>
          <cell r="J76">
            <v>9433.7398305084753</v>
          </cell>
        </row>
        <row r="77">
          <cell r="F77" t="str">
            <v>isaraporn.t</v>
          </cell>
          <cell r="G77" t="str">
            <v>AN04</v>
          </cell>
          <cell r="H77" t="str">
            <v>PTTICT</v>
          </cell>
          <cell r="I77">
            <v>363.23728813559325</v>
          </cell>
          <cell r="J77">
            <v>4475.0833898305091</v>
          </cell>
        </row>
        <row r="78">
          <cell r="F78" t="str">
            <v>issara.s</v>
          </cell>
          <cell r="G78" t="str">
            <v>AN02</v>
          </cell>
          <cell r="H78" t="str">
            <v>PTTICT</v>
          </cell>
          <cell r="I78">
            <v>345.64088983050846</v>
          </cell>
          <cell r="J78">
            <v>4258.295762711864</v>
          </cell>
        </row>
        <row r="79">
          <cell r="F79" t="str">
            <v>itsariya.s</v>
          </cell>
          <cell r="G79" t="str">
            <v>AN01</v>
          </cell>
          <cell r="H79" t="str">
            <v>PTTICT</v>
          </cell>
          <cell r="I79">
            <v>272.47828389830511</v>
          </cell>
          <cell r="J79">
            <v>3356.9324576271192</v>
          </cell>
        </row>
        <row r="80">
          <cell r="F80" t="str">
            <v>ittipat.t</v>
          </cell>
          <cell r="G80" t="str">
            <v>SA06</v>
          </cell>
          <cell r="H80" t="str">
            <v>PTTICT</v>
          </cell>
          <cell r="I80">
            <v>953.00529661016947</v>
          </cell>
          <cell r="J80">
            <v>11741.025254237287</v>
          </cell>
        </row>
        <row r="81">
          <cell r="F81" t="str">
            <v>ittipol.p</v>
          </cell>
          <cell r="G81" t="str">
            <v>AN05</v>
          </cell>
          <cell r="H81" t="str">
            <v>PTTICT</v>
          </cell>
          <cell r="I81">
            <v>446.91101694915255</v>
          </cell>
          <cell r="J81">
            <v>5505.9437288135596</v>
          </cell>
        </row>
        <row r="82">
          <cell r="F82" t="str">
            <v>ittipol.w</v>
          </cell>
          <cell r="G82" t="str">
            <v>MG04</v>
          </cell>
          <cell r="H82" t="str">
            <v>PTT</v>
          </cell>
          <cell r="I82">
            <v>1607.9334415584415</v>
          </cell>
          <cell r="J82">
            <v>19809.739999999998</v>
          </cell>
        </row>
        <row r="83">
          <cell r="F83" t="str">
            <v>jakkrit.p</v>
          </cell>
          <cell r="G83" t="str">
            <v>AN01</v>
          </cell>
          <cell r="H83" t="str">
            <v>PTTICT</v>
          </cell>
          <cell r="I83">
            <v>272.47828389830511</v>
          </cell>
          <cell r="J83">
            <v>3356.9324576271192</v>
          </cell>
        </row>
        <row r="84">
          <cell r="F84" t="str">
            <v>jakraphan.k</v>
          </cell>
          <cell r="G84" t="str">
            <v>AN06</v>
          </cell>
          <cell r="H84" t="str">
            <v>PTTICT</v>
          </cell>
          <cell r="I84">
            <v>534.14036016949149</v>
          </cell>
          <cell r="J84">
            <v>6580.6092372881349</v>
          </cell>
        </row>
        <row r="85">
          <cell r="F85" t="str">
            <v>jariya.p</v>
          </cell>
          <cell r="G85" t="str">
            <v>MG02</v>
          </cell>
          <cell r="H85" t="str">
            <v>PTT</v>
          </cell>
          <cell r="I85">
            <v>1179.7765151515152</v>
          </cell>
          <cell r="J85">
            <v>14534.846666666668</v>
          </cell>
        </row>
        <row r="86">
          <cell r="F86" t="str">
            <v>jaroonpong.s</v>
          </cell>
          <cell r="G86" t="str">
            <v>AN06</v>
          </cell>
          <cell r="H86" t="str">
            <v>PTTEP</v>
          </cell>
          <cell r="I86">
            <v>868.73622881355936</v>
          </cell>
          <cell r="J86">
            <v>10702.830338983051</v>
          </cell>
        </row>
        <row r="87">
          <cell r="F87" t="str">
            <v>jeeranat.m</v>
          </cell>
          <cell r="G87" t="str">
            <v>SA01</v>
          </cell>
          <cell r="H87" t="str">
            <v>PTTICT</v>
          </cell>
          <cell r="I87">
            <v>487.73887711864404</v>
          </cell>
          <cell r="J87">
            <v>6008.9429661016948</v>
          </cell>
        </row>
        <row r="88">
          <cell r="F88" t="str">
            <v>jettana.m</v>
          </cell>
          <cell r="G88" t="str">
            <v>SA02</v>
          </cell>
          <cell r="H88" t="str">
            <v>PTTICT</v>
          </cell>
          <cell r="I88">
            <v>599.20868644067798</v>
          </cell>
          <cell r="J88">
            <v>7382.2510169491525</v>
          </cell>
        </row>
        <row r="89">
          <cell r="F89" t="str">
            <v>jirapat.s</v>
          </cell>
          <cell r="G89" t="str">
            <v>AN02</v>
          </cell>
          <cell r="H89" t="str">
            <v>PTTICT</v>
          </cell>
          <cell r="I89">
            <v>345.64088983050846</v>
          </cell>
          <cell r="J89">
            <v>4258.295762711864</v>
          </cell>
        </row>
        <row r="90">
          <cell r="F90" t="str">
            <v>jirasak.t</v>
          </cell>
          <cell r="G90" t="str">
            <v>AN06</v>
          </cell>
          <cell r="H90" t="str">
            <v>PTTEP</v>
          </cell>
          <cell r="I90">
            <v>868.73622881355936</v>
          </cell>
          <cell r="J90">
            <v>10702.830338983051</v>
          </cell>
        </row>
        <row r="91">
          <cell r="F91" t="str">
            <v>jirat.t</v>
          </cell>
          <cell r="G91" t="str">
            <v>AN02</v>
          </cell>
          <cell r="H91" t="str">
            <v>PTTICT</v>
          </cell>
          <cell r="I91">
            <v>345.64088983050846</v>
          </cell>
          <cell r="J91">
            <v>4258.295762711864</v>
          </cell>
        </row>
        <row r="92">
          <cell r="F92" t="str">
            <v>jirawan.s</v>
          </cell>
          <cell r="G92" t="str">
            <v>AN06</v>
          </cell>
          <cell r="H92" t="str">
            <v>PTTICT</v>
          </cell>
          <cell r="I92">
            <v>534.14036016949149</v>
          </cell>
          <cell r="J92">
            <v>6580.6092372881349</v>
          </cell>
        </row>
        <row r="93">
          <cell r="F93" t="str">
            <v>jittapol.j</v>
          </cell>
          <cell r="G93" t="str">
            <v>SA04</v>
          </cell>
          <cell r="H93" t="str">
            <v>PTT</v>
          </cell>
          <cell r="I93">
            <v>903.99783549783547</v>
          </cell>
          <cell r="J93">
            <v>11137.253333333334</v>
          </cell>
        </row>
        <row r="94">
          <cell r="F94" t="str">
            <v>jomkhwan.w</v>
          </cell>
          <cell r="G94" t="str">
            <v>AN03</v>
          </cell>
          <cell r="H94" t="str">
            <v>PTTICT</v>
          </cell>
          <cell r="I94">
            <v>425.29184322033899</v>
          </cell>
          <cell r="J94">
            <v>5239.5955084745765</v>
          </cell>
        </row>
        <row r="95">
          <cell r="F95" t="str">
            <v>jugkrit.n</v>
          </cell>
          <cell r="G95" t="str">
            <v>SA06</v>
          </cell>
          <cell r="H95" t="str">
            <v>PTTEP</v>
          </cell>
          <cell r="I95">
            <v>1437.7608225108224</v>
          </cell>
          <cell r="J95">
            <v>17713.213333333333</v>
          </cell>
        </row>
        <row r="96">
          <cell r="F96" t="str">
            <v>jurairat.d</v>
          </cell>
          <cell r="G96" t="str">
            <v>MG03</v>
          </cell>
          <cell r="H96" t="str">
            <v>PTT</v>
          </cell>
          <cell r="I96">
            <v>1358.2754329004329</v>
          </cell>
          <cell r="J96">
            <v>16733.953333333335</v>
          </cell>
        </row>
        <row r="97">
          <cell r="F97" t="str">
            <v>jutarmart.k</v>
          </cell>
          <cell r="G97" t="str">
            <v>AN06</v>
          </cell>
          <cell r="H97" t="str">
            <v>PTTICT</v>
          </cell>
          <cell r="I97">
            <v>534.14036016949149</v>
          </cell>
          <cell r="J97">
            <v>6580.6092372881349</v>
          </cell>
        </row>
        <row r="98">
          <cell r="F98" t="str">
            <v>kajohn.s</v>
          </cell>
          <cell r="G98" t="str">
            <v>AN02</v>
          </cell>
          <cell r="H98" t="str">
            <v>PTTICT</v>
          </cell>
          <cell r="I98">
            <v>345.64088983050846</v>
          </cell>
          <cell r="J98">
            <v>4258.295762711864</v>
          </cell>
        </row>
        <row r="99">
          <cell r="F99" t="str">
            <v>kamolchai.a</v>
          </cell>
          <cell r="G99" t="str">
            <v>AN06</v>
          </cell>
          <cell r="H99" t="str">
            <v>PTTICT</v>
          </cell>
          <cell r="I99">
            <v>534.14036016949149</v>
          </cell>
          <cell r="J99">
            <v>6580.6092372881349</v>
          </cell>
        </row>
        <row r="100">
          <cell r="F100" t="str">
            <v>kamolwan.p</v>
          </cell>
          <cell r="G100" t="str">
            <v>AN03</v>
          </cell>
          <cell r="H100" t="str">
            <v>PTTICT</v>
          </cell>
          <cell r="I100">
            <v>425.29184322033899</v>
          </cell>
          <cell r="J100">
            <v>5239.5955084745765</v>
          </cell>
        </row>
        <row r="101">
          <cell r="F101" t="str">
            <v>kamonporn.s</v>
          </cell>
          <cell r="G101" t="str">
            <v>AN04</v>
          </cell>
          <cell r="H101" t="str">
            <v>PTTICT</v>
          </cell>
          <cell r="I101">
            <v>363.23728813559325</v>
          </cell>
          <cell r="J101">
            <v>4475.0833898305091</v>
          </cell>
        </row>
        <row r="102">
          <cell r="F102" t="str">
            <v>kanlaya.r</v>
          </cell>
          <cell r="G102" t="str">
            <v>SA02</v>
          </cell>
          <cell r="H102" t="str">
            <v>PTTICT</v>
          </cell>
          <cell r="I102">
            <v>599.20868644067798</v>
          </cell>
          <cell r="J102">
            <v>7382.2510169491525</v>
          </cell>
        </row>
        <row r="103">
          <cell r="F103" t="str">
            <v>kanungnit.s</v>
          </cell>
          <cell r="G103" t="str">
            <v>AN05</v>
          </cell>
          <cell r="H103" t="str">
            <v>PTTICT</v>
          </cell>
          <cell r="I103">
            <v>446.91101694915255</v>
          </cell>
          <cell r="J103">
            <v>5505.9437288135596</v>
          </cell>
        </row>
        <row r="104">
          <cell r="F104" t="str">
            <v>kanyaporn.s</v>
          </cell>
          <cell r="G104" t="str">
            <v>AN01</v>
          </cell>
          <cell r="H104" t="str">
            <v>PTTICT</v>
          </cell>
          <cell r="I104">
            <v>272.47828389830511</v>
          </cell>
          <cell r="J104">
            <v>3356.9324576271192</v>
          </cell>
        </row>
        <row r="105">
          <cell r="F105" t="str">
            <v>kasamaporn.s</v>
          </cell>
          <cell r="G105" t="str">
            <v>AN06</v>
          </cell>
          <cell r="H105" t="str">
            <v>PTTICT</v>
          </cell>
          <cell r="I105">
            <v>534.14036016949149</v>
          </cell>
          <cell r="J105">
            <v>6580.6092372881349</v>
          </cell>
        </row>
        <row r="106">
          <cell r="F106" t="str">
            <v>kavisara.a</v>
          </cell>
          <cell r="G106" t="str">
            <v>AN05</v>
          </cell>
          <cell r="H106" t="str">
            <v>PTTICT</v>
          </cell>
          <cell r="I106">
            <v>446.91101694915255</v>
          </cell>
          <cell r="J106">
            <v>5505.9437288135596</v>
          </cell>
        </row>
        <row r="107">
          <cell r="F107" t="str">
            <v>kawin.s</v>
          </cell>
          <cell r="G107" t="str">
            <v>SA02</v>
          </cell>
          <cell r="H107" t="str">
            <v>PTTICT</v>
          </cell>
          <cell r="I107">
            <v>599.20868644067798</v>
          </cell>
          <cell r="J107">
            <v>7382.2510169491525</v>
          </cell>
        </row>
        <row r="108">
          <cell r="F108" t="str">
            <v>keerati.k</v>
          </cell>
          <cell r="G108" t="str">
            <v>SA03</v>
          </cell>
          <cell r="H108" t="str">
            <v>PTTICT</v>
          </cell>
          <cell r="I108">
            <v>765.72563559322032</v>
          </cell>
          <cell r="J108">
            <v>9433.7398305084753</v>
          </cell>
        </row>
        <row r="109">
          <cell r="F109" t="str">
            <v>keng.t</v>
          </cell>
          <cell r="G109" t="str">
            <v>AN05</v>
          </cell>
          <cell r="H109" t="str">
            <v>PTTICT</v>
          </cell>
          <cell r="I109">
            <v>446.91101694915255</v>
          </cell>
          <cell r="J109">
            <v>5505.9437288135596</v>
          </cell>
        </row>
        <row r="110">
          <cell r="F110" t="str">
            <v>ketkaew.s</v>
          </cell>
          <cell r="G110" t="str">
            <v>AN02</v>
          </cell>
          <cell r="H110" t="str">
            <v>PTTICT</v>
          </cell>
          <cell r="I110">
            <v>345.64088983050846</v>
          </cell>
          <cell r="J110">
            <v>4258.295762711864</v>
          </cell>
        </row>
        <row r="111">
          <cell r="F111" t="str">
            <v>khemarath.c</v>
          </cell>
          <cell r="G111" t="str">
            <v>MG03</v>
          </cell>
          <cell r="H111" t="str">
            <v>PTTGC</v>
          </cell>
          <cell r="I111">
            <v>1324.5662337662336</v>
          </cell>
          <cell r="J111">
            <v>16318.655999999999</v>
          </cell>
        </row>
        <row r="112">
          <cell r="F112" t="str">
            <v>khuanruthai.b</v>
          </cell>
          <cell r="G112" t="str">
            <v>SA01</v>
          </cell>
          <cell r="H112" t="str">
            <v>PTTICT</v>
          </cell>
          <cell r="I112">
            <v>487.73887711864404</v>
          </cell>
          <cell r="J112">
            <v>6008.9429661016948</v>
          </cell>
        </row>
        <row r="113">
          <cell r="F113" t="str">
            <v>khwanhatai.s</v>
          </cell>
          <cell r="G113" t="str">
            <v>SA01</v>
          </cell>
          <cell r="H113" t="str">
            <v>PTTICT</v>
          </cell>
          <cell r="I113">
            <v>487.73887711864404</v>
          </cell>
          <cell r="J113">
            <v>6008.9429661016948</v>
          </cell>
        </row>
        <row r="114">
          <cell r="F114" t="str">
            <v>kiattisak.b</v>
          </cell>
          <cell r="G114" t="str">
            <v>AN03</v>
          </cell>
          <cell r="H114" t="str">
            <v>PTTICT</v>
          </cell>
          <cell r="I114">
            <v>425.29184322033899</v>
          </cell>
          <cell r="J114">
            <v>5239.5955084745765</v>
          </cell>
        </row>
        <row r="115">
          <cell r="F115" t="str">
            <v>kiattisak.c</v>
          </cell>
          <cell r="G115" t="str">
            <v>SA01</v>
          </cell>
          <cell r="H115" t="str">
            <v>PTTICT</v>
          </cell>
          <cell r="I115">
            <v>487.73887711864404</v>
          </cell>
          <cell r="J115">
            <v>6008.9429661016948</v>
          </cell>
        </row>
        <row r="116">
          <cell r="F116" t="str">
            <v>kingkaew.h</v>
          </cell>
          <cell r="G116" t="str">
            <v>MG05</v>
          </cell>
          <cell r="H116" t="str">
            <v>PTTICT</v>
          </cell>
          <cell r="I116">
            <v>1771.2164502164503</v>
          </cell>
          <cell r="J116">
            <v>21821.386666666669</v>
          </cell>
        </row>
        <row r="117">
          <cell r="F117" t="str">
            <v>kitipat.n</v>
          </cell>
          <cell r="G117" t="str">
            <v>AN05</v>
          </cell>
          <cell r="H117" t="str">
            <v>PTTICT</v>
          </cell>
          <cell r="I117">
            <v>446.91101694915255</v>
          </cell>
          <cell r="J117">
            <v>5505.9437288135596</v>
          </cell>
        </row>
        <row r="118">
          <cell r="F118" t="str">
            <v>kitsanapat.v</v>
          </cell>
          <cell r="G118" t="str">
            <v>MG02</v>
          </cell>
          <cell r="H118" t="str">
            <v>PTTICT</v>
          </cell>
          <cell r="I118">
            <v>940.28463203463207</v>
          </cell>
          <cell r="J118">
            <v>11584.306666666667</v>
          </cell>
        </row>
        <row r="119">
          <cell r="F119" t="str">
            <v>kittiphong.k</v>
          </cell>
          <cell r="G119" t="str">
            <v>SA05</v>
          </cell>
          <cell r="H119" t="str">
            <v>PTTICT</v>
          </cell>
          <cell r="I119">
            <v>712.57309322033893</v>
          </cell>
          <cell r="J119">
            <v>8778.900508474575</v>
          </cell>
        </row>
        <row r="120">
          <cell r="F120" t="str">
            <v>kittisak.c</v>
          </cell>
          <cell r="G120" t="str">
            <v>AN05</v>
          </cell>
          <cell r="H120" t="str">
            <v>PTTICT</v>
          </cell>
          <cell r="I120">
            <v>446.91101694915255</v>
          </cell>
          <cell r="J120">
            <v>5505.9437288135596</v>
          </cell>
        </row>
        <row r="121">
          <cell r="F121" t="str">
            <v>kittituch.o</v>
          </cell>
          <cell r="G121" t="str">
            <v>SA02</v>
          </cell>
          <cell r="H121" t="str">
            <v>PTTICT</v>
          </cell>
          <cell r="I121">
            <v>599.20868644067798</v>
          </cell>
          <cell r="J121">
            <v>7382.2510169491525</v>
          </cell>
        </row>
        <row r="122">
          <cell r="F122" t="str">
            <v>komol.k</v>
          </cell>
          <cell r="G122" t="str">
            <v>AN04</v>
          </cell>
          <cell r="H122" t="str">
            <v>PTTICT</v>
          </cell>
          <cell r="I122">
            <v>363.23728813559325</v>
          </cell>
          <cell r="J122">
            <v>4475.0833898305091</v>
          </cell>
        </row>
        <row r="123">
          <cell r="F123" t="str">
            <v>kongsak.p</v>
          </cell>
          <cell r="G123" t="str">
            <v>VP01</v>
          </cell>
          <cell r="H123" t="str">
            <v>PTT</v>
          </cell>
          <cell r="I123">
            <v>2694.7207792207791</v>
          </cell>
          <cell r="J123">
            <v>33198.959999999999</v>
          </cell>
        </row>
        <row r="124">
          <cell r="F124" t="str">
            <v>koonthida.w</v>
          </cell>
          <cell r="G124" t="str">
            <v>AN05</v>
          </cell>
          <cell r="H124" t="str">
            <v>PTTICT</v>
          </cell>
          <cell r="I124">
            <v>446.91101694915255</v>
          </cell>
          <cell r="J124">
            <v>5505.9437288135596</v>
          </cell>
        </row>
        <row r="125">
          <cell r="F125" t="str">
            <v>kornvipa.l</v>
          </cell>
          <cell r="G125" t="str">
            <v>AN02</v>
          </cell>
          <cell r="H125" t="str">
            <v>PTTICT</v>
          </cell>
          <cell r="I125">
            <v>345.64088983050846</v>
          </cell>
          <cell r="J125">
            <v>4258.295762711864</v>
          </cell>
        </row>
        <row r="126">
          <cell r="F126" t="str">
            <v>kosin.p</v>
          </cell>
          <cell r="G126" t="str">
            <v>AN03</v>
          </cell>
          <cell r="H126" t="str">
            <v>PTTICT</v>
          </cell>
          <cell r="I126">
            <v>425.29184322033899</v>
          </cell>
          <cell r="J126">
            <v>5239.5955084745765</v>
          </cell>
        </row>
        <row r="127">
          <cell r="F127" t="str">
            <v>kraisorn.k</v>
          </cell>
          <cell r="G127" t="str">
            <v>AN03</v>
          </cell>
          <cell r="H127" t="str">
            <v>PTTICT</v>
          </cell>
          <cell r="I127">
            <v>425.29184322033899</v>
          </cell>
          <cell r="J127">
            <v>5239.5955084745765</v>
          </cell>
        </row>
        <row r="128">
          <cell r="F128" t="str">
            <v>kriangsak.p</v>
          </cell>
          <cell r="G128" t="str">
            <v>AN05</v>
          </cell>
          <cell r="H128" t="str">
            <v>PTTICT</v>
          </cell>
          <cell r="I128">
            <v>446.91101694915255</v>
          </cell>
          <cell r="J128">
            <v>5505.9437288135596</v>
          </cell>
        </row>
        <row r="129">
          <cell r="F129" t="str">
            <v>krisada.j</v>
          </cell>
          <cell r="G129" t="str">
            <v>AN06</v>
          </cell>
          <cell r="H129" t="str">
            <v>PTTICT</v>
          </cell>
          <cell r="I129">
            <v>534.14036016949149</v>
          </cell>
          <cell r="J129">
            <v>6580.6092372881349</v>
          </cell>
        </row>
        <row r="130">
          <cell r="F130" t="str">
            <v>krissada.p</v>
          </cell>
          <cell r="G130" t="str">
            <v>MG03</v>
          </cell>
          <cell r="H130" t="str">
            <v>PTT</v>
          </cell>
          <cell r="I130">
            <v>1358.2754329004329</v>
          </cell>
          <cell r="J130">
            <v>16733.953333333335</v>
          </cell>
        </row>
        <row r="131">
          <cell r="F131" t="str">
            <v>kritsada.k</v>
          </cell>
          <cell r="G131" t="str">
            <v>AN02</v>
          </cell>
          <cell r="H131" t="str">
            <v>PTTICT</v>
          </cell>
          <cell r="I131">
            <v>345.64088983050846</v>
          </cell>
          <cell r="J131">
            <v>4258.295762711864</v>
          </cell>
        </row>
        <row r="132">
          <cell r="F132" t="str">
            <v>krittiya.m</v>
          </cell>
          <cell r="G132" t="str">
            <v>SA01</v>
          </cell>
          <cell r="H132" t="str">
            <v>PTTICT</v>
          </cell>
          <cell r="I132">
            <v>487.73887711864404</v>
          </cell>
          <cell r="J132">
            <v>6008.9429661016948</v>
          </cell>
        </row>
        <row r="133">
          <cell r="F133" t="str">
            <v>kuerkool.k</v>
          </cell>
          <cell r="G133" t="str">
            <v>AN05</v>
          </cell>
          <cell r="H133" t="str">
            <v>PTTICT</v>
          </cell>
          <cell r="I133">
            <v>446.91101694915255</v>
          </cell>
          <cell r="J133">
            <v>5505.9437288135596</v>
          </cell>
        </row>
        <row r="134">
          <cell r="F134" t="str">
            <v>laddawan.r</v>
          </cell>
          <cell r="G134" t="str">
            <v>SA03</v>
          </cell>
          <cell r="H134" t="str">
            <v>PTTICT</v>
          </cell>
          <cell r="I134">
            <v>765.72563559322032</v>
          </cell>
          <cell r="J134">
            <v>9433.7398305084753</v>
          </cell>
        </row>
        <row r="135">
          <cell r="F135" t="str">
            <v>lalida.n</v>
          </cell>
          <cell r="G135" t="str">
            <v>AN02</v>
          </cell>
          <cell r="H135" t="str">
            <v>PTTICT</v>
          </cell>
          <cell r="I135">
            <v>345.64088983050846</v>
          </cell>
          <cell r="J135">
            <v>4258.295762711864</v>
          </cell>
        </row>
        <row r="136">
          <cell r="F136" t="str">
            <v>lalita.r</v>
          </cell>
          <cell r="G136" t="str">
            <v>AN01</v>
          </cell>
          <cell r="H136" t="str">
            <v>PTTICT</v>
          </cell>
          <cell r="I136">
            <v>272.47828389830511</v>
          </cell>
          <cell r="J136">
            <v>3356.9324576271192</v>
          </cell>
        </row>
        <row r="137">
          <cell r="F137" t="str">
            <v>lavitra.p</v>
          </cell>
          <cell r="G137" t="str">
            <v>SA04</v>
          </cell>
          <cell r="H137" t="str">
            <v>PTTICT</v>
          </cell>
          <cell r="I137">
            <v>638.34639830508479</v>
          </cell>
          <cell r="J137">
            <v>7864.4276271186445</v>
          </cell>
        </row>
        <row r="138">
          <cell r="F138" t="str">
            <v>mananya.s</v>
          </cell>
          <cell r="G138" t="str">
            <v>SA03</v>
          </cell>
          <cell r="H138" t="str">
            <v>PTTICT</v>
          </cell>
          <cell r="I138">
            <v>765.72563559322032</v>
          </cell>
          <cell r="J138">
            <v>9433.7398305084753</v>
          </cell>
        </row>
        <row r="139">
          <cell r="F139" t="str">
            <v>manasanan.c</v>
          </cell>
          <cell r="G139" t="str">
            <v>SA02</v>
          </cell>
          <cell r="H139" t="str">
            <v>PTTICT</v>
          </cell>
          <cell r="I139">
            <v>599.20868644067798</v>
          </cell>
          <cell r="J139">
            <v>7382.2510169491525</v>
          </cell>
        </row>
        <row r="140">
          <cell r="F140" t="str">
            <v>maneenuch.w</v>
          </cell>
          <cell r="G140" t="str">
            <v>SA05</v>
          </cell>
          <cell r="H140" t="str">
            <v>PTTICT</v>
          </cell>
          <cell r="I140">
            <v>712.57309322033893</v>
          </cell>
          <cell r="J140">
            <v>8778.900508474575</v>
          </cell>
        </row>
        <row r="141">
          <cell r="F141" t="str">
            <v>manida.p</v>
          </cell>
          <cell r="G141" t="str">
            <v>AN03</v>
          </cell>
          <cell r="H141" t="str">
            <v>PTTICT</v>
          </cell>
          <cell r="I141">
            <v>425.29184322033899</v>
          </cell>
          <cell r="J141">
            <v>5239.5955084745765</v>
          </cell>
        </row>
        <row r="142">
          <cell r="F142" t="str">
            <v>manimeth.p</v>
          </cell>
          <cell r="G142" t="str">
            <v>AN02</v>
          </cell>
          <cell r="H142" t="str">
            <v>PTTICT</v>
          </cell>
          <cell r="I142">
            <v>345.64088983050846</v>
          </cell>
          <cell r="J142">
            <v>4258.295762711864</v>
          </cell>
        </row>
        <row r="143">
          <cell r="F143" t="str">
            <v>manisa.c</v>
          </cell>
          <cell r="G143" t="str">
            <v>AN05</v>
          </cell>
          <cell r="H143" t="str">
            <v>PTTICT</v>
          </cell>
          <cell r="I143">
            <v>446.91101694915255</v>
          </cell>
          <cell r="J143">
            <v>5505.9437288135596</v>
          </cell>
        </row>
        <row r="144">
          <cell r="F144" t="str">
            <v>manussavee.p</v>
          </cell>
          <cell r="G144" t="str">
            <v>AN03</v>
          </cell>
          <cell r="H144" t="str">
            <v>PTTICT</v>
          </cell>
          <cell r="I144">
            <v>425.29184322033899</v>
          </cell>
          <cell r="J144">
            <v>5239.5955084745765</v>
          </cell>
        </row>
        <row r="145">
          <cell r="F145" t="str">
            <v>marasri.h</v>
          </cell>
          <cell r="G145" t="str">
            <v>VP01</v>
          </cell>
          <cell r="H145" t="str">
            <v>PTTGC</v>
          </cell>
          <cell r="I145">
            <v>3014.8058874458875</v>
          </cell>
          <cell r="J145">
            <v>37142.408533333335</v>
          </cell>
        </row>
        <row r="146">
          <cell r="F146" t="str">
            <v>marutpong.s</v>
          </cell>
          <cell r="G146" t="str">
            <v>AN03</v>
          </cell>
          <cell r="H146" t="str">
            <v>PTTICT</v>
          </cell>
          <cell r="I146">
            <v>425.29184322033899</v>
          </cell>
          <cell r="J146">
            <v>5239.5955084745765</v>
          </cell>
        </row>
        <row r="147">
          <cell r="F147" t="str">
            <v>millibhu.r</v>
          </cell>
          <cell r="G147" t="str">
            <v>AN01</v>
          </cell>
          <cell r="H147" t="str">
            <v>PTTICT</v>
          </cell>
          <cell r="I147">
            <v>272.47828389830511</v>
          </cell>
          <cell r="J147">
            <v>3356.9324576271192</v>
          </cell>
        </row>
        <row r="148">
          <cell r="F148" t="str">
            <v>montakan.w</v>
          </cell>
          <cell r="G148" t="str">
            <v>AN05</v>
          </cell>
          <cell r="H148" t="str">
            <v>PTTICT</v>
          </cell>
          <cell r="I148">
            <v>446.91101694915255</v>
          </cell>
          <cell r="J148">
            <v>5505.9437288135596</v>
          </cell>
        </row>
        <row r="149">
          <cell r="F149" t="str">
            <v>montree.s</v>
          </cell>
          <cell r="G149" t="str">
            <v>SA05</v>
          </cell>
          <cell r="H149" t="str">
            <v>PTT</v>
          </cell>
          <cell r="I149">
            <v>1178.0860389610389</v>
          </cell>
          <cell r="J149">
            <v>14514.019999999999</v>
          </cell>
        </row>
        <row r="150">
          <cell r="F150" t="str">
            <v>montri.s</v>
          </cell>
          <cell r="G150" t="str">
            <v>VP04</v>
          </cell>
          <cell r="H150" t="str">
            <v>PTTICT</v>
          </cell>
          <cell r="I150">
            <v>7179.643939393939</v>
          </cell>
          <cell r="J150">
            <v>88453.213333333333</v>
          </cell>
        </row>
        <row r="151">
          <cell r="F151" t="str">
            <v>nalatthawan.w</v>
          </cell>
          <cell r="G151" t="str">
            <v>SA01</v>
          </cell>
          <cell r="H151" t="str">
            <v>PTTICT</v>
          </cell>
          <cell r="I151">
            <v>487.73887711864404</v>
          </cell>
          <cell r="J151">
            <v>6008.9429661016948</v>
          </cell>
        </row>
        <row r="152">
          <cell r="F152" t="str">
            <v>nalinee.l</v>
          </cell>
          <cell r="G152" t="str">
            <v>AN02</v>
          </cell>
          <cell r="H152" t="str">
            <v>PTTICT</v>
          </cell>
          <cell r="I152">
            <v>345.64088983050846</v>
          </cell>
          <cell r="J152">
            <v>4258.295762711864</v>
          </cell>
        </row>
        <row r="153">
          <cell r="F153" t="str">
            <v>naovarat.l</v>
          </cell>
          <cell r="G153" t="str">
            <v>AN02</v>
          </cell>
          <cell r="H153" t="str">
            <v>PTTICT</v>
          </cell>
          <cell r="I153">
            <v>345.64088983050846</v>
          </cell>
          <cell r="J153">
            <v>4258.295762711864</v>
          </cell>
        </row>
        <row r="154">
          <cell r="F154" t="str">
            <v>napaluck.s</v>
          </cell>
          <cell r="G154" t="str">
            <v>AN05</v>
          </cell>
          <cell r="H154" t="str">
            <v>PTTICT</v>
          </cell>
          <cell r="I154">
            <v>446.91101694915255</v>
          </cell>
          <cell r="J154">
            <v>5505.9437288135596</v>
          </cell>
        </row>
        <row r="155">
          <cell r="F155" t="str">
            <v>napat.t</v>
          </cell>
          <cell r="G155" t="str">
            <v>SA02</v>
          </cell>
          <cell r="H155" t="str">
            <v>PTTICT</v>
          </cell>
          <cell r="I155">
            <v>599.20868644067798</v>
          </cell>
          <cell r="J155">
            <v>7382.2510169491525</v>
          </cell>
        </row>
        <row r="156">
          <cell r="F156" t="str">
            <v>napawan.r</v>
          </cell>
          <cell r="G156" t="str">
            <v>SA01</v>
          </cell>
          <cell r="H156" t="str">
            <v>PTTICT</v>
          </cell>
          <cell r="I156">
            <v>487.73887711864404</v>
          </cell>
          <cell r="J156">
            <v>6008.9429661016948</v>
          </cell>
        </row>
        <row r="157">
          <cell r="F157" t="str">
            <v>napitch.t</v>
          </cell>
          <cell r="G157" t="str">
            <v>SA02</v>
          </cell>
          <cell r="H157" t="str">
            <v>PTTICT</v>
          </cell>
          <cell r="I157">
            <v>599.20868644067798</v>
          </cell>
          <cell r="J157">
            <v>7382.2510169491525</v>
          </cell>
        </row>
        <row r="158">
          <cell r="F158" t="str">
            <v>narin.p</v>
          </cell>
          <cell r="G158" t="str">
            <v>AN05</v>
          </cell>
          <cell r="H158" t="str">
            <v>PTTICT</v>
          </cell>
          <cell r="I158">
            <v>446.91101694915255</v>
          </cell>
          <cell r="J158">
            <v>5505.9437288135596</v>
          </cell>
        </row>
        <row r="159">
          <cell r="F159" t="str">
            <v>narinrat.n</v>
          </cell>
          <cell r="G159" t="str">
            <v>AN01</v>
          </cell>
          <cell r="H159" t="str">
            <v>PTTICT</v>
          </cell>
          <cell r="I159">
            <v>272.47828389830511</v>
          </cell>
          <cell r="J159">
            <v>3356.9324576271192</v>
          </cell>
        </row>
        <row r="160">
          <cell r="F160" t="str">
            <v>narisara.c</v>
          </cell>
          <cell r="G160" t="str">
            <v>SA06</v>
          </cell>
          <cell r="H160" t="str">
            <v>PTTICT</v>
          </cell>
          <cell r="I160">
            <v>953.00529661016947</v>
          </cell>
          <cell r="J160">
            <v>11741.025254237287</v>
          </cell>
        </row>
        <row r="161">
          <cell r="F161" t="str">
            <v>narong.sr</v>
          </cell>
          <cell r="G161" t="str">
            <v>SA05</v>
          </cell>
          <cell r="H161" t="str">
            <v>PTT</v>
          </cell>
          <cell r="I161">
            <v>1178.0860389610389</v>
          </cell>
          <cell r="J161">
            <v>14514.019999999999</v>
          </cell>
        </row>
        <row r="162">
          <cell r="F162" t="str">
            <v>nathacha.ta</v>
          </cell>
          <cell r="G162" t="str">
            <v>AN02</v>
          </cell>
          <cell r="H162" t="str">
            <v>PTTICT</v>
          </cell>
          <cell r="I162">
            <v>345.64088983050846</v>
          </cell>
          <cell r="J162">
            <v>4258.295762711864</v>
          </cell>
        </row>
        <row r="163">
          <cell r="F163" t="str">
            <v>natpol.j</v>
          </cell>
          <cell r="G163" t="str">
            <v>AN05</v>
          </cell>
          <cell r="H163" t="str">
            <v>PTTICT</v>
          </cell>
          <cell r="I163">
            <v>446.91101694915255</v>
          </cell>
          <cell r="J163">
            <v>5505.9437288135596</v>
          </cell>
        </row>
        <row r="164">
          <cell r="F164" t="str">
            <v>nattaphon.s</v>
          </cell>
          <cell r="G164" t="str">
            <v>MG01</v>
          </cell>
          <cell r="H164" t="str">
            <v>PTTICT</v>
          </cell>
          <cell r="I164">
            <v>717.74296536796533</v>
          </cell>
          <cell r="J164">
            <v>8842.5933333333323</v>
          </cell>
        </row>
        <row r="165">
          <cell r="F165" t="str">
            <v>nattapoom.y</v>
          </cell>
          <cell r="G165" t="str">
            <v>AN05</v>
          </cell>
          <cell r="H165" t="str">
            <v>PTTICT</v>
          </cell>
          <cell r="I165">
            <v>446.91101694915255</v>
          </cell>
          <cell r="J165">
            <v>5505.9437288135596</v>
          </cell>
        </row>
        <row r="166">
          <cell r="F166" t="str">
            <v>nattavit.k</v>
          </cell>
          <cell r="G166" t="str">
            <v>AN05</v>
          </cell>
          <cell r="H166" t="str">
            <v>PTTICT</v>
          </cell>
          <cell r="I166">
            <v>446.91101694915255</v>
          </cell>
          <cell r="J166">
            <v>5505.9437288135596</v>
          </cell>
        </row>
        <row r="167">
          <cell r="F167" t="str">
            <v>nattawan.t</v>
          </cell>
          <cell r="G167" t="str">
            <v>SA02</v>
          </cell>
          <cell r="H167" t="str">
            <v>PTTICT</v>
          </cell>
          <cell r="I167">
            <v>599.20868644067798</v>
          </cell>
          <cell r="J167">
            <v>7382.2510169491525</v>
          </cell>
        </row>
        <row r="168">
          <cell r="F168" t="str">
            <v>nattawut.s</v>
          </cell>
          <cell r="G168" t="str">
            <v>AN06</v>
          </cell>
          <cell r="H168" t="str">
            <v>PTTICT</v>
          </cell>
          <cell r="I168">
            <v>534.14036016949149</v>
          </cell>
          <cell r="J168">
            <v>6580.6092372881349</v>
          </cell>
        </row>
        <row r="169">
          <cell r="F169" t="str">
            <v>nattechint.s</v>
          </cell>
          <cell r="G169" t="str">
            <v>AN03</v>
          </cell>
          <cell r="H169" t="str">
            <v>PTTICT</v>
          </cell>
          <cell r="I169">
            <v>425.29184322033899</v>
          </cell>
          <cell r="J169">
            <v>5239.5955084745765</v>
          </cell>
        </row>
        <row r="170">
          <cell r="F170" t="str">
            <v>natthapaak.p</v>
          </cell>
          <cell r="G170" t="str">
            <v>AN01</v>
          </cell>
          <cell r="H170" t="str">
            <v>PTTICT</v>
          </cell>
          <cell r="I170">
            <v>272.47828389830511</v>
          </cell>
          <cell r="J170">
            <v>3356.9324576271192</v>
          </cell>
        </row>
        <row r="171">
          <cell r="F171" t="str">
            <v>navapon.w</v>
          </cell>
          <cell r="G171" t="str">
            <v>MG03</v>
          </cell>
          <cell r="H171" t="str">
            <v>PTTICT</v>
          </cell>
          <cell r="I171">
            <v>1046.5573593073593</v>
          </cell>
          <cell r="J171">
            <v>12893.586666666668</v>
          </cell>
        </row>
        <row r="172">
          <cell r="F172" t="str">
            <v>nawapat.w</v>
          </cell>
          <cell r="G172" t="str">
            <v>SA04</v>
          </cell>
          <cell r="H172" t="str">
            <v>PTT</v>
          </cell>
          <cell r="I172">
            <v>903.99783549783547</v>
          </cell>
          <cell r="J172">
            <v>11137.253333333334</v>
          </cell>
        </row>
        <row r="173">
          <cell r="F173" t="str">
            <v>nichakorn.k</v>
          </cell>
          <cell r="G173" t="str">
            <v>AN01</v>
          </cell>
          <cell r="H173" t="str">
            <v>PTTICT</v>
          </cell>
          <cell r="I173">
            <v>272.47828389830511</v>
          </cell>
          <cell r="J173">
            <v>3356.9324576271192</v>
          </cell>
        </row>
        <row r="174">
          <cell r="F174" t="str">
            <v>nipoon.s</v>
          </cell>
          <cell r="G174" t="str">
            <v>AN01</v>
          </cell>
          <cell r="H174" t="str">
            <v>PTTICT</v>
          </cell>
          <cell r="I174">
            <v>272.47828389830511</v>
          </cell>
          <cell r="J174">
            <v>3356.9324576271192</v>
          </cell>
        </row>
        <row r="175">
          <cell r="F175" t="str">
            <v>niramol.r</v>
          </cell>
          <cell r="G175" t="str">
            <v>AN05</v>
          </cell>
          <cell r="H175" t="str">
            <v>PTTICT</v>
          </cell>
          <cell r="I175">
            <v>446.91101694915255</v>
          </cell>
          <cell r="J175">
            <v>5505.9437288135596</v>
          </cell>
        </row>
        <row r="176">
          <cell r="F176" t="str">
            <v>niran.m</v>
          </cell>
          <cell r="G176" t="str">
            <v>AN06</v>
          </cell>
          <cell r="H176" t="str">
            <v>PTT</v>
          </cell>
          <cell r="I176">
            <v>858.42002118644064</v>
          </cell>
          <cell r="J176">
            <v>10575.73466101695</v>
          </cell>
        </row>
        <row r="177">
          <cell r="F177" t="str">
            <v>nirat.s</v>
          </cell>
          <cell r="G177" t="str">
            <v>MG05</v>
          </cell>
          <cell r="H177" t="str">
            <v>PTTEP</v>
          </cell>
          <cell r="I177">
            <v>2199.5292207792209</v>
          </cell>
          <cell r="J177">
            <v>27098.2</v>
          </cell>
        </row>
        <row r="178">
          <cell r="F178" t="str">
            <v>nithi.b</v>
          </cell>
          <cell r="G178" t="str">
            <v>SA04</v>
          </cell>
          <cell r="H178" t="str">
            <v>PTTICT</v>
          </cell>
          <cell r="I178">
            <v>638.34639830508479</v>
          </cell>
          <cell r="J178">
            <v>7864.4276271186445</v>
          </cell>
        </row>
        <row r="179">
          <cell r="F179" t="str">
            <v>nivit.p</v>
          </cell>
          <cell r="G179" t="str">
            <v>SA04</v>
          </cell>
          <cell r="H179" t="str">
            <v>PTT</v>
          </cell>
          <cell r="I179">
            <v>903.99783549783547</v>
          </cell>
          <cell r="J179">
            <v>11137.253333333334</v>
          </cell>
        </row>
        <row r="180">
          <cell r="F180" t="str">
            <v>nongnoot.w</v>
          </cell>
          <cell r="G180" t="str">
            <v>AN06</v>
          </cell>
          <cell r="H180" t="str">
            <v>PTTICT</v>
          </cell>
          <cell r="I180">
            <v>534.14036016949149</v>
          </cell>
          <cell r="J180">
            <v>6580.6092372881349</v>
          </cell>
        </row>
        <row r="181">
          <cell r="F181" t="str">
            <v>nonthachai.s</v>
          </cell>
          <cell r="G181" t="str">
            <v>AN06</v>
          </cell>
          <cell r="H181" t="str">
            <v>PTTICT</v>
          </cell>
          <cell r="I181">
            <v>534.14036016949149</v>
          </cell>
          <cell r="J181">
            <v>6580.6092372881349</v>
          </cell>
        </row>
        <row r="182">
          <cell r="F182" t="str">
            <v>nopadol.s</v>
          </cell>
          <cell r="G182" t="str">
            <v>MG03</v>
          </cell>
          <cell r="H182" t="str">
            <v>PTTICT</v>
          </cell>
          <cell r="I182">
            <v>1046.5573593073593</v>
          </cell>
          <cell r="J182">
            <v>12893.586666666668</v>
          </cell>
        </row>
        <row r="183">
          <cell r="F183" t="str">
            <v>noppachai.t</v>
          </cell>
          <cell r="G183" t="str">
            <v>SA05</v>
          </cell>
          <cell r="H183" t="str">
            <v>PTTICT</v>
          </cell>
          <cell r="I183">
            <v>712.57309322033893</v>
          </cell>
          <cell r="J183">
            <v>8778.900508474575</v>
          </cell>
        </row>
        <row r="184">
          <cell r="F184" t="str">
            <v>noppadon.p</v>
          </cell>
          <cell r="G184" t="str">
            <v>AN05</v>
          </cell>
          <cell r="H184" t="str">
            <v>PTTICT</v>
          </cell>
          <cell r="I184">
            <v>446.91101694915255</v>
          </cell>
          <cell r="J184">
            <v>5505.9437288135596</v>
          </cell>
        </row>
        <row r="185">
          <cell r="F185" t="str">
            <v>noppong.s</v>
          </cell>
          <cell r="G185" t="str">
            <v>AN05</v>
          </cell>
          <cell r="H185" t="str">
            <v>PTTICT</v>
          </cell>
          <cell r="I185">
            <v>446.91101694915255</v>
          </cell>
          <cell r="J185">
            <v>5505.9437288135596</v>
          </cell>
        </row>
        <row r="186">
          <cell r="F186" t="str">
            <v>nopporn.w</v>
          </cell>
          <cell r="G186" t="str">
            <v>SA05</v>
          </cell>
          <cell r="H186" t="str">
            <v>PTT</v>
          </cell>
          <cell r="I186">
            <v>1178.0860389610389</v>
          </cell>
          <cell r="J186">
            <v>14514.019999999999</v>
          </cell>
        </row>
        <row r="187">
          <cell r="F187" t="str">
            <v>norapatra.s</v>
          </cell>
          <cell r="G187" t="str">
            <v>AN01</v>
          </cell>
          <cell r="H187" t="str">
            <v>PTTICT</v>
          </cell>
          <cell r="I187">
            <v>272.47828389830511</v>
          </cell>
          <cell r="J187">
            <v>3356.9324576271192</v>
          </cell>
        </row>
        <row r="188">
          <cell r="F188" t="str">
            <v>nuthargorn.j</v>
          </cell>
          <cell r="G188" t="str">
            <v>MG02</v>
          </cell>
          <cell r="H188" t="str">
            <v>PTT</v>
          </cell>
          <cell r="I188">
            <v>1179.7765151515152</v>
          </cell>
          <cell r="J188">
            <v>14534.846666666668</v>
          </cell>
        </row>
        <row r="189">
          <cell r="F189" t="str">
            <v>nuttakorn.c</v>
          </cell>
          <cell r="G189" t="str">
            <v>SA01</v>
          </cell>
          <cell r="H189" t="str">
            <v>PTTICT</v>
          </cell>
          <cell r="I189">
            <v>487.73887711864404</v>
          </cell>
          <cell r="J189">
            <v>6008.9429661016948</v>
          </cell>
        </row>
        <row r="190">
          <cell r="F190" t="str">
            <v>nuttapon.a</v>
          </cell>
          <cell r="G190" t="str">
            <v>AN04</v>
          </cell>
          <cell r="H190" t="str">
            <v>PTTICT</v>
          </cell>
          <cell r="I190">
            <v>363.23728813559325</v>
          </cell>
          <cell r="J190">
            <v>4475.0833898305091</v>
          </cell>
        </row>
        <row r="191">
          <cell r="F191" t="str">
            <v>nuttapong.s</v>
          </cell>
          <cell r="G191" t="str">
            <v>AN05</v>
          </cell>
          <cell r="H191" t="str">
            <v>PTTICT</v>
          </cell>
          <cell r="I191">
            <v>446.91101694915255</v>
          </cell>
          <cell r="J191">
            <v>5505.9437288135596</v>
          </cell>
        </row>
        <row r="192">
          <cell r="F192" t="str">
            <v>nuttawan.p</v>
          </cell>
          <cell r="G192" t="str">
            <v>AN03</v>
          </cell>
          <cell r="H192" t="str">
            <v>PTTICT</v>
          </cell>
          <cell r="I192">
            <v>425.29184322033899</v>
          </cell>
          <cell r="J192">
            <v>5239.5955084745765</v>
          </cell>
        </row>
        <row r="193">
          <cell r="F193" t="str">
            <v>onthipa.t</v>
          </cell>
          <cell r="G193" t="str">
            <v>MG01</v>
          </cell>
          <cell r="H193" t="str">
            <v>PTTICT</v>
          </cell>
          <cell r="I193">
            <v>717.74296536796533</v>
          </cell>
          <cell r="J193">
            <v>8842.5933333333323</v>
          </cell>
        </row>
        <row r="194">
          <cell r="F194" t="str">
            <v>onuma.p</v>
          </cell>
          <cell r="G194" t="str">
            <v>AN06</v>
          </cell>
          <cell r="H194" t="str">
            <v>PTTICT</v>
          </cell>
          <cell r="I194">
            <v>534.14036016949149</v>
          </cell>
          <cell r="J194">
            <v>6580.6092372881349</v>
          </cell>
        </row>
        <row r="195">
          <cell r="F195" t="str">
            <v>padet.t</v>
          </cell>
          <cell r="G195" t="str">
            <v>SA01</v>
          </cell>
          <cell r="H195" t="str">
            <v>PTTICT</v>
          </cell>
          <cell r="I195">
            <v>487.73887711864404</v>
          </cell>
          <cell r="J195">
            <v>6008.9429661016948</v>
          </cell>
        </row>
        <row r="196">
          <cell r="F196" t="str">
            <v>pairat.m</v>
          </cell>
          <cell r="G196" t="str">
            <v>MG05</v>
          </cell>
          <cell r="H196" t="str">
            <v>PTTICT</v>
          </cell>
          <cell r="I196">
            <v>1771.2164502164503</v>
          </cell>
          <cell r="J196">
            <v>21821.386666666669</v>
          </cell>
        </row>
        <row r="197">
          <cell r="F197" t="str">
            <v>paisal.s</v>
          </cell>
          <cell r="G197" t="str">
            <v>SA06</v>
          </cell>
          <cell r="H197" t="str">
            <v>PTT</v>
          </cell>
          <cell r="I197">
            <v>1398.3403679653679</v>
          </cell>
          <cell r="J197">
            <v>17227.553333333333</v>
          </cell>
        </row>
        <row r="198">
          <cell r="F198" t="str">
            <v>paitoon.p</v>
          </cell>
          <cell r="G198" t="str">
            <v>AN06</v>
          </cell>
          <cell r="H198" t="str">
            <v>PTTICT</v>
          </cell>
          <cell r="I198">
            <v>534.14036016949149</v>
          </cell>
          <cell r="J198">
            <v>6580.6092372881349</v>
          </cell>
        </row>
        <row r="199">
          <cell r="F199" t="str">
            <v>paitoon.s</v>
          </cell>
          <cell r="G199" t="str">
            <v>AN03</v>
          </cell>
          <cell r="H199" t="str">
            <v>PTTICT</v>
          </cell>
          <cell r="I199">
            <v>425.29184322033899</v>
          </cell>
          <cell r="J199">
            <v>5239.5955084745765</v>
          </cell>
        </row>
        <row r="200">
          <cell r="F200" t="str">
            <v>pakit.k</v>
          </cell>
          <cell r="G200" t="str">
            <v>SA02</v>
          </cell>
          <cell r="H200" t="str">
            <v>PTTICT</v>
          </cell>
          <cell r="I200">
            <v>599.20868644067798</v>
          </cell>
          <cell r="J200">
            <v>7382.2510169491525</v>
          </cell>
        </row>
        <row r="201">
          <cell r="F201" t="str">
            <v>pakornkiat.c</v>
          </cell>
          <cell r="G201" t="str">
            <v>AN04</v>
          </cell>
          <cell r="H201" t="str">
            <v>PTTICT</v>
          </cell>
          <cell r="I201">
            <v>363.23728813559325</v>
          </cell>
          <cell r="J201">
            <v>4475.0833898305091</v>
          </cell>
        </row>
        <row r="202">
          <cell r="F202" t="str">
            <v>pakpoom.l</v>
          </cell>
          <cell r="G202" t="str">
            <v>SA05</v>
          </cell>
          <cell r="H202" t="str">
            <v>PTTICT</v>
          </cell>
          <cell r="I202">
            <v>712.57309322033893</v>
          </cell>
          <cell r="J202">
            <v>8778.900508474575</v>
          </cell>
        </row>
        <row r="203">
          <cell r="F203" t="str">
            <v>palangchana.s</v>
          </cell>
          <cell r="G203" t="str">
            <v>SA01</v>
          </cell>
          <cell r="H203" t="str">
            <v>PTTICT</v>
          </cell>
          <cell r="I203">
            <v>487.73887711864404</v>
          </cell>
          <cell r="J203">
            <v>6008.9429661016948</v>
          </cell>
        </row>
        <row r="204">
          <cell r="F204" t="str">
            <v>paleerat.s</v>
          </cell>
          <cell r="G204" t="str">
            <v>SA02</v>
          </cell>
          <cell r="H204" t="str">
            <v>PTTICT</v>
          </cell>
          <cell r="I204">
            <v>599.20868644067798</v>
          </cell>
          <cell r="J204">
            <v>7382.2510169491525</v>
          </cell>
        </row>
        <row r="205">
          <cell r="F205" t="str">
            <v>palida.p</v>
          </cell>
          <cell r="G205" t="str">
            <v>AN02</v>
          </cell>
          <cell r="H205" t="str">
            <v>PTTICT</v>
          </cell>
          <cell r="I205">
            <v>345.64088983050846</v>
          </cell>
          <cell r="J205">
            <v>4258.295762711864</v>
          </cell>
        </row>
        <row r="206">
          <cell r="F206" t="str">
            <v>panipak.p</v>
          </cell>
          <cell r="G206" t="str">
            <v>AN06</v>
          </cell>
          <cell r="H206" t="str">
            <v>PTTICT</v>
          </cell>
          <cell r="I206">
            <v>534.14036016949149</v>
          </cell>
          <cell r="J206">
            <v>6580.6092372881349</v>
          </cell>
        </row>
        <row r="207">
          <cell r="F207" t="str">
            <v>panita.y</v>
          </cell>
          <cell r="G207" t="str">
            <v>AN05</v>
          </cell>
          <cell r="H207" t="str">
            <v>PTTICT</v>
          </cell>
          <cell r="I207">
            <v>446.91101694915255</v>
          </cell>
          <cell r="J207">
            <v>5505.9437288135596</v>
          </cell>
        </row>
        <row r="208">
          <cell r="F208" t="str">
            <v>panumars.t</v>
          </cell>
          <cell r="G208" t="str">
            <v>AN03</v>
          </cell>
          <cell r="H208" t="str">
            <v>PTTICT</v>
          </cell>
          <cell r="I208">
            <v>425.29184322033899</v>
          </cell>
          <cell r="J208">
            <v>5239.5955084745765</v>
          </cell>
        </row>
        <row r="209">
          <cell r="F209" t="str">
            <v>panupun.s</v>
          </cell>
          <cell r="G209" t="str">
            <v>AN05</v>
          </cell>
          <cell r="H209" t="str">
            <v>PTTICT</v>
          </cell>
          <cell r="I209">
            <v>446.91101694915255</v>
          </cell>
          <cell r="J209">
            <v>5505.9437288135596</v>
          </cell>
        </row>
        <row r="210">
          <cell r="F210" t="str">
            <v>papat.j</v>
          </cell>
          <cell r="G210" t="str">
            <v>AN06</v>
          </cell>
          <cell r="H210" t="str">
            <v>PTTICT</v>
          </cell>
          <cell r="I210">
            <v>534.14036016949149</v>
          </cell>
          <cell r="J210">
            <v>6580.6092372881349</v>
          </cell>
        </row>
        <row r="211">
          <cell r="F211" t="str">
            <v>paralee.l</v>
          </cell>
          <cell r="G211" t="str">
            <v>AN05</v>
          </cell>
          <cell r="H211" t="str">
            <v>PTTICT</v>
          </cell>
          <cell r="I211">
            <v>446.91101694915255</v>
          </cell>
          <cell r="J211">
            <v>5505.9437288135596</v>
          </cell>
        </row>
        <row r="212">
          <cell r="F212" t="str">
            <v>parida.k</v>
          </cell>
          <cell r="G212" t="str">
            <v>SA03</v>
          </cell>
          <cell r="H212" t="str">
            <v>PTTICT</v>
          </cell>
          <cell r="I212">
            <v>765.72563559322032</v>
          </cell>
          <cell r="J212">
            <v>9433.7398305084753</v>
          </cell>
        </row>
        <row r="213">
          <cell r="F213" t="str">
            <v>parinda.r</v>
          </cell>
          <cell r="G213" t="str">
            <v>SA02</v>
          </cell>
          <cell r="H213" t="str">
            <v>PTTICT</v>
          </cell>
          <cell r="I213">
            <v>599.20868644067798</v>
          </cell>
          <cell r="J213">
            <v>7382.2510169491525</v>
          </cell>
        </row>
        <row r="214">
          <cell r="F214" t="str">
            <v>parnrada.p</v>
          </cell>
          <cell r="G214" t="str">
            <v>AN06</v>
          </cell>
          <cell r="H214" t="str">
            <v>PTTICT</v>
          </cell>
          <cell r="I214">
            <v>534.14036016949149</v>
          </cell>
          <cell r="J214">
            <v>6580.6092372881349</v>
          </cell>
        </row>
        <row r="215">
          <cell r="F215" t="str">
            <v>pasuchart.s</v>
          </cell>
          <cell r="G215" t="str">
            <v>SA06</v>
          </cell>
          <cell r="H215" t="str">
            <v>PTTICT</v>
          </cell>
          <cell r="I215">
            <v>953.00529661016947</v>
          </cell>
          <cell r="J215">
            <v>11741.025254237287</v>
          </cell>
        </row>
        <row r="216">
          <cell r="F216" t="str">
            <v>patarawut.c</v>
          </cell>
          <cell r="G216" t="str">
            <v>SA02</v>
          </cell>
          <cell r="H216" t="str">
            <v>PTTICT</v>
          </cell>
          <cell r="I216">
            <v>599.20868644067798</v>
          </cell>
          <cell r="J216">
            <v>7382.2510169491525</v>
          </cell>
        </row>
        <row r="217">
          <cell r="F217" t="str">
            <v>patcharee.p</v>
          </cell>
          <cell r="G217" t="str">
            <v>SA05</v>
          </cell>
          <cell r="H217" t="str">
            <v>PTTICT</v>
          </cell>
          <cell r="I217">
            <v>712.57309322033893</v>
          </cell>
          <cell r="J217">
            <v>8778.900508474575</v>
          </cell>
        </row>
        <row r="218">
          <cell r="F218" t="str">
            <v>patcharin.v</v>
          </cell>
          <cell r="G218" t="str">
            <v>SA06</v>
          </cell>
          <cell r="H218" t="str">
            <v>PTTICT</v>
          </cell>
          <cell r="I218">
            <v>953.00529661016947</v>
          </cell>
          <cell r="J218">
            <v>11741.025254237287</v>
          </cell>
        </row>
        <row r="219">
          <cell r="F219" t="str">
            <v>patcharopas.l</v>
          </cell>
          <cell r="G219" t="str">
            <v>SA06</v>
          </cell>
          <cell r="H219" t="str">
            <v>PTTICT</v>
          </cell>
          <cell r="I219">
            <v>953.00529661016947</v>
          </cell>
          <cell r="J219">
            <v>11741.025254237287</v>
          </cell>
        </row>
        <row r="220">
          <cell r="F220" t="str">
            <v>pathcharnee.c</v>
          </cell>
          <cell r="G220" t="str">
            <v>AN02</v>
          </cell>
          <cell r="H220" t="str">
            <v>PTTICT</v>
          </cell>
          <cell r="I220">
            <v>345.64088983050846</v>
          </cell>
          <cell r="J220">
            <v>4258.295762711864</v>
          </cell>
        </row>
        <row r="221">
          <cell r="F221" t="str">
            <v>pattamawadee.c</v>
          </cell>
          <cell r="G221" t="str">
            <v>SA01</v>
          </cell>
          <cell r="H221" t="str">
            <v>PTTICT</v>
          </cell>
          <cell r="I221">
            <v>487.73887711864404</v>
          </cell>
          <cell r="J221">
            <v>6008.9429661016948</v>
          </cell>
        </row>
        <row r="222">
          <cell r="F222" t="str">
            <v>pattanachat.k</v>
          </cell>
          <cell r="G222" t="str">
            <v>MG03</v>
          </cell>
          <cell r="H222" t="str">
            <v>PTTGC</v>
          </cell>
          <cell r="I222">
            <v>1324.5662337662336</v>
          </cell>
          <cell r="J222">
            <v>16318.655999999999</v>
          </cell>
        </row>
        <row r="223">
          <cell r="F223" t="str">
            <v>pattaraporn.t</v>
          </cell>
          <cell r="G223" t="str">
            <v>AN06</v>
          </cell>
          <cell r="H223" t="str">
            <v>PTTICT</v>
          </cell>
          <cell r="I223">
            <v>534.14036016949149</v>
          </cell>
          <cell r="J223">
            <v>6580.6092372881349</v>
          </cell>
        </row>
        <row r="224">
          <cell r="F224" t="str">
            <v>pattharin.u</v>
          </cell>
          <cell r="G224" t="str">
            <v>MG03</v>
          </cell>
          <cell r="H224" t="str">
            <v>PTT</v>
          </cell>
          <cell r="I224">
            <v>1358.2754329004329</v>
          </cell>
          <cell r="J224">
            <v>16733.953333333335</v>
          </cell>
        </row>
        <row r="225">
          <cell r="F225" t="str">
            <v>paveena.p</v>
          </cell>
          <cell r="G225" t="str">
            <v>SA06</v>
          </cell>
          <cell r="H225" t="str">
            <v>PTTICT</v>
          </cell>
          <cell r="I225">
            <v>953.00529661016947</v>
          </cell>
          <cell r="J225">
            <v>11741.025254237287</v>
          </cell>
        </row>
        <row r="226">
          <cell r="F226" t="str">
            <v>pawida.s</v>
          </cell>
          <cell r="G226" t="str">
            <v>AN02</v>
          </cell>
          <cell r="H226" t="str">
            <v>PTTICT</v>
          </cell>
          <cell r="I226">
            <v>345.64088983050846</v>
          </cell>
          <cell r="J226">
            <v>4258.295762711864</v>
          </cell>
        </row>
        <row r="227">
          <cell r="F227" t="str">
            <v>pawinee.k</v>
          </cell>
          <cell r="G227" t="str">
            <v>AN06</v>
          </cell>
          <cell r="H227" t="str">
            <v>PTTICT</v>
          </cell>
          <cell r="I227">
            <v>534.14036016949149</v>
          </cell>
          <cell r="J227">
            <v>6580.6092372881349</v>
          </cell>
        </row>
        <row r="228">
          <cell r="F228" t="str">
            <v>pawitra.n</v>
          </cell>
          <cell r="G228" t="str">
            <v>AN03</v>
          </cell>
          <cell r="H228" t="str">
            <v>PTTICT</v>
          </cell>
          <cell r="I228">
            <v>425.29184322033899</v>
          </cell>
          <cell r="J228">
            <v>5239.5955084745765</v>
          </cell>
        </row>
        <row r="229">
          <cell r="F229" t="str">
            <v>perapong.s</v>
          </cell>
          <cell r="G229" t="str">
            <v>AN05</v>
          </cell>
          <cell r="H229" t="str">
            <v>PTTICT</v>
          </cell>
          <cell r="I229">
            <v>446.91101694915255</v>
          </cell>
          <cell r="J229">
            <v>5505.9437288135596</v>
          </cell>
        </row>
        <row r="230">
          <cell r="F230" t="str">
            <v>permporn.h</v>
          </cell>
          <cell r="G230" t="str">
            <v>AN02</v>
          </cell>
          <cell r="H230" t="str">
            <v>PTTICT</v>
          </cell>
          <cell r="I230">
            <v>345.64088983050846</v>
          </cell>
          <cell r="J230">
            <v>4258.295762711864</v>
          </cell>
        </row>
        <row r="231">
          <cell r="F231" t="str">
            <v>phaiphan.t</v>
          </cell>
          <cell r="G231" t="str">
            <v>MG05</v>
          </cell>
          <cell r="H231" t="str">
            <v>PTTICT</v>
          </cell>
          <cell r="I231">
            <v>1771.2164502164503</v>
          </cell>
          <cell r="J231">
            <v>21821.386666666669</v>
          </cell>
        </row>
        <row r="232">
          <cell r="F232" t="str">
            <v>phairuch.c</v>
          </cell>
          <cell r="G232" t="str">
            <v>MG05</v>
          </cell>
          <cell r="H232" t="str">
            <v>PTTICT</v>
          </cell>
          <cell r="I232">
            <v>1771.2164502164503</v>
          </cell>
          <cell r="J232">
            <v>21821.386666666669</v>
          </cell>
        </row>
        <row r="233">
          <cell r="F233" t="str">
            <v>phamorn.v</v>
          </cell>
          <cell r="G233" t="str">
            <v>AN05</v>
          </cell>
          <cell r="H233" t="str">
            <v>PTTICT</v>
          </cell>
          <cell r="I233">
            <v>446.91101694915255</v>
          </cell>
          <cell r="J233">
            <v>5505.9437288135596</v>
          </cell>
        </row>
        <row r="234">
          <cell r="F234" t="str">
            <v>pharkphoom.c</v>
          </cell>
          <cell r="G234" t="str">
            <v>MG02</v>
          </cell>
          <cell r="H234" t="str">
            <v>PTT</v>
          </cell>
          <cell r="I234">
            <v>1179.7765151515152</v>
          </cell>
          <cell r="J234">
            <v>14534.846666666668</v>
          </cell>
        </row>
        <row r="235">
          <cell r="F235" t="str">
            <v>phatarapa.b</v>
          </cell>
          <cell r="G235" t="str">
            <v>AN02</v>
          </cell>
          <cell r="H235" t="str">
            <v>PTTICT</v>
          </cell>
          <cell r="I235">
            <v>345.64088983050846</v>
          </cell>
          <cell r="J235">
            <v>4258.295762711864</v>
          </cell>
        </row>
        <row r="236">
          <cell r="F236" t="str">
            <v>phattrawat.p</v>
          </cell>
          <cell r="G236" t="str">
            <v>AN05</v>
          </cell>
          <cell r="H236" t="str">
            <v>PTTICT</v>
          </cell>
          <cell r="I236">
            <v>446.91101694915255</v>
          </cell>
          <cell r="J236">
            <v>5505.9437288135596</v>
          </cell>
        </row>
        <row r="237">
          <cell r="F237" t="str">
            <v>phongrawee.t</v>
          </cell>
          <cell r="G237" t="str">
            <v>AN03</v>
          </cell>
          <cell r="H237" t="str">
            <v>PTTICT</v>
          </cell>
          <cell r="I237">
            <v>425.29184322033899</v>
          </cell>
          <cell r="J237">
            <v>5239.5955084745765</v>
          </cell>
        </row>
        <row r="238">
          <cell r="F238" t="str">
            <v>phonphan.c</v>
          </cell>
          <cell r="G238" t="str">
            <v>AN01</v>
          </cell>
          <cell r="H238" t="str">
            <v>PTTICT</v>
          </cell>
          <cell r="I238">
            <v>272.47828389830511</v>
          </cell>
          <cell r="J238">
            <v>3356.9324576271192</v>
          </cell>
        </row>
        <row r="239">
          <cell r="F239" t="str">
            <v>pichet.s</v>
          </cell>
          <cell r="G239" t="str">
            <v>SA05</v>
          </cell>
          <cell r="H239" t="str">
            <v>PTT</v>
          </cell>
          <cell r="I239">
            <v>1178.0860389610389</v>
          </cell>
          <cell r="J239">
            <v>14514.019999999999</v>
          </cell>
        </row>
        <row r="240">
          <cell r="F240" t="str">
            <v>pilaiwan.p</v>
          </cell>
          <cell r="G240" t="str">
            <v>MG04</v>
          </cell>
          <cell r="H240" t="str">
            <v>PTT</v>
          </cell>
          <cell r="I240">
            <v>1607.9334415584415</v>
          </cell>
          <cell r="J240">
            <v>19809.739999999998</v>
          </cell>
        </row>
        <row r="241">
          <cell r="F241" t="str">
            <v>pimjai.d</v>
          </cell>
          <cell r="G241" t="str">
            <v>AN04</v>
          </cell>
          <cell r="H241" t="str">
            <v>PTTICT</v>
          </cell>
          <cell r="I241">
            <v>363.23728813559325</v>
          </cell>
          <cell r="J241">
            <v>4475.0833898305091</v>
          </cell>
        </row>
        <row r="242">
          <cell r="F242" t="str">
            <v>pinanong.j</v>
          </cell>
          <cell r="G242" t="str">
            <v>SA06</v>
          </cell>
          <cell r="H242" t="str">
            <v>PTTICT</v>
          </cell>
          <cell r="I242">
            <v>953.00529661016947</v>
          </cell>
          <cell r="J242">
            <v>11741.025254237287</v>
          </cell>
        </row>
        <row r="243">
          <cell r="F243" t="str">
            <v>pinit.r</v>
          </cell>
          <cell r="G243" t="str">
            <v>MG05</v>
          </cell>
          <cell r="H243" t="str">
            <v>PTT</v>
          </cell>
          <cell r="I243">
            <v>1814.9069264069265</v>
          </cell>
          <cell r="J243">
            <v>22359.653333333335</v>
          </cell>
        </row>
        <row r="244">
          <cell r="F244" t="str">
            <v>piroj.s</v>
          </cell>
          <cell r="G244" t="str">
            <v>AN06</v>
          </cell>
          <cell r="H244" t="str">
            <v>PTTICT</v>
          </cell>
          <cell r="I244">
            <v>534.14036016949149</v>
          </cell>
          <cell r="J244">
            <v>6580.6092372881349</v>
          </cell>
        </row>
        <row r="245">
          <cell r="F245" t="str">
            <v>pitak.k</v>
          </cell>
          <cell r="G245" t="str">
            <v>AN04</v>
          </cell>
          <cell r="H245" t="str">
            <v>PTTICT</v>
          </cell>
          <cell r="I245">
            <v>363.23728813559325</v>
          </cell>
          <cell r="J245">
            <v>4475.0833898305091</v>
          </cell>
        </row>
        <row r="246">
          <cell r="F246" t="str">
            <v>pitsamorn.i</v>
          </cell>
          <cell r="G246" t="str">
            <v>SA06</v>
          </cell>
          <cell r="H246" t="str">
            <v>PTTICT</v>
          </cell>
          <cell r="I246">
            <v>953.00529661016947</v>
          </cell>
          <cell r="J246">
            <v>11741.025254237287</v>
          </cell>
        </row>
        <row r="247">
          <cell r="F247" t="str">
            <v>piyadara.r</v>
          </cell>
          <cell r="G247" t="str">
            <v>AN05</v>
          </cell>
          <cell r="H247" t="str">
            <v>PTTICT</v>
          </cell>
          <cell r="I247">
            <v>446.91101694915255</v>
          </cell>
          <cell r="J247">
            <v>5505.9437288135596</v>
          </cell>
        </row>
        <row r="248">
          <cell r="F248" t="str">
            <v>pol.c</v>
          </cell>
          <cell r="G248" t="str">
            <v>AN06</v>
          </cell>
          <cell r="H248" t="str">
            <v>PTTGC</v>
          </cell>
          <cell r="I248">
            <v>817.21917372881353</v>
          </cell>
          <cell r="J248">
            <v>10068.140220338983</v>
          </cell>
        </row>
        <row r="249">
          <cell r="F249" t="str">
            <v>polchet.a</v>
          </cell>
          <cell r="G249" t="str">
            <v>SA05</v>
          </cell>
          <cell r="H249" t="str">
            <v>PTTICT</v>
          </cell>
          <cell r="I249">
            <v>712.57309322033893</v>
          </cell>
          <cell r="J249">
            <v>8778.900508474575</v>
          </cell>
        </row>
        <row r="250">
          <cell r="F250" t="str">
            <v>pongpat.t</v>
          </cell>
          <cell r="G250" t="str">
            <v>AN03</v>
          </cell>
          <cell r="H250" t="str">
            <v>PTTICT</v>
          </cell>
          <cell r="I250">
            <v>425.29184322033899</v>
          </cell>
          <cell r="J250">
            <v>5239.5955084745765</v>
          </cell>
        </row>
        <row r="251">
          <cell r="F251" t="str">
            <v>pongpisut.n</v>
          </cell>
          <cell r="G251" t="str">
            <v>AN02</v>
          </cell>
          <cell r="H251" t="str">
            <v>PTTICT</v>
          </cell>
          <cell r="I251">
            <v>345.64088983050846</v>
          </cell>
          <cell r="J251">
            <v>4258.295762711864</v>
          </cell>
        </row>
        <row r="252">
          <cell r="F252" t="str">
            <v>pongsakorn.k</v>
          </cell>
          <cell r="G252" t="str">
            <v>SA02</v>
          </cell>
          <cell r="H252" t="str">
            <v>PTTICT</v>
          </cell>
          <cell r="I252">
            <v>599.20868644067798</v>
          </cell>
          <cell r="J252">
            <v>7382.2510169491525</v>
          </cell>
        </row>
        <row r="253">
          <cell r="F253" t="str">
            <v>pongsaporn.n</v>
          </cell>
          <cell r="G253" t="str">
            <v>AN04</v>
          </cell>
          <cell r="H253" t="str">
            <v>PTTICT</v>
          </cell>
          <cell r="I253">
            <v>363.23728813559325</v>
          </cell>
          <cell r="J253">
            <v>4475.0833898305091</v>
          </cell>
        </row>
        <row r="254">
          <cell r="F254" t="str">
            <v>pongsiri.n</v>
          </cell>
          <cell r="G254" t="str">
            <v>AN02</v>
          </cell>
          <cell r="H254" t="str">
            <v>PTTICT</v>
          </cell>
          <cell r="I254">
            <v>345.64088983050846</v>
          </cell>
          <cell r="J254">
            <v>4258.295762711864</v>
          </cell>
        </row>
        <row r="255">
          <cell r="F255" t="str">
            <v>poonpitsuda.a</v>
          </cell>
          <cell r="G255" t="str">
            <v>SA05</v>
          </cell>
          <cell r="H255" t="str">
            <v>PTTICT</v>
          </cell>
          <cell r="I255">
            <v>712.57309322033893</v>
          </cell>
          <cell r="J255">
            <v>8778.900508474575</v>
          </cell>
        </row>
        <row r="256">
          <cell r="F256" t="str">
            <v>pornchai.k</v>
          </cell>
          <cell r="G256" t="str">
            <v>SA02</v>
          </cell>
          <cell r="H256" t="str">
            <v>PTTICT</v>
          </cell>
          <cell r="I256">
            <v>599.20868644067798</v>
          </cell>
          <cell r="J256">
            <v>7382.2510169491525</v>
          </cell>
        </row>
        <row r="257">
          <cell r="F257" t="str">
            <v>pornchai.p</v>
          </cell>
          <cell r="G257" t="str">
            <v>SA04</v>
          </cell>
          <cell r="H257" t="str">
            <v>PTT</v>
          </cell>
          <cell r="I257">
            <v>903.99783549783547</v>
          </cell>
          <cell r="J257">
            <v>11137.253333333334</v>
          </cell>
        </row>
        <row r="258">
          <cell r="F258" t="str">
            <v>pornchai.t</v>
          </cell>
          <cell r="G258" t="str">
            <v>AN05</v>
          </cell>
          <cell r="H258" t="str">
            <v>PTTICT</v>
          </cell>
          <cell r="I258">
            <v>446.91101694915255</v>
          </cell>
          <cell r="J258">
            <v>5505.9437288135596</v>
          </cell>
        </row>
        <row r="259">
          <cell r="F259" t="str">
            <v>pornpimon.k</v>
          </cell>
          <cell r="G259" t="str">
            <v>SA01</v>
          </cell>
          <cell r="H259" t="str">
            <v>PTTICT</v>
          </cell>
          <cell r="I259">
            <v>487.73887711864404</v>
          </cell>
          <cell r="J259">
            <v>6008.9429661016948</v>
          </cell>
        </row>
        <row r="260">
          <cell r="F260" t="str">
            <v>pornrudee.j</v>
          </cell>
          <cell r="G260" t="str">
            <v>AN06</v>
          </cell>
          <cell r="H260" t="str">
            <v>PTTICT</v>
          </cell>
          <cell r="I260">
            <v>534.14036016949149</v>
          </cell>
          <cell r="J260">
            <v>6580.6092372881349</v>
          </cell>
        </row>
        <row r="261">
          <cell r="F261" t="str">
            <v>porntip.s</v>
          </cell>
          <cell r="G261" t="str">
            <v>VP01</v>
          </cell>
          <cell r="H261" t="str">
            <v>PTT</v>
          </cell>
          <cell r="I261">
            <v>2694.7207792207791</v>
          </cell>
          <cell r="J261">
            <v>33198.959999999999</v>
          </cell>
        </row>
        <row r="262">
          <cell r="F262" t="str">
            <v>porpailin.p</v>
          </cell>
          <cell r="G262" t="str">
            <v>AN05</v>
          </cell>
          <cell r="H262" t="str">
            <v>PTTICT</v>
          </cell>
          <cell r="I262">
            <v>446.91101694915255</v>
          </cell>
          <cell r="J262">
            <v>5505.9437288135596</v>
          </cell>
        </row>
        <row r="263">
          <cell r="F263" t="str">
            <v>prachaya.p</v>
          </cell>
          <cell r="G263" t="str">
            <v>SA01</v>
          </cell>
          <cell r="H263" t="str">
            <v>PTTICT</v>
          </cell>
          <cell r="I263">
            <v>487.73887711864404</v>
          </cell>
          <cell r="J263">
            <v>6008.9429661016948</v>
          </cell>
        </row>
        <row r="264">
          <cell r="F264" t="str">
            <v>praewpailin.r</v>
          </cell>
          <cell r="G264" t="str">
            <v>SA01</v>
          </cell>
          <cell r="H264" t="str">
            <v>PTTICT</v>
          </cell>
          <cell r="I264">
            <v>487.73887711864404</v>
          </cell>
          <cell r="J264">
            <v>6008.9429661016948</v>
          </cell>
        </row>
        <row r="265">
          <cell r="F265" t="str">
            <v>praewpan.k</v>
          </cell>
          <cell r="G265" t="str">
            <v>SA02</v>
          </cell>
          <cell r="H265" t="str">
            <v>PTTICT</v>
          </cell>
          <cell r="I265">
            <v>599.20868644067798</v>
          </cell>
          <cell r="J265">
            <v>7382.2510169491525</v>
          </cell>
        </row>
        <row r="266">
          <cell r="F266" t="str">
            <v>praewpran.j</v>
          </cell>
          <cell r="G266" t="str">
            <v>AN02</v>
          </cell>
          <cell r="H266" t="str">
            <v>PTTICT</v>
          </cell>
          <cell r="I266">
            <v>345.64088983050846</v>
          </cell>
          <cell r="J266">
            <v>4258.295762711864</v>
          </cell>
        </row>
        <row r="267">
          <cell r="F267" t="str">
            <v>prajuab.v</v>
          </cell>
          <cell r="G267" t="str">
            <v>SA02</v>
          </cell>
          <cell r="H267" t="str">
            <v>PTTICT</v>
          </cell>
          <cell r="I267">
            <v>599.20868644067798</v>
          </cell>
          <cell r="J267">
            <v>7382.2510169491525</v>
          </cell>
        </row>
        <row r="268">
          <cell r="F268" t="str">
            <v>pramote.w</v>
          </cell>
          <cell r="G268" t="str">
            <v>MG04</v>
          </cell>
          <cell r="H268" t="str">
            <v>PTT</v>
          </cell>
          <cell r="I268">
            <v>1607.9334415584415</v>
          </cell>
          <cell r="J268">
            <v>19809.739999999998</v>
          </cell>
        </row>
        <row r="269">
          <cell r="F269" t="str">
            <v>prapas.b</v>
          </cell>
          <cell r="G269" t="str">
            <v>VP01</v>
          </cell>
          <cell r="H269" t="str">
            <v>PTTGC</v>
          </cell>
          <cell r="I269">
            <v>3014.8058874458875</v>
          </cell>
          <cell r="J269">
            <v>37142.408533333335</v>
          </cell>
        </row>
        <row r="270">
          <cell r="F270" t="str">
            <v>prapon.k</v>
          </cell>
          <cell r="G270" t="str">
            <v>SA05</v>
          </cell>
          <cell r="H270" t="str">
            <v>PTTEP</v>
          </cell>
          <cell r="I270">
            <v>1060.9989177489178</v>
          </cell>
          <cell r="J270">
            <v>13071.506666666668</v>
          </cell>
        </row>
        <row r="271">
          <cell r="F271" t="str">
            <v>prasong.lu</v>
          </cell>
          <cell r="G271" t="str">
            <v>SA06</v>
          </cell>
          <cell r="H271" t="str">
            <v>PTTICT</v>
          </cell>
          <cell r="I271">
            <v>953.00529661016947</v>
          </cell>
          <cell r="J271">
            <v>11741.025254237287</v>
          </cell>
        </row>
        <row r="272">
          <cell r="F272" t="str">
            <v>prateep.w</v>
          </cell>
          <cell r="G272" t="str">
            <v>AN06</v>
          </cell>
          <cell r="H272" t="str">
            <v>PTTICT</v>
          </cell>
          <cell r="I272">
            <v>534.14036016949149</v>
          </cell>
          <cell r="J272">
            <v>6580.6092372881349</v>
          </cell>
        </row>
        <row r="273">
          <cell r="F273" t="str">
            <v>prichaya.c</v>
          </cell>
          <cell r="G273" t="str">
            <v>AN05</v>
          </cell>
          <cell r="H273" t="str">
            <v>PTTICT</v>
          </cell>
          <cell r="I273">
            <v>446.91101694915255</v>
          </cell>
          <cell r="J273">
            <v>5505.9437288135596</v>
          </cell>
        </row>
        <row r="274">
          <cell r="F274" t="str">
            <v>prissana.p</v>
          </cell>
          <cell r="G274" t="str">
            <v>VP01</v>
          </cell>
          <cell r="H274" t="str">
            <v>PTT</v>
          </cell>
          <cell r="I274">
            <v>2694.7207792207791</v>
          </cell>
          <cell r="J274">
            <v>33198.959999999999</v>
          </cell>
        </row>
        <row r="275">
          <cell r="F275" t="str">
            <v>punnit.m</v>
          </cell>
          <cell r="G275" t="str">
            <v>SA02</v>
          </cell>
          <cell r="H275" t="str">
            <v>PTTICT</v>
          </cell>
          <cell r="I275">
            <v>599.20868644067798</v>
          </cell>
          <cell r="J275">
            <v>7382.2510169491525</v>
          </cell>
        </row>
        <row r="276">
          <cell r="F276" t="str">
            <v>punyanan.p</v>
          </cell>
          <cell r="G276" t="str">
            <v>AN04</v>
          </cell>
          <cell r="H276" t="str">
            <v>PTTICT</v>
          </cell>
          <cell r="I276">
            <v>363.23728813559325</v>
          </cell>
          <cell r="J276">
            <v>4475.0833898305091</v>
          </cell>
        </row>
        <row r="277">
          <cell r="F277" t="str">
            <v>puttipong.s</v>
          </cell>
          <cell r="G277" t="str">
            <v>SA01</v>
          </cell>
          <cell r="H277" t="str">
            <v>PTTICT</v>
          </cell>
          <cell r="I277">
            <v>487.73887711864404</v>
          </cell>
          <cell r="J277">
            <v>6008.9429661016948</v>
          </cell>
        </row>
        <row r="278">
          <cell r="F278" t="str">
            <v>rachin.i</v>
          </cell>
          <cell r="G278" t="str">
            <v>AN01</v>
          </cell>
          <cell r="H278" t="str">
            <v>PTTICT</v>
          </cell>
          <cell r="I278">
            <v>272.47828389830511</v>
          </cell>
          <cell r="J278">
            <v>3356.9324576271192</v>
          </cell>
        </row>
        <row r="279">
          <cell r="F279" t="str">
            <v>rangrath.k</v>
          </cell>
          <cell r="G279" t="str">
            <v>AN06</v>
          </cell>
          <cell r="H279" t="str">
            <v>PTT</v>
          </cell>
          <cell r="I279">
            <v>858.42002118644064</v>
          </cell>
          <cell r="J279">
            <v>10575.73466101695</v>
          </cell>
        </row>
        <row r="280">
          <cell r="F280" t="str">
            <v>ratchadaporn.y</v>
          </cell>
          <cell r="G280" t="str">
            <v>SA05</v>
          </cell>
          <cell r="H280" t="str">
            <v>PTTICT</v>
          </cell>
          <cell r="I280">
            <v>712.57309322033893</v>
          </cell>
          <cell r="J280">
            <v>8778.900508474575</v>
          </cell>
        </row>
        <row r="281">
          <cell r="F281" t="str">
            <v>ratchanee.l</v>
          </cell>
          <cell r="G281" t="str">
            <v>SA04</v>
          </cell>
          <cell r="H281" t="str">
            <v>PTT</v>
          </cell>
          <cell r="I281">
            <v>903.99783549783547</v>
          </cell>
          <cell r="J281">
            <v>11137.253333333334</v>
          </cell>
        </row>
        <row r="282">
          <cell r="F282" t="str">
            <v>ratchaneekorn.s</v>
          </cell>
          <cell r="G282" t="str">
            <v>AN03</v>
          </cell>
          <cell r="H282" t="str">
            <v>PTTICT</v>
          </cell>
          <cell r="I282">
            <v>425.29184322033899</v>
          </cell>
          <cell r="J282">
            <v>5239.5955084745765</v>
          </cell>
        </row>
        <row r="283">
          <cell r="F283" t="str">
            <v>ratchaneekorn.v</v>
          </cell>
          <cell r="G283" t="str">
            <v>SA02</v>
          </cell>
          <cell r="H283" t="str">
            <v>PTTICT</v>
          </cell>
          <cell r="I283">
            <v>599.20868644067798</v>
          </cell>
          <cell r="J283">
            <v>7382.2510169491525</v>
          </cell>
        </row>
        <row r="284">
          <cell r="F284" t="str">
            <v>ratchatawan.w</v>
          </cell>
          <cell r="G284" t="str">
            <v>AN05</v>
          </cell>
          <cell r="H284" t="str">
            <v>PTTICT</v>
          </cell>
          <cell r="I284">
            <v>446.91101694915255</v>
          </cell>
          <cell r="J284">
            <v>5505.9437288135596</v>
          </cell>
        </row>
        <row r="285">
          <cell r="F285" t="str">
            <v>ravivat.d</v>
          </cell>
          <cell r="G285" t="str">
            <v>SA04</v>
          </cell>
          <cell r="H285" t="str">
            <v>PTT</v>
          </cell>
          <cell r="I285">
            <v>903.99783549783547</v>
          </cell>
          <cell r="J285">
            <v>11137.253333333334</v>
          </cell>
        </row>
        <row r="286">
          <cell r="F286" t="str">
            <v>rerai.n</v>
          </cell>
          <cell r="G286" t="str">
            <v>SA05</v>
          </cell>
          <cell r="H286" t="str">
            <v>PTT</v>
          </cell>
          <cell r="I286">
            <v>1178.0860389610389</v>
          </cell>
          <cell r="J286">
            <v>14514.019999999999</v>
          </cell>
        </row>
        <row r="287">
          <cell r="F287" t="str">
            <v>rerngwutt.l</v>
          </cell>
          <cell r="G287" t="str">
            <v>SA06</v>
          </cell>
          <cell r="H287" t="str">
            <v>PTTEP</v>
          </cell>
          <cell r="I287">
            <v>1437.7608225108224</v>
          </cell>
          <cell r="J287">
            <v>17713.213333333333</v>
          </cell>
        </row>
        <row r="288">
          <cell r="F288" t="str">
            <v>rewat.p</v>
          </cell>
          <cell r="G288" t="str">
            <v>SA02</v>
          </cell>
          <cell r="H288" t="str">
            <v>PTTICT</v>
          </cell>
          <cell r="I288">
            <v>599.20868644067798</v>
          </cell>
          <cell r="J288">
            <v>7382.2510169491525</v>
          </cell>
        </row>
        <row r="289">
          <cell r="F289" t="str">
            <v>rittirong.w</v>
          </cell>
          <cell r="G289" t="str">
            <v>SA02</v>
          </cell>
          <cell r="H289" t="str">
            <v>PTTGC</v>
          </cell>
          <cell r="I289">
            <v>727.62322510822514</v>
          </cell>
          <cell r="J289">
            <v>8964.3181333333341</v>
          </cell>
        </row>
        <row r="290">
          <cell r="F290" t="str">
            <v>roongkiat.k</v>
          </cell>
          <cell r="G290" t="str">
            <v>SA06</v>
          </cell>
          <cell r="H290" t="str">
            <v>PTTICT</v>
          </cell>
          <cell r="I290">
            <v>953.00529661016947</v>
          </cell>
          <cell r="J290">
            <v>11741.025254237287</v>
          </cell>
        </row>
        <row r="291">
          <cell r="F291" t="str">
            <v>rosarin.t</v>
          </cell>
          <cell r="G291" t="str">
            <v>AN01</v>
          </cell>
          <cell r="H291" t="str">
            <v>PTTICT</v>
          </cell>
          <cell r="I291">
            <v>272.47828389830511</v>
          </cell>
          <cell r="J291">
            <v>3356.9324576271192</v>
          </cell>
        </row>
        <row r="292">
          <cell r="F292" t="str">
            <v>rujiras.t</v>
          </cell>
          <cell r="G292" t="str">
            <v>SA02</v>
          </cell>
          <cell r="H292" t="str">
            <v>PTTICT</v>
          </cell>
          <cell r="I292">
            <v>599.20868644067798</v>
          </cell>
          <cell r="J292">
            <v>7382.2510169491525</v>
          </cell>
        </row>
        <row r="293">
          <cell r="F293" t="str">
            <v>rujirawat.a</v>
          </cell>
          <cell r="G293" t="str">
            <v>AN06</v>
          </cell>
          <cell r="H293" t="str">
            <v>PTTICT</v>
          </cell>
          <cell r="I293">
            <v>534.14036016949149</v>
          </cell>
          <cell r="J293">
            <v>6580.6092372881349</v>
          </cell>
        </row>
        <row r="294">
          <cell r="F294" t="str">
            <v>rungsima.r</v>
          </cell>
          <cell r="G294" t="str">
            <v>AN02</v>
          </cell>
          <cell r="H294" t="str">
            <v>PTTICT</v>
          </cell>
          <cell r="I294">
            <v>345.64088983050846</v>
          </cell>
          <cell r="J294">
            <v>4258.295762711864</v>
          </cell>
        </row>
        <row r="295">
          <cell r="F295" t="str">
            <v>ruttanachai.a</v>
          </cell>
          <cell r="G295" t="str">
            <v>AN02</v>
          </cell>
          <cell r="H295" t="str">
            <v>PTTICT</v>
          </cell>
          <cell r="I295">
            <v>345.64088983050846</v>
          </cell>
          <cell r="J295">
            <v>4258.295762711864</v>
          </cell>
        </row>
        <row r="296">
          <cell r="F296" t="str">
            <v>sakol.k</v>
          </cell>
          <cell r="G296" t="str">
            <v>SA02</v>
          </cell>
          <cell r="H296" t="str">
            <v>PTTICT</v>
          </cell>
          <cell r="I296">
            <v>599.20868644067798</v>
          </cell>
          <cell r="J296">
            <v>7382.2510169491525</v>
          </cell>
        </row>
        <row r="297">
          <cell r="F297" t="str">
            <v>saktip.t</v>
          </cell>
          <cell r="G297" t="str">
            <v>AN04</v>
          </cell>
          <cell r="H297" t="str">
            <v>PTTICT</v>
          </cell>
          <cell r="I297">
            <v>363.23728813559325</v>
          </cell>
          <cell r="J297">
            <v>4475.0833898305091</v>
          </cell>
        </row>
        <row r="298">
          <cell r="F298" t="str">
            <v>samila.p</v>
          </cell>
          <cell r="G298" t="str">
            <v>MG03</v>
          </cell>
          <cell r="H298" t="str">
            <v>PTT</v>
          </cell>
          <cell r="I298">
            <v>1358.2754329004329</v>
          </cell>
          <cell r="J298">
            <v>16733.953333333335</v>
          </cell>
        </row>
        <row r="299">
          <cell r="F299" t="str">
            <v>sangtip.c</v>
          </cell>
          <cell r="G299" t="str">
            <v>VP01</v>
          </cell>
          <cell r="H299" t="str">
            <v>PTT</v>
          </cell>
          <cell r="I299">
            <v>2694.7207792207791</v>
          </cell>
          <cell r="J299">
            <v>33198.959999999999</v>
          </cell>
        </row>
        <row r="300">
          <cell r="F300" t="str">
            <v>sanya.k</v>
          </cell>
          <cell r="G300" t="str">
            <v>SA05</v>
          </cell>
          <cell r="H300" t="str">
            <v>PTT</v>
          </cell>
          <cell r="I300">
            <v>1178.0860389610389</v>
          </cell>
          <cell r="J300">
            <v>14514.019999999999</v>
          </cell>
        </row>
        <row r="301">
          <cell r="F301" t="str">
            <v>saowanee.c</v>
          </cell>
          <cell r="G301" t="str">
            <v>SA02</v>
          </cell>
          <cell r="H301" t="str">
            <v>PTTICT</v>
          </cell>
          <cell r="I301">
            <v>599.20868644067798</v>
          </cell>
          <cell r="J301">
            <v>7382.2510169491525</v>
          </cell>
        </row>
        <row r="302">
          <cell r="F302" t="str">
            <v>saran.j</v>
          </cell>
          <cell r="G302" t="str">
            <v>SA05</v>
          </cell>
          <cell r="H302" t="str">
            <v>PTTICT</v>
          </cell>
          <cell r="I302">
            <v>712.57309322033893</v>
          </cell>
          <cell r="J302">
            <v>8778.900508474575</v>
          </cell>
        </row>
        <row r="303">
          <cell r="F303" t="str">
            <v>saran.y</v>
          </cell>
          <cell r="G303" t="str">
            <v>AN04</v>
          </cell>
          <cell r="H303" t="str">
            <v>PTTICT</v>
          </cell>
          <cell r="I303">
            <v>363.23728813559325</v>
          </cell>
          <cell r="J303">
            <v>4475.0833898305091</v>
          </cell>
        </row>
        <row r="304">
          <cell r="F304" t="str">
            <v>sarayut.t</v>
          </cell>
          <cell r="G304" t="str">
            <v>AN05</v>
          </cell>
          <cell r="H304" t="str">
            <v>PTTICT</v>
          </cell>
          <cell r="I304">
            <v>446.91101694915255</v>
          </cell>
          <cell r="J304">
            <v>5505.9437288135596</v>
          </cell>
        </row>
        <row r="305">
          <cell r="F305" t="str">
            <v>sasi.r</v>
          </cell>
          <cell r="G305" t="str">
            <v>MG02</v>
          </cell>
          <cell r="H305" t="str">
            <v>PTT</v>
          </cell>
          <cell r="I305">
            <v>1179.7765151515152</v>
          </cell>
          <cell r="J305">
            <v>14534.846666666668</v>
          </cell>
        </row>
        <row r="306">
          <cell r="F306" t="str">
            <v>sasikarn.c</v>
          </cell>
          <cell r="G306" t="str">
            <v>SA02</v>
          </cell>
          <cell r="H306" t="str">
            <v>PTTICT</v>
          </cell>
          <cell r="I306">
            <v>599.20868644067798</v>
          </cell>
          <cell r="J306">
            <v>7382.2510169491525</v>
          </cell>
        </row>
        <row r="307">
          <cell r="F307" t="str">
            <v>sasitha.k</v>
          </cell>
          <cell r="G307" t="str">
            <v>SA03</v>
          </cell>
          <cell r="H307" t="str">
            <v>PTTICT</v>
          </cell>
          <cell r="I307">
            <v>765.72563559322032</v>
          </cell>
          <cell r="J307">
            <v>9433.7398305084753</v>
          </cell>
        </row>
        <row r="308">
          <cell r="F308" t="str">
            <v>sayamon.v</v>
          </cell>
          <cell r="G308" t="str">
            <v>AN04</v>
          </cell>
          <cell r="H308" t="str">
            <v>PTTICT</v>
          </cell>
          <cell r="I308">
            <v>363.23728813559325</v>
          </cell>
          <cell r="J308">
            <v>4475.0833898305091</v>
          </cell>
        </row>
        <row r="309">
          <cell r="F309" t="str">
            <v>sayumporn.r</v>
          </cell>
          <cell r="G309" t="str">
            <v>SA05</v>
          </cell>
          <cell r="H309" t="str">
            <v>PTT</v>
          </cell>
          <cell r="I309">
            <v>1178.0860389610389</v>
          </cell>
          <cell r="J309">
            <v>14514.019999999999</v>
          </cell>
        </row>
        <row r="310">
          <cell r="F310" t="str">
            <v>seree.c</v>
          </cell>
          <cell r="G310" t="str">
            <v>AN06</v>
          </cell>
          <cell r="H310" t="str">
            <v>PTT</v>
          </cell>
          <cell r="I310">
            <v>858.42002118644064</v>
          </cell>
          <cell r="J310">
            <v>10575.73466101695</v>
          </cell>
        </row>
        <row r="311">
          <cell r="F311" t="str">
            <v>sineenart.s</v>
          </cell>
          <cell r="G311" t="str">
            <v>MG02</v>
          </cell>
          <cell r="H311" t="str">
            <v>PTT</v>
          </cell>
          <cell r="I311">
            <v>1179.7765151515152</v>
          </cell>
          <cell r="J311">
            <v>14534.846666666668</v>
          </cell>
        </row>
        <row r="312">
          <cell r="F312" t="str">
            <v>sinvisa.n</v>
          </cell>
          <cell r="G312" t="str">
            <v>AN06</v>
          </cell>
          <cell r="H312" t="str">
            <v>PTTICT</v>
          </cell>
          <cell r="I312">
            <v>534.14036016949149</v>
          </cell>
          <cell r="J312">
            <v>6580.6092372881349</v>
          </cell>
        </row>
        <row r="313">
          <cell r="F313" t="str">
            <v>sirima.c</v>
          </cell>
          <cell r="G313" t="str">
            <v>SA06</v>
          </cell>
          <cell r="H313" t="str">
            <v>PTTEP</v>
          </cell>
          <cell r="I313">
            <v>1437.7608225108224</v>
          </cell>
          <cell r="J313">
            <v>17713.213333333333</v>
          </cell>
        </row>
        <row r="314">
          <cell r="F314" t="str">
            <v>siripong.s</v>
          </cell>
          <cell r="G314" t="str">
            <v>AN05</v>
          </cell>
          <cell r="H314" t="str">
            <v>PTTICT</v>
          </cell>
          <cell r="I314">
            <v>446.91101694915255</v>
          </cell>
          <cell r="J314">
            <v>5505.9437288135596</v>
          </cell>
        </row>
        <row r="315">
          <cell r="F315" t="str">
            <v>siriporn.j</v>
          </cell>
          <cell r="G315" t="str">
            <v>AN02</v>
          </cell>
          <cell r="H315" t="str">
            <v>PTTICT</v>
          </cell>
          <cell r="I315">
            <v>345.64088983050846</v>
          </cell>
          <cell r="J315">
            <v>4258.295762711864</v>
          </cell>
        </row>
        <row r="316">
          <cell r="F316" t="str">
            <v>sirivit.y</v>
          </cell>
          <cell r="G316" t="str">
            <v>AN06</v>
          </cell>
          <cell r="H316" t="str">
            <v>PTTICT</v>
          </cell>
          <cell r="I316">
            <v>534.14036016949149</v>
          </cell>
          <cell r="J316">
            <v>6580.6092372881349</v>
          </cell>
        </row>
        <row r="317">
          <cell r="F317" t="str">
            <v>siriyaporn.s</v>
          </cell>
          <cell r="G317" t="str">
            <v>SM01</v>
          </cell>
          <cell r="H317" t="str">
            <v>PTT</v>
          </cell>
          <cell r="I317">
            <v>1560.439393939394</v>
          </cell>
          <cell r="J317">
            <v>19224.613333333335</v>
          </cell>
        </row>
        <row r="318">
          <cell r="F318" t="str">
            <v>siroj.v</v>
          </cell>
          <cell r="G318" t="str">
            <v>AN02</v>
          </cell>
          <cell r="H318" t="str">
            <v>PTTICT</v>
          </cell>
          <cell r="I318">
            <v>345.64088983050846</v>
          </cell>
          <cell r="J318">
            <v>4258.295762711864</v>
          </cell>
        </row>
        <row r="319">
          <cell r="F319" t="str">
            <v>sitthameth.t</v>
          </cell>
          <cell r="G319" t="str">
            <v>SA02</v>
          </cell>
          <cell r="H319" t="str">
            <v>PTTICT</v>
          </cell>
          <cell r="I319">
            <v>599.20868644067798</v>
          </cell>
          <cell r="J319">
            <v>7382.2510169491525</v>
          </cell>
        </row>
        <row r="320">
          <cell r="F320" t="str">
            <v>sittichoke.w</v>
          </cell>
          <cell r="G320" t="str">
            <v>MG04</v>
          </cell>
          <cell r="H320" t="str">
            <v>PTTICT</v>
          </cell>
          <cell r="I320">
            <v>1203.1028138528138</v>
          </cell>
          <cell r="J320">
            <v>14822.226666666667</v>
          </cell>
        </row>
        <row r="321">
          <cell r="F321" t="str">
            <v>sivakan.s</v>
          </cell>
          <cell r="G321" t="str">
            <v>SA04</v>
          </cell>
          <cell r="H321" t="str">
            <v>PTT</v>
          </cell>
          <cell r="I321">
            <v>903.99783549783547</v>
          </cell>
          <cell r="J321">
            <v>11137.253333333334</v>
          </cell>
        </row>
        <row r="322">
          <cell r="F322" t="str">
            <v>sivanart.r</v>
          </cell>
          <cell r="G322" t="str">
            <v>AN02</v>
          </cell>
          <cell r="H322" t="str">
            <v>PTTICT</v>
          </cell>
          <cell r="I322">
            <v>345.64088983050846</v>
          </cell>
          <cell r="J322">
            <v>4258.295762711864</v>
          </cell>
        </row>
        <row r="323">
          <cell r="F323" t="str">
            <v>sivapong.t</v>
          </cell>
          <cell r="G323" t="str">
            <v>SA01</v>
          </cell>
          <cell r="H323" t="str">
            <v>PTTICT</v>
          </cell>
          <cell r="I323">
            <v>487.73887711864404</v>
          </cell>
          <cell r="J323">
            <v>6008.9429661016948</v>
          </cell>
        </row>
        <row r="324">
          <cell r="F324" t="str">
            <v>somboon.r</v>
          </cell>
          <cell r="G324" t="str">
            <v>MG04</v>
          </cell>
          <cell r="H324" t="str">
            <v>PTT</v>
          </cell>
          <cell r="I324">
            <v>1607.9334415584415</v>
          </cell>
          <cell r="J324">
            <v>19809.739999999998</v>
          </cell>
        </row>
        <row r="325">
          <cell r="F325" t="str">
            <v>somchai.w</v>
          </cell>
          <cell r="G325" t="str">
            <v>AN05</v>
          </cell>
          <cell r="H325" t="str">
            <v>PTTICT</v>
          </cell>
          <cell r="I325">
            <v>446.91101694915255</v>
          </cell>
          <cell r="J325">
            <v>5505.9437288135596</v>
          </cell>
        </row>
        <row r="326">
          <cell r="F326" t="str">
            <v>somkid.k</v>
          </cell>
          <cell r="G326" t="str">
            <v>MG04</v>
          </cell>
          <cell r="H326" t="str">
            <v>PTT</v>
          </cell>
          <cell r="I326">
            <v>1607.9334415584415</v>
          </cell>
          <cell r="J326">
            <v>19809.739999999998</v>
          </cell>
        </row>
        <row r="327">
          <cell r="F327" t="str">
            <v>sommai.j</v>
          </cell>
          <cell r="G327" t="str">
            <v>SM02</v>
          </cell>
          <cell r="H327" t="str">
            <v>PTT</v>
          </cell>
          <cell r="I327">
            <v>2370.2976190476193</v>
          </cell>
          <cell r="J327">
            <v>29202.066666666669</v>
          </cell>
        </row>
        <row r="328">
          <cell r="F328" t="str">
            <v>somphob.a</v>
          </cell>
          <cell r="G328" t="str">
            <v>SA04</v>
          </cell>
          <cell r="H328" t="str">
            <v>PTTGC</v>
          </cell>
          <cell r="I328">
            <v>825.38186147186161</v>
          </cell>
          <cell r="J328">
            <v>10168.704533333335</v>
          </cell>
        </row>
        <row r="329">
          <cell r="F329" t="str">
            <v>somphong.w</v>
          </cell>
          <cell r="G329" t="str">
            <v>SA06</v>
          </cell>
          <cell r="H329" t="str">
            <v>PTTICT</v>
          </cell>
          <cell r="I329">
            <v>953.00529661016947</v>
          </cell>
          <cell r="J329">
            <v>11741.025254237287</v>
          </cell>
        </row>
        <row r="330">
          <cell r="F330" t="str">
            <v>somphot.s</v>
          </cell>
          <cell r="G330" t="str">
            <v>AN05</v>
          </cell>
          <cell r="H330" t="str">
            <v>PTTICT</v>
          </cell>
          <cell r="I330">
            <v>446.91101694915255</v>
          </cell>
          <cell r="J330">
            <v>5505.9437288135596</v>
          </cell>
        </row>
        <row r="331">
          <cell r="F331" t="str">
            <v>sompoch.b</v>
          </cell>
          <cell r="G331" t="str">
            <v>SA03</v>
          </cell>
          <cell r="H331" t="str">
            <v>PTTICT</v>
          </cell>
          <cell r="I331">
            <v>765.72563559322032</v>
          </cell>
          <cell r="J331">
            <v>9433.7398305084753</v>
          </cell>
        </row>
        <row r="332">
          <cell r="F332" t="str">
            <v>somprasong.p</v>
          </cell>
          <cell r="G332" t="str">
            <v>AN02</v>
          </cell>
          <cell r="H332" t="str">
            <v>PTTICT</v>
          </cell>
          <cell r="I332">
            <v>345.64088983050846</v>
          </cell>
          <cell r="J332">
            <v>4258.295762711864</v>
          </cell>
        </row>
        <row r="333">
          <cell r="F333" t="str">
            <v>somruthai.k</v>
          </cell>
          <cell r="G333" t="str">
            <v>AN05</v>
          </cell>
          <cell r="H333" t="str">
            <v>PTTICT</v>
          </cell>
          <cell r="I333">
            <v>446.91101694915255</v>
          </cell>
          <cell r="J333">
            <v>5505.9437288135596</v>
          </cell>
        </row>
        <row r="334">
          <cell r="F334" t="str">
            <v>somsak.c</v>
          </cell>
          <cell r="G334" t="str">
            <v>MG02</v>
          </cell>
          <cell r="H334" t="str">
            <v>PTT</v>
          </cell>
          <cell r="I334">
            <v>1179.7765151515152</v>
          </cell>
          <cell r="J334">
            <v>14534.846666666668</v>
          </cell>
        </row>
        <row r="335">
          <cell r="F335" t="str">
            <v>somyot.t</v>
          </cell>
          <cell r="G335" t="str">
            <v>SA04</v>
          </cell>
          <cell r="H335" t="str">
            <v>PTT</v>
          </cell>
          <cell r="I335">
            <v>903.99783549783547</v>
          </cell>
          <cell r="J335">
            <v>11137.253333333334</v>
          </cell>
        </row>
        <row r="336">
          <cell r="F336" t="str">
            <v>songpol.p</v>
          </cell>
          <cell r="G336" t="str">
            <v>AN06</v>
          </cell>
          <cell r="H336" t="str">
            <v>PTT</v>
          </cell>
          <cell r="I336">
            <v>858.42002118644064</v>
          </cell>
          <cell r="J336">
            <v>10575.73466101695</v>
          </cell>
        </row>
        <row r="337">
          <cell r="F337" t="str">
            <v>songsuda.w</v>
          </cell>
          <cell r="G337" t="str">
            <v>SA06</v>
          </cell>
          <cell r="H337" t="str">
            <v>PTTICT</v>
          </cell>
          <cell r="I337">
            <v>953.00529661016947</v>
          </cell>
          <cell r="J337">
            <v>11741.025254237287</v>
          </cell>
        </row>
        <row r="338">
          <cell r="F338" t="str">
            <v>songwuth.p</v>
          </cell>
          <cell r="G338" t="str">
            <v>AN05</v>
          </cell>
          <cell r="H338" t="str">
            <v>PTTICT</v>
          </cell>
          <cell r="I338">
            <v>446.91101694915255</v>
          </cell>
          <cell r="J338">
            <v>5505.9437288135596</v>
          </cell>
        </row>
        <row r="339">
          <cell r="F339" t="str">
            <v>soonthorn.r</v>
          </cell>
          <cell r="G339" t="str">
            <v>SA05</v>
          </cell>
          <cell r="H339" t="str">
            <v>PTT</v>
          </cell>
          <cell r="I339">
            <v>1178.0860389610389</v>
          </cell>
          <cell r="J339">
            <v>14514.019999999999</v>
          </cell>
        </row>
        <row r="340">
          <cell r="F340" t="str">
            <v>sopin.p</v>
          </cell>
          <cell r="G340" t="str">
            <v>SA05</v>
          </cell>
          <cell r="H340" t="str">
            <v>PTT</v>
          </cell>
          <cell r="I340">
            <v>1178.0860389610389</v>
          </cell>
          <cell r="J340">
            <v>14514.019999999999</v>
          </cell>
        </row>
        <row r="341">
          <cell r="F341" t="str">
            <v>soracha.w</v>
          </cell>
          <cell r="G341" t="str">
            <v>SA01</v>
          </cell>
          <cell r="H341" t="str">
            <v>PTTICT</v>
          </cell>
          <cell r="I341">
            <v>487.73887711864404</v>
          </cell>
          <cell r="J341">
            <v>6008.9429661016948</v>
          </cell>
        </row>
        <row r="342">
          <cell r="F342" t="str">
            <v>sorranun.s</v>
          </cell>
          <cell r="G342" t="str">
            <v>SA04</v>
          </cell>
          <cell r="H342" t="str">
            <v>PTTICT</v>
          </cell>
          <cell r="I342">
            <v>638.34639830508479</v>
          </cell>
          <cell r="J342">
            <v>7864.4276271186445</v>
          </cell>
        </row>
        <row r="343">
          <cell r="F343" t="str">
            <v>suchachit.l</v>
          </cell>
          <cell r="G343" t="str">
            <v>SA05</v>
          </cell>
          <cell r="H343" t="str">
            <v>PTTICT</v>
          </cell>
          <cell r="I343">
            <v>712.57309322033893</v>
          </cell>
          <cell r="J343">
            <v>8778.900508474575</v>
          </cell>
        </row>
        <row r="344">
          <cell r="F344" t="str">
            <v>suchintana.r</v>
          </cell>
          <cell r="G344" t="str">
            <v>SA06</v>
          </cell>
          <cell r="H344" t="str">
            <v>PTTICT</v>
          </cell>
          <cell r="I344">
            <v>953.00529661016947</v>
          </cell>
          <cell r="J344">
            <v>11741.025254237287</v>
          </cell>
        </row>
        <row r="345">
          <cell r="F345" t="str">
            <v>suda.u</v>
          </cell>
          <cell r="G345" t="str">
            <v>SA05</v>
          </cell>
          <cell r="H345" t="str">
            <v>PTTICT</v>
          </cell>
          <cell r="I345">
            <v>712.57309322033893</v>
          </cell>
          <cell r="J345">
            <v>8778.900508474575</v>
          </cell>
        </row>
        <row r="346">
          <cell r="F346" t="str">
            <v>sudawan.k</v>
          </cell>
          <cell r="G346" t="str">
            <v>SA04</v>
          </cell>
          <cell r="H346" t="str">
            <v>PTTICT</v>
          </cell>
          <cell r="I346">
            <v>638.34639830508479</v>
          </cell>
          <cell r="J346">
            <v>7864.4276271186445</v>
          </cell>
        </row>
        <row r="347">
          <cell r="F347" t="str">
            <v>sujin.w</v>
          </cell>
          <cell r="G347" t="str">
            <v>SA06</v>
          </cell>
          <cell r="H347" t="str">
            <v>PTTGC</v>
          </cell>
          <cell r="I347">
            <v>1281.4376190476189</v>
          </cell>
          <cell r="J347">
            <v>15787.311466666666</v>
          </cell>
        </row>
        <row r="348">
          <cell r="F348" t="str">
            <v>sukanlaya.c</v>
          </cell>
          <cell r="G348" t="str">
            <v>SA01</v>
          </cell>
          <cell r="H348" t="str">
            <v>PTTICT</v>
          </cell>
          <cell r="I348">
            <v>487.73887711864404</v>
          </cell>
          <cell r="J348">
            <v>6008.9429661016948</v>
          </cell>
        </row>
        <row r="349">
          <cell r="F349" t="str">
            <v>sukhin.j</v>
          </cell>
          <cell r="G349" t="str">
            <v>SA01</v>
          </cell>
          <cell r="H349" t="str">
            <v>PTTICT</v>
          </cell>
          <cell r="I349">
            <v>487.73887711864404</v>
          </cell>
          <cell r="J349">
            <v>6008.9429661016948</v>
          </cell>
        </row>
        <row r="350">
          <cell r="F350" t="str">
            <v>sukritta.j</v>
          </cell>
          <cell r="G350" t="str">
            <v>AN06</v>
          </cell>
          <cell r="H350" t="str">
            <v>PTTICT</v>
          </cell>
          <cell r="I350">
            <v>534.14036016949149</v>
          </cell>
          <cell r="J350">
            <v>6580.6092372881349</v>
          </cell>
        </row>
        <row r="351">
          <cell r="F351" t="str">
            <v>sulawan.t</v>
          </cell>
          <cell r="G351" t="str">
            <v>AN05</v>
          </cell>
          <cell r="H351" t="str">
            <v>PTTICT</v>
          </cell>
          <cell r="I351">
            <v>446.91101694915255</v>
          </cell>
          <cell r="J351">
            <v>5505.9437288135596</v>
          </cell>
        </row>
        <row r="352">
          <cell r="F352" t="str">
            <v>supada.s</v>
          </cell>
          <cell r="G352" t="str">
            <v>SA02</v>
          </cell>
          <cell r="H352" t="str">
            <v>PTTICT</v>
          </cell>
          <cell r="I352">
            <v>599.20868644067798</v>
          </cell>
          <cell r="J352">
            <v>7382.2510169491525</v>
          </cell>
        </row>
        <row r="353">
          <cell r="F353" t="str">
            <v>supakorn.m</v>
          </cell>
          <cell r="G353" t="str">
            <v>AN02</v>
          </cell>
          <cell r="H353" t="str">
            <v>PTTICT</v>
          </cell>
          <cell r="I353">
            <v>345.64088983050846</v>
          </cell>
          <cell r="J353">
            <v>4258.295762711864</v>
          </cell>
        </row>
        <row r="354">
          <cell r="F354" t="str">
            <v>supaluck.v</v>
          </cell>
          <cell r="G354" t="str">
            <v>AN05</v>
          </cell>
          <cell r="H354" t="str">
            <v>PTTICT</v>
          </cell>
          <cell r="I354">
            <v>446.91101694915255</v>
          </cell>
          <cell r="J354">
            <v>5505.9437288135596</v>
          </cell>
        </row>
        <row r="355">
          <cell r="F355" t="str">
            <v>supaporn.s</v>
          </cell>
          <cell r="G355" t="str">
            <v>AN06</v>
          </cell>
          <cell r="H355" t="str">
            <v>PTTICT</v>
          </cell>
          <cell r="I355">
            <v>534.14036016949149</v>
          </cell>
          <cell r="J355">
            <v>6580.6092372881349</v>
          </cell>
        </row>
        <row r="356">
          <cell r="F356" t="str">
            <v>supara.h</v>
          </cell>
          <cell r="G356" t="str">
            <v>MG02</v>
          </cell>
          <cell r="H356" t="str">
            <v>PTTGC</v>
          </cell>
          <cell r="I356">
            <v>1168.1804978354978</v>
          </cell>
          <cell r="J356">
            <v>14391.983733333333</v>
          </cell>
        </row>
        <row r="357">
          <cell r="F357" t="str">
            <v>supatchaya.t</v>
          </cell>
          <cell r="G357" t="str">
            <v>AN01</v>
          </cell>
          <cell r="H357" t="str">
            <v>PTTICT</v>
          </cell>
          <cell r="I357">
            <v>272.47828389830511</v>
          </cell>
          <cell r="J357">
            <v>3356.9324576271192</v>
          </cell>
        </row>
        <row r="358">
          <cell r="F358" t="str">
            <v>supattra.c</v>
          </cell>
          <cell r="G358" t="str">
            <v>SA04</v>
          </cell>
          <cell r="H358" t="str">
            <v>PTT</v>
          </cell>
          <cell r="I358">
            <v>903.99783549783547</v>
          </cell>
          <cell r="J358">
            <v>11137.253333333334</v>
          </cell>
        </row>
        <row r="359">
          <cell r="F359" t="str">
            <v>supawat.n</v>
          </cell>
          <cell r="G359" t="str">
            <v>SA04</v>
          </cell>
          <cell r="H359" t="str">
            <v>PTTICT</v>
          </cell>
          <cell r="I359">
            <v>638.34639830508479</v>
          </cell>
          <cell r="J359">
            <v>7864.4276271186445</v>
          </cell>
        </row>
        <row r="360">
          <cell r="F360" t="str">
            <v>supharuek.i</v>
          </cell>
          <cell r="G360" t="str">
            <v>AN04</v>
          </cell>
          <cell r="H360" t="str">
            <v>PTTICT</v>
          </cell>
          <cell r="I360">
            <v>363.23728813559325</v>
          </cell>
          <cell r="J360">
            <v>4475.0833898305091</v>
          </cell>
        </row>
        <row r="361">
          <cell r="F361" t="str">
            <v>supinya.c</v>
          </cell>
          <cell r="G361" t="str">
            <v>SA05</v>
          </cell>
          <cell r="H361" t="str">
            <v>PTTICT</v>
          </cell>
          <cell r="I361">
            <v>712.57309322033893</v>
          </cell>
          <cell r="J361">
            <v>8778.900508474575</v>
          </cell>
        </row>
        <row r="362">
          <cell r="F362" t="str">
            <v>supreeya.s</v>
          </cell>
          <cell r="G362" t="str">
            <v>SA03</v>
          </cell>
          <cell r="H362" t="str">
            <v>PTTICT</v>
          </cell>
          <cell r="I362">
            <v>765.72563559322032</v>
          </cell>
          <cell r="J362">
            <v>9433.7398305084753</v>
          </cell>
        </row>
        <row r="363">
          <cell r="F363" t="str">
            <v>surachai.l</v>
          </cell>
          <cell r="G363" t="str">
            <v>SA05</v>
          </cell>
          <cell r="H363" t="str">
            <v>PTTICT</v>
          </cell>
          <cell r="I363">
            <v>712.57309322033893</v>
          </cell>
          <cell r="J363">
            <v>8778.900508474575</v>
          </cell>
        </row>
        <row r="364">
          <cell r="F364" t="str">
            <v>suradech.t</v>
          </cell>
          <cell r="G364" t="str">
            <v>SA06</v>
          </cell>
          <cell r="H364" t="str">
            <v>PTTICT</v>
          </cell>
          <cell r="I364">
            <v>953.00529661016947</v>
          </cell>
          <cell r="J364">
            <v>11741.025254237287</v>
          </cell>
        </row>
        <row r="365">
          <cell r="F365" t="str">
            <v>surapong.s</v>
          </cell>
          <cell r="G365" t="str">
            <v>AN01</v>
          </cell>
          <cell r="H365" t="str">
            <v>PTTICT</v>
          </cell>
          <cell r="I365">
            <v>272.47828389830511</v>
          </cell>
          <cell r="J365">
            <v>3356.9324576271192</v>
          </cell>
        </row>
        <row r="366">
          <cell r="F366" t="str">
            <v>surarit.c</v>
          </cell>
          <cell r="G366" t="str">
            <v>SA01</v>
          </cell>
          <cell r="H366" t="str">
            <v>PTTICT</v>
          </cell>
          <cell r="I366">
            <v>487.73887711864404</v>
          </cell>
          <cell r="J366">
            <v>6008.9429661016948</v>
          </cell>
        </row>
        <row r="367">
          <cell r="F367" t="str">
            <v>sureemas.c</v>
          </cell>
          <cell r="G367" t="str">
            <v>AN01</v>
          </cell>
          <cell r="H367" t="str">
            <v>PTTICT</v>
          </cell>
          <cell r="I367">
            <v>272.47828389830511</v>
          </cell>
          <cell r="J367">
            <v>3356.9324576271192</v>
          </cell>
        </row>
        <row r="368">
          <cell r="F368" t="str">
            <v>sutas.j</v>
          </cell>
          <cell r="G368" t="str">
            <v>AN05</v>
          </cell>
          <cell r="H368" t="str">
            <v>PTTICT</v>
          </cell>
          <cell r="I368">
            <v>446.91101694915255</v>
          </cell>
          <cell r="J368">
            <v>5505.9437288135596</v>
          </cell>
        </row>
        <row r="369">
          <cell r="F369" t="str">
            <v>sutee.k</v>
          </cell>
          <cell r="G369" t="str">
            <v>AN05</v>
          </cell>
          <cell r="H369" t="str">
            <v>PTTICT</v>
          </cell>
          <cell r="I369">
            <v>446.91101694915255</v>
          </cell>
          <cell r="J369">
            <v>5505.9437288135596</v>
          </cell>
        </row>
        <row r="370">
          <cell r="F370" t="str">
            <v>suthida.r</v>
          </cell>
          <cell r="G370" t="str">
            <v>AN05</v>
          </cell>
          <cell r="H370" t="str">
            <v>PTTICT</v>
          </cell>
          <cell r="I370">
            <v>446.91101694915255</v>
          </cell>
          <cell r="J370">
            <v>5505.9437288135596</v>
          </cell>
        </row>
        <row r="371">
          <cell r="F371" t="str">
            <v>suthinan.j</v>
          </cell>
          <cell r="G371" t="str">
            <v>SA05</v>
          </cell>
          <cell r="H371" t="str">
            <v>PTT</v>
          </cell>
          <cell r="I371">
            <v>1178.0860389610389</v>
          </cell>
          <cell r="J371">
            <v>14514.019999999999</v>
          </cell>
        </row>
        <row r="372">
          <cell r="F372" t="str">
            <v>suttasinee.t</v>
          </cell>
          <cell r="G372" t="str">
            <v>AN01</v>
          </cell>
          <cell r="H372" t="str">
            <v>PTTICT</v>
          </cell>
          <cell r="I372">
            <v>272.47828389830511</v>
          </cell>
          <cell r="J372">
            <v>3356.9324576271192</v>
          </cell>
        </row>
        <row r="373">
          <cell r="F373" t="str">
            <v>sutthi.k</v>
          </cell>
          <cell r="G373" t="str">
            <v>MG05</v>
          </cell>
          <cell r="H373" t="str">
            <v>PTTICT</v>
          </cell>
          <cell r="I373">
            <v>1771.2164502164503</v>
          </cell>
          <cell r="J373">
            <v>21821.386666666669</v>
          </cell>
        </row>
        <row r="374">
          <cell r="F374" t="str">
            <v>sutthida.y</v>
          </cell>
          <cell r="G374" t="str">
            <v>AN05</v>
          </cell>
          <cell r="H374" t="str">
            <v>PTTICT</v>
          </cell>
          <cell r="I374">
            <v>446.91101694915255</v>
          </cell>
          <cell r="J374">
            <v>5505.9437288135596</v>
          </cell>
        </row>
        <row r="375">
          <cell r="F375" t="str">
            <v>suwin.s</v>
          </cell>
          <cell r="G375" t="str">
            <v>AN01</v>
          </cell>
          <cell r="H375" t="str">
            <v>PTTICT</v>
          </cell>
          <cell r="I375">
            <v>272.47828389830511</v>
          </cell>
          <cell r="J375">
            <v>3356.9324576271192</v>
          </cell>
        </row>
        <row r="376">
          <cell r="F376" t="str">
            <v>taiyen.r</v>
          </cell>
          <cell r="G376" t="str">
            <v>AN06</v>
          </cell>
          <cell r="H376" t="str">
            <v>PTTICT</v>
          </cell>
          <cell r="I376">
            <v>534.14036016949149</v>
          </cell>
          <cell r="J376">
            <v>6580.6092372881349</v>
          </cell>
        </row>
        <row r="377">
          <cell r="F377" t="str">
            <v>tamolwatt.g</v>
          </cell>
          <cell r="G377" t="str">
            <v>AN05</v>
          </cell>
          <cell r="H377" t="str">
            <v>PTTICT</v>
          </cell>
          <cell r="I377">
            <v>446.91101694915255</v>
          </cell>
          <cell r="J377">
            <v>5505.9437288135596</v>
          </cell>
        </row>
        <row r="378">
          <cell r="F378" t="str">
            <v>tanakrit.j</v>
          </cell>
          <cell r="G378" t="str">
            <v>AN05</v>
          </cell>
          <cell r="H378" t="str">
            <v>PTTICT</v>
          </cell>
          <cell r="I378">
            <v>446.91101694915255</v>
          </cell>
          <cell r="J378">
            <v>5505.9437288135596</v>
          </cell>
        </row>
        <row r="379">
          <cell r="F379" t="str">
            <v>tanapon.p</v>
          </cell>
          <cell r="G379" t="str">
            <v>AN05</v>
          </cell>
          <cell r="H379" t="str">
            <v>PTTICT</v>
          </cell>
          <cell r="I379">
            <v>446.91101694915255</v>
          </cell>
          <cell r="J379">
            <v>5505.9437288135596</v>
          </cell>
        </row>
        <row r="380">
          <cell r="F380" t="str">
            <v>tanat.p</v>
          </cell>
          <cell r="G380" t="str">
            <v>AN06</v>
          </cell>
          <cell r="H380" t="str">
            <v>PTTICT</v>
          </cell>
          <cell r="I380">
            <v>534.14036016949149</v>
          </cell>
          <cell r="J380">
            <v>6580.6092372881349</v>
          </cell>
        </row>
        <row r="381">
          <cell r="F381" t="str">
            <v>tanatorn.s</v>
          </cell>
          <cell r="G381" t="str">
            <v>AN02</v>
          </cell>
          <cell r="H381" t="str">
            <v>PTTICT</v>
          </cell>
          <cell r="I381">
            <v>345.64088983050846</v>
          </cell>
          <cell r="J381">
            <v>4258.295762711864</v>
          </cell>
        </row>
        <row r="382">
          <cell r="F382" t="str">
            <v>tanin.k</v>
          </cell>
          <cell r="G382" t="str">
            <v>AN06</v>
          </cell>
          <cell r="H382" t="str">
            <v>PTTICT</v>
          </cell>
          <cell r="I382">
            <v>534.14036016949149</v>
          </cell>
          <cell r="J382">
            <v>6580.6092372881349</v>
          </cell>
        </row>
        <row r="383">
          <cell r="F383" t="str">
            <v>taratorn.k</v>
          </cell>
          <cell r="G383" t="str">
            <v>MG03</v>
          </cell>
          <cell r="H383" t="str">
            <v>PTTICT</v>
          </cell>
          <cell r="I383">
            <v>1046.5573593073593</v>
          </cell>
          <cell r="J383">
            <v>12893.586666666668</v>
          </cell>
        </row>
        <row r="384">
          <cell r="F384" t="str">
            <v>tarngrud.t</v>
          </cell>
          <cell r="G384" t="str">
            <v>SA02</v>
          </cell>
          <cell r="H384" t="str">
            <v>PTTICT</v>
          </cell>
          <cell r="I384">
            <v>599.20868644067798</v>
          </cell>
          <cell r="J384">
            <v>7382.2510169491525</v>
          </cell>
        </row>
        <row r="385">
          <cell r="F385" t="str">
            <v>tawat.e</v>
          </cell>
          <cell r="G385" t="str">
            <v>AN02</v>
          </cell>
          <cell r="H385" t="str">
            <v>PTTICT</v>
          </cell>
          <cell r="I385">
            <v>345.64088983050846</v>
          </cell>
          <cell r="J385">
            <v>4258.295762711864</v>
          </cell>
        </row>
        <row r="386">
          <cell r="F386" t="str">
            <v>tawit.c</v>
          </cell>
          <cell r="G386" t="str">
            <v>AN06</v>
          </cell>
          <cell r="H386" t="str">
            <v>PTTICT</v>
          </cell>
          <cell r="I386">
            <v>534.14036016949149</v>
          </cell>
          <cell r="J386">
            <v>6580.6092372881349</v>
          </cell>
        </row>
        <row r="387">
          <cell r="F387" t="str">
            <v>teera.p</v>
          </cell>
          <cell r="G387" t="str">
            <v>AN03</v>
          </cell>
          <cell r="H387" t="str">
            <v>PTTICT</v>
          </cell>
          <cell r="I387">
            <v>425.29184322033899</v>
          </cell>
          <cell r="J387">
            <v>5239.5955084745765</v>
          </cell>
        </row>
        <row r="388">
          <cell r="F388" t="str">
            <v>teera.w</v>
          </cell>
          <cell r="G388" t="str">
            <v>AN04</v>
          </cell>
          <cell r="H388" t="str">
            <v>PTTICT</v>
          </cell>
          <cell r="I388">
            <v>363.23728813559325</v>
          </cell>
          <cell r="J388">
            <v>4475.0833898305091</v>
          </cell>
        </row>
        <row r="389">
          <cell r="F389" t="str">
            <v>teeradej.d</v>
          </cell>
          <cell r="G389" t="str">
            <v>SA03</v>
          </cell>
          <cell r="H389" t="str">
            <v>PTTICT</v>
          </cell>
          <cell r="I389">
            <v>765.72563559322032</v>
          </cell>
          <cell r="J389">
            <v>9433.7398305084753</v>
          </cell>
        </row>
        <row r="390">
          <cell r="F390" t="str">
            <v>teeraphong.c</v>
          </cell>
          <cell r="G390" t="str">
            <v>AN06</v>
          </cell>
          <cell r="H390" t="str">
            <v>PTTEP</v>
          </cell>
          <cell r="I390">
            <v>868.73622881355936</v>
          </cell>
          <cell r="J390">
            <v>10702.830338983051</v>
          </cell>
        </row>
        <row r="391">
          <cell r="F391" t="str">
            <v>temduang.s</v>
          </cell>
          <cell r="G391" t="str">
            <v>SA04</v>
          </cell>
          <cell r="H391" t="str">
            <v>PTTGC</v>
          </cell>
          <cell r="I391">
            <v>825.38186147186161</v>
          </cell>
          <cell r="J391">
            <v>10168.704533333335</v>
          </cell>
        </row>
        <row r="392">
          <cell r="F392" t="str">
            <v>teparat.i</v>
          </cell>
          <cell r="G392" t="str">
            <v>SA04</v>
          </cell>
          <cell r="H392" t="str">
            <v>PTT</v>
          </cell>
          <cell r="I392">
            <v>903.99783549783547</v>
          </cell>
          <cell r="J392">
            <v>11137.253333333334</v>
          </cell>
        </row>
        <row r="393">
          <cell r="F393" t="str">
            <v>thamanoon.k</v>
          </cell>
          <cell r="G393" t="str">
            <v>AN06</v>
          </cell>
          <cell r="H393" t="str">
            <v>PTTICT</v>
          </cell>
          <cell r="I393">
            <v>534.14036016949149</v>
          </cell>
          <cell r="J393">
            <v>6580.6092372881349</v>
          </cell>
        </row>
        <row r="394">
          <cell r="F394" t="str">
            <v>thanakorn.bu</v>
          </cell>
          <cell r="G394" t="str">
            <v>AN06</v>
          </cell>
          <cell r="H394" t="str">
            <v>PTTICT</v>
          </cell>
          <cell r="I394">
            <v>534.14036016949149</v>
          </cell>
          <cell r="J394">
            <v>6580.6092372881349</v>
          </cell>
        </row>
        <row r="395">
          <cell r="F395" t="str">
            <v>thanakrit.l</v>
          </cell>
          <cell r="G395" t="str">
            <v>SA01</v>
          </cell>
          <cell r="H395" t="str">
            <v>PTTICT</v>
          </cell>
          <cell r="I395">
            <v>487.73887711864404</v>
          </cell>
          <cell r="J395">
            <v>6008.9429661016948</v>
          </cell>
        </row>
        <row r="396">
          <cell r="F396" t="str">
            <v>thanasan.i</v>
          </cell>
          <cell r="G396" t="str">
            <v>SA04</v>
          </cell>
          <cell r="H396" t="str">
            <v>PTT</v>
          </cell>
          <cell r="I396">
            <v>903.99783549783547</v>
          </cell>
          <cell r="J396">
            <v>11137.253333333334</v>
          </cell>
        </row>
        <row r="397">
          <cell r="F397" t="str">
            <v>thanasin.j</v>
          </cell>
          <cell r="G397" t="str">
            <v>SA05</v>
          </cell>
          <cell r="H397" t="str">
            <v>PTTICT</v>
          </cell>
          <cell r="I397">
            <v>712.57309322033893</v>
          </cell>
          <cell r="J397">
            <v>8778.900508474575</v>
          </cell>
        </row>
        <row r="398">
          <cell r="F398" t="str">
            <v>thanawadee.t</v>
          </cell>
          <cell r="G398" t="str">
            <v>SA02</v>
          </cell>
          <cell r="H398" t="str">
            <v>PTTICT</v>
          </cell>
          <cell r="I398">
            <v>599.20868644067798</v>
          </cell>
          <cell r="J398">
            <v>7382.2510169491525</v>
          </cell>
        </row>
        <row r="399">
          <cell r="F399" t="str">
            <v>thanawat.h</v>
          </cell>
          <cell r="G399" t="str">
            <v>AN03</v>
          </cell>
          <cell r="H399" t="str">
            <v>PTTICT</v>
          </cell>
          <cell r="I399">
            <v>425.29184322033899</v>
          </cell>
          <cell r="J399">
            <v>5239.5955084745765</v>
          </cell>
        </row>
        <row r="400">
          <cell r="F400" t="str">
            <v>thanawat.k</v>
          </cell>
          <cell r="G400" t="str">
            <v>SA01</v>
          </cell>
          <cell r="H400" t="str">
            <v>PTTICT</v>
          </cell>
          <cell r="I400">
            <v>487.73887711864404</v>
          </cell>
          <cell r="J400">
            <v>6008.9429661016948</v>
          </cell>
        </row>
        <row r="401">
          <cell r="F401" t="str">
            <v>thaned.t</v>
          </cell>
          <cell r="G401" t="str">
            <v>AN02</v>
          </cell>
          <cell r="H401" t="str">
            <v>PTTICT</v>
          </cell>
          <cell r="I401">
            <v>345.64088983050846</v>
          </cell>
          <cell r="J401">
            <v>4258.295762711864</v>
          </cell>
        </row>
        <row r="402">
          <cell r="F402" t="str">
            <v>thanest.s</v>
          </cell>
          <cell r="G402" t="str">
            <v>SA05</v>
          </cell>
          <cell r="H402" t="str">
            <v>PTTICT</v>
          </cell>
          <cell r="I402">
            <v>712.57309322033893</v>
          </cell>
          <cell r="J402">
            <v>8778.900508474575</v>
          </cell>
        </row>
        <row r="403">
          <cell r="F403" t="str">
            <v>thaninnut.s</v>
          </cell>
          <cell r="G403" t="str">
            <v>SA05</v>
          </cell>
          <cell r="H403" t="str">
            <v>PTTICT</v>
          </cell>
          <cell r="I403">
            <v>712.57309322033893</v>
          </cell>
          <cell r="J403">
            <v>8778.900508474575</v>
          </cell>
        </row>
        <row r="404">
          <cell r="F404" t="str">
            <v>thapranee.c</v>
          </cell>
          <cell r="G404" t="str">
            <v>AN04</v>
          </cell>
          <cell r="H404" t="str">
            <v>PTTICT</v>
          </cell>
          <cell r="I404">
            <v>363.23728813559325</v>
          </cell>
          <cell r="J404">
            <v>4475.0833898305091</v>
          </cell>
        </row>
        <row r="405">
          <cell r="F405" t="str">
            <v>thassanan.s</v>
          </cell>
          <cell r="G405" t="str">
            <v>AN06</v>
          </cell>
          <cell r="H405" t="str">
            <v>PTTICT</v>
          </cell>
          <cell r="I405">
            <v>534.14036016949149</v>
          </cell>
          <cell r="J405">
            <v>6580.6092372881349</v>
          </cell>
        </row>
        <row r="406">
          <cell r="F406" t="str">
            <v>thawatchai.w</v>
          </cell>
          <cell r="G406" t="str">
            <v>AN02</v>
          </cell>
          <cell r="H406" t="str">
            <v>PTTICT</v>
          </cell>
          <cell r="I406">
            <v>345.64088983050846</v>
          </cell>
          <cell r="J406">
            <v>4258.295762711864</v>
          </cell>
        </row>
        <row r="407">
          <cell r="F407" t="str">
            <v>thaweechai.c</v>
          </cell>
          <cell r="G407" t="str">
            <v>SA02</v>
          </cell>
          <cell r="H407" t="str">
            <v>PTTICT</v>
          </cell>
          <cell r="I407">
            <v>599.20868644067798</v>
          </cell>
          <cell r="J407">
            <v>7382.2510169491525</v>
          </cell>
        </row>
        <row r="408">
          <cell r="F408" t="str">
            <v>theeranuch.n</v>
          </cell>
          <cell r="G408" t="str">
            <v>SA02</v>
          </cell>
          <cell r="H408" t="str">
            <v>PTTICT</v>
          </cell>
          <cell r="I408">
            <v>599.20868644067798</v>
          </cell>
          <cell r="J408">
            <v>7382.2510169491525</v>
          </cell>
        </row>
        <row r="409">
          <cell r="F409" t="str">
            <v>theeraphat.s</v>
          </cell>
          <cell r="G409" t="str">
            <v>AN04</v>
          </cell>
          <cell r="H409" t="str">
            <v>PTTICT</v>
          </cell>
          <cell r="I409">
            <v>363.23728813559325</v>
          </cell>
          <cell r="J409">
            <v>4475.0833898305091</v>
          </cell>
        </row>
        <row r="410">
          <cell r="F410" t="str">
            <v>thida.v</v>
          </cell>
          <cell r="G410" t="str">
            <v>SA04</v>
          </cell>
          <cell r="H410" t="str">
            <v>PTTICT</v>
          </cell>
          <cell r="I410">
            <v>638.34639830508479</v>
          </cell>
          <cell r="J410">
            <v>7864.4276271186445</v>
          </cell>
        </row>
        <row r="411">
          <cell r="F411" t="str">
            <v>thita.t</v>
          </cell>
          <cell r="G411" t="str">
            <v>AN02</v>
          </cell>
          <cell r="H411" t="str">
            <v>PTTICT</v>
          </cell>
          <cell r="I411">
            <v>345.64088983050846</v>
          </cell>
          <cell r="J411">
            <v>4258.295762711864</v>
          </cell>
        </row>
        <row r="412">
          <cell r="F412" t="str">
            <v>thitikorn.s</v>
          </cell>
          <cell r="G412" t="str">
            <v>AN05</v>
          </cell>
          <cell r="H412" t="str">
            <v>PTTICT</v>
          </cell>
          <cell r="I412">
            <v>446.91101694915255</v>
          </cell>
          <cell r="J412">
            <v>5505.9437288135596</v>
          </cell>
        </row>
        <row r="413">
          <cell r="F413" t="str">
            <v>thitipong.t</v>
          </cell>
          <cell r="G413" t="str">
            <v>AN05</v>
          </cell>
          <cell r="H413" t="str">
            <v>PTTICT</v>
          </cell>
          <cell r="I413">
            <v>446.91101694915255</v>
          </cell>
          <cell r="J413">
            <v>5505.9437288135596</v>
          </cell>
        </row>
        <row r="414">
          <cell r="F414" t="str">
            <v>thossaphol.d</v>
          </cell>
          <cell r="G414" t="str">
            <v>SA06</v>
          </cell>
          <cell r="H414" t="str">
            <v>PTTICT</v>
          </cell>
          <cell r="I414">
            <v>953.00529661016947</v>
          </cell>
          <cell r="J414">
            <v>11741.025254237287</v>
          </cell>
        </row>
        <row r="415">
          <cell r="F415" t="str">
            <v>tosporn.k</v>
          </cell>
          <cell r="G415" t="str">
            <v>SA04</v>
          </cell>
          <cell r="H415" t="str">
            <v>PTT</v>
          </cell>
          <cell r="I415">
            <v>903.99783549783547</v>
          </cell>
          <cell r="J415">
            <v>11137.253333333334</v>
          </cell>
        </row>
        <row r="416">
          <cell r="F416" t="str">
            <v>truswin.r</v>
          </cell>
          <cell r="G416" t="str">
            <v>SA06</v>
          </cell>
          <cell r="H416" t="str">
            <v>PTTICT</v>
          </cell>
          <cell r="I416">
            <v>953.00529661016947</v>
          </cell>
          <cell r="J416">
            <v>11741.025254237287</v>
          </cell>
        </row>
        <row r="417">
          <cell r="F417" t="str">
            <v>tuantong.s</v>
          </cell>
          <cell r="G417" t="str">
            <v>MG03</v>
          </cell>
          <cell r="H417" t="str">
            <v>PTT</v>
          </cell>
          <cell r="I417">
            <v>1358.2754329004329</v>
          </cell>
          <cell r="J417">
            <v>16733.953333333335</v>
          </cell>
        </row>
        <row r="418">
          <cell r="F418" t="str">
            <v>udtapol.l</v>
          </cell>
          <cell r="G418" t="str">
            <v>SA06</v>
          </cell>
          <cell r="H418" t="str">
            <v>PTTICT</v>
          </cell>
          <cell r="I418">
            <v>953.00529661016947</v>
          </cell>
          <cell r="J418">
            <v>11741.025254237287</v>
          </cell>
        </row>
        <row r="419">
          <cell r="F419" t="str">
            <v>unnop.k</v>
          </cell>
          <cell r="G419" t="str">
            <v>SA05</v>
          </cell>
          <cell r="H419" t="str">
            <v>PTTICT</v>
          </cell>
          <cell r="I419">
            <v>712.57309322033893</v>
          </cell>
          <cell r="J419">
            <v>8778.900508474575</v>
          </cell>
        </row>
        <row r="420">
          <cell r="F420" t="str">
            <v>uraiwan.j</v>
          </cell>
          <cell r="G420" t="str">
            <v>SA05</v>
          </cell>
          <cell r="H420" t="str">
            <v>PTTICT</v>
          </cell>
          <cell r="I420">
            <v>712.57309322033893</v>
          </cell>
          <cell r="J420">
            <v>8778.900508474575</v>
          </cell>
        </row>
        <row r="421">
          <cell r="F421" t="str">
            <v>uruponk.p</v>
          </cell>
          <cell r="G421" t="str">
            <v>AN02</v>
          </cell>
          <cell r="H421" t="str">
            <v>PTTICT</v>
          </cell>
          <cell r="I421">
            <v>345.64088983050846</v>
          </cell>
          <cell r="J421">
            <v>4258.295762711864</v>
          </cell>
        </row>
        <row r="422">
          <cell r="F422" t="str">
            <v>utarat.p</v>
          </cell>
          <cell r="G422" t="str">
            <v>SA01</v>
          </cell>
          <cell r="H422" t="str">
            <v>PTTICT</v>
          </cell>
          <cell r="I422">
            <v>487.73887711864404</v>
          </cell>
          <cell r="J422">
            <v>6008.9429661016948</v>
          </cell>
        </row>
        <row r="423">
          <cell r="F423" t="str">
            <v>varantorn.w</v>
          </cell>
          <cell r="G423" t="str">
            <v>AN02</v>
          </cell>
          <cell r="H423" t="str">
            <v>PTTICT</v>
          </cell>
          <cell r="I423">
            <v>345.64088983050846</v>
          </cell>
          <cell r="J423">
            <v>4258.295762711864</v>
          </cell>
        </row>
        <row r="424">
          <cell r="F424" t="str">
            <v>varinpong.t</v>
          </cell>
          <cell r="G424" t="str">
            <v>SA05</v>
          </cell>
          <cell r="H424" t="str">
            <v>PTT</v>
          </cell>
          <cell r="I424">
            <v>1178.0860389610389</v>
          </cell>
          <cell r="J424">
            <v>14514.019999999999</v>
          </cell>
        </row>
        <row r="425">
          <cell r="F425" t="str">
            <v>vatcharaj.t</v>
          </cell>
          <cell r="G425" t="str">
            <v>AN01</v>
          </cell>
          <cell r="H425" t="str">
            <v>PTTICT</v>
          </cell>
          <cell r="I425">
            <v>272.47828389830511</v>
          </cell>
          <cell r="J425">
            <v>3356.9324576271192</v>
          </cell>
        </row>
        <row r="426">
          <cell r="F426" t="str">
            <v>veerabol.a</v>
          </cell>
          <cell r="G426" t="str">
            <v>SA06</v>
          </cell>
          <cell r="H426" t="str">
            <v>PTTEP</v>
          </cell>
          <cell r="I426">
            <v>1437.7608225108224</v>
          </cell>
          <cell r="J426">
            <v>17713.213333333333</v>
          </cell>
        </row>
        <row r="427">
          <cell r="F427" t="str">
            <v>vichit.k</v>
          </cell>
          <cell r="G427" t="str">
            <v>SA05</v>
          </cell>
          <cell r="H427" t="str">
            <v>PTT</v>
          </cell>
          <cell r="I427">
            <v>1178.0860389610389</v>
          </cell>
          <cell r="J427">
            <v>14514.019999999999</v>
          </cell>
        </row>
        <row r="428">
          <cell r="F428" t="str">
            <v>vijarn.h</v>
          </cell>
          <cell r="G428" t="str">
            <v>AN06</v>
          </cell>
          <cell r="H428" t="str">
            <v>PTTEP</v>
          </cell>
          <cell r="I428">
            <v>868.73622881355936</v>
          </cell>
          <cell r="J428">
            <v>10702.830338983051</v>
          </cell>
        </row>
        <row r="429">
          <cell r="F429" t="str">
            <v>visarut.s</v>
          </cell>
          <cell r="G429" t="str">
            <v>AN03</v>
          </cell>
          <cell r="H429" t="str">
            <v>PTTICT</v>
          </cell>
          <cell r="I429">
            <v>425.29184322033899</v>
          </cell>
          <cell r="J429">
            <v>5239.5955084745765</v>
          </cell>
        </row>
        <row r="430">
          <cell r="F430" t="str">
            <v>visid.u</v>
          </cell>
          <cell r="G430" t="str">
            <v>AN02</v>
          </cell>
          <cell r="H430" t="str">
            <v>PTTICT</v>
          </cell>
          <cell r="I430">
            <v>345.64088983050846</v>
          </cell>
          <cell r="J430">
            <v>4258.295762711864</v>
          </cell>
        </row>
        <row r="431">
          <cell r="F431" t="str">
            <v>vorakit.l</v>
          </cell>
          <cell r="G431" t="str">
            <v>SA06</v>
          </cell>
          <cell r="H431" t="str">
            <v>PTTICT</v>
          </cell>
          <cell r="I431">
            <v>953.00529661016947</v>
          </cell>
          <cell r="J431">
            <v>11741.025254237287</v>
          </cell>
        </row>
        <row r="432">
          <cell r="F432" t="str">
            <v>wanida.w</v>
          </cell>
          <cell r="G432" t="str">
            <v>AN06</v>
          </cell>
          <cell r="H432" t="str">
            <v>PTTICT</v>
          </cell>
          <cell r="I432">
            <v>534.14036016949149</v>
          </cell>
          <cell r="J432">
            <v>6580.6092372881349</v>
          </cell>
        </row>
        <row r="433">
          <cell r="F433" t="str">
            <v>wanna.p</v>
          </cell>
          <cell r="G433" t="str">
            <v>MG05</v>
          </cell>
          <cell r="H433" t="str">
            <v>PTTGC</v>
          </cell>
          <cell r="I433">
            <v>1958.9550865800866</v>
          </cell>
          <cell r="J433">
            <v>24134.326666666668</v>
          </cell>
        </row>
        <row r="434">
          <cell r="F434" t="str">
            <v>wannaporn.a</v>
          </cell>
          <cell r="G434" t="str">
            <v>AN04</v>
          </cell>
          <cell r="H434" t="str">
            <v>PTTICT</v>
          </cell>
          <cell r="I434">
            <v>363.23728813559325</v>
          </cell>
          <cell r="J434">
            <v>4475.0833898305091</v>
          </cell>
        </row>
        <row r="435">
          <cell r="F435" t="str">
            <v>wannaporn.s</v>
          </cell>
          <cell r="G435" t="str">
            <v>MG03</v>
          </cell>
          <cell r="H435" t="str">
            <v>PTTGC</v>
          </cell>
          <cell r="I435">
            <v>1324.5662337662336</v>
          </cell>
          <cell r="J435">
            <v>16318.655999999999</v>
          </cell>
        </row>
        <row r="436">
          <cell r="F436" t="str">
            <v>wannika.j</v>
          </cell>
          <cell r="G436" t="str">
            <v>AN06</v>
          </cell>
          <cell r="H436" t="str">
            <v>PTTICT</v>
          </cell>
          <cell r="I436">
            <v>534.14036016949149</v>
          </cell>
          <cell r="J436">
            <v>6580.6092372881349</v>
          </cell>
        </row>
        <row r="437">
          <cell r="F437" t="str">
            <v>wannisa.m</v>
          </cell>
          <cell r="G437" t="str">
            <v>AN02</v>
          </cell>
          <cell r="H437" t="str">
            <v>PTTICT</v>
          </cell>
          <cell r="I437">
            <v>345.64088983050846</v>
          </cell>
          <cell r="J437">
            <v>4258.295762711864</v>
          </cell>
        </row>
        <row r="438">
          <cell r="F438" t="str">
            <v>wannisa.p</v>
          </cell>
          <cell r="G438" t="str">
            <v>SA02</v>
          </cell>
          <cell r="H438" t="str">
            <v>PTTICT</v>
          </cell>
          <cell r="I438">
            <v>599.20868644067798</v>
          </cell>
          <cell r="J438">
            <v>7382.2510169491525</v>
          </cell>
        </row>
        <row r="439">
          <cell r="F439" t="str">
            <v>wanniwat.n</v>
          </cell>
          <cell r="G439" t="str">
            <v>AN05</v>
          </cell>
          <cell r="H439" t="str">
            <v>PTTICT</v>
          </cell>
          <cell r="I439">
            <v>446.91101694915255</v>
          </cell>
          <cell r="J439">
            <v>5505.9437288135596</v>
          </cell>
        </row>
        <row r="440">
          <cell r="F440" t="str">
            <v>warinee.h</v>
          </cell>
          <cell r="G440" t="str">
            <v>SA04</v>
          </cell>
          <cell r="H440" t="str">
            <v>PTTICT</v>
          </cell>
          <cell r="I440">
            <v>638.34639830508479</v>
          </cell>
          <cell r="J440">
            <v>7864.4276271186445</v>
          </cell>
        </row>
        <row r="441">
          <cell r="F441" t="str">
            <v>waritta.b</v>
          </cell>
          <cell r="G441" t="str">
            <v>AN02</v>
          </cell>
          <cell r="H441" t="str">
            <v>PTTICT</v>
          </cell>
          <cell r="I441">
            <v>345.64088983050846</v>
          </cell>
          <cell r="J441">
            <v>4258.295762711864</v>
          </cell>
        </row>
        <row r="442">
          <cell r="F442" t="str">
            <v>warot.s</v>
          </cell>
          <cell r="G442" t="str">
            <v>AN06</v>
          </cell>
          <cell r="H442" t="str">
            <v>PTTICT</v>
          </cell>
          <cell r="I442">
            <v>534.14036016949149</v>
          </cell>
          <cell r="J442">
            <v>6580.6092372881349</v>
          </cell>
        </row>
        <row r="443">
          <cell r="F443" t="str">
            <v>washirapong.w</v>
          </cell>
          <cell r="G443" t="str">
            <v>AN03</v>
          </cell>
          <cell r="H443" t="str">
            <v>PTTICT</v>
          </cell>
          <cell r="I443">
            <v>425.29184322033899</v>
          </cell>
          <cell r="J443">
            <v>5239.5955084745765</v>
          </cell>
        </row>
        <row r="444">
          <cell r="F444" t="str">
            <v>watchara.k</v>
          </cell>
          <cell r="G444" t="str">
            <v>SA06</v>
          </cell>
          <cell r="H444" t="str">
            <v>PTT</v>
          </cell>
          <cell r="I444">
            <v>1398.3403679653679</v>
          </cell>
          <cell r="J444">
            <v>17227.553333333333</v>
          </cell>
        </row>
        <row r="445">
          <cell r="F445" t="str">
            <v>watchara.r</v>
          </cell>
          <cell r="G445" t="str">
            <v>MG01</v>
          </cell>
          <cell r="H445" t="str">
            <v>PTT</v>
          </cell>
          <cell r="I445">
            <v>1007.3441558441558</v>
          </cell>
          <cell r="J445">
            <v>12410.48</v>
          </cell>
        </row>
        <row r="446">
          <cell r="F446" t="str">
            <v>watcharapong.h</v>
          </cell>
          <cell r="G446" t="str">
            <v>AN06</v>
          </cell>
          <cell r="H446" t="str">
            <v>PTTICT</v>
          </cell>
          <cell r="I446">
            <v>534.14036016949149</v>
          </cell>
          <cell r="J446">
            <v>6580.6092372881349</v>
          </cell>
        </row>
        <row r="447">
          <cell r="F447" t="str">
            <v>watsapon.s</v>
          </cell>
          <cell r="G447" t="str">
            <v>AN06</v>
          </cell>
          <cell r="H447" t="str">
            <v>PTTICT</v>
          </cell>
          <cell r="I447">
            <v>534.14036016949149</v>
          </cell>
          <cell r="J447">
            <v>6580.6092372881349</v>
          </cell>
        </row>
        <row r="448">
          <cell r="F448" t="str">
            <v>wikkasit.k</v>
          </cell>
          <cell r="G448" t="str">
            <v>SA03</v>
          </cell>
          <cell r="H448" t="str">
            <v>PTTICT</v>
          </cell>
          <cell r="I448">
            <v>765.72563559322032</v>
          </cell>
          <cell r="J448">
            <v>9433.7398305084753</v>
          </cell>
        </row>
        <row r="449">
          <cell r="F449" t="str">
            <v>wilaiporn.j</v>
          </cell>
          <cell r="G449" t="str">
            <v>AN06</v>
          </cell>
          <cell r="H449" t="str">
            <v>PTTICT</v>
          </cell>
          <cell r="I449">
            <v>534.14036016949149</v>
          </cell>
          <cell r="J449">
            <v>6580.6092372881349</v>
          </cell>
        </row>
        <row r="450">
          <cell r="F450" t="str">
            <v>wilaiwan.p</v>
          </cell>
          <cell r="G450" t="str">
            <v>AN05</v>
          </cell>
          <cell r="H450" t="str">
            <v>PTTICT</v>
          </cell>
          <cell r="I450">
            <v>446.91101694915255</v>
          </cell>
          <cell r="J450">
            <v>5505.9437288135596</v>
          </cell>
        </row>
        <row r="451">
          <cell r="F451" t="str">
            <v>wilasinee.w</v>
          </cell>
          <cell r="G451" t="str">
            <v>AN04</v>
          </cell>
          <cell r="H451" t="str">
            <v>PTTICT</v>
          </cell>
          <cell r="I451">
            <v>363.23728813559325</v>
          </cell>
          <cell r="J451">
            <v>4475.0833898305091</v>
          </cell>
        </row>
        <row r="452">
          <cell r="F452" t="str">
            <v>winai.s</v>
          </cell>
          <cell r="G452" t="str">
            <v>AN04</v>
          </cell>
          <cell r="H452" t="str">
            <v>PTTICT</v>
          </cell>
          <cell r="I452">
            <v>363.23728813559325</v>
          </cell>
          <cell r="J452">
            <v>4475.0833898305091</v>
          </cell>
        </row>
        <row r="453">
          <cell r="F453" t="str">
            <v>wirachai.w</v>
          </cell>
          <cell r="G453" t="str">
            <v>SA06</v>
          </cell>
          <cell r="H453" t="str">
            <v>PTTICT</v>
          </cell>
          <cell r="I453">
            <v>953.00529661016947</v>
          </cell>
          <cell r="J453">
            <v>11741.025254237287</v>
          </cell>
        </row>
        <row r="454">
          <cell r="F454" t="str">
            <v>wisut.a</v>
          </cell>
          <cell r="G454" t="str">
            <v>AN05</v>
          </cell>
          <cell r="H454" t="str">
            <v>PTTICT</v>
          </cell>
          <cell r="I454">
            <v>446.91101694915255</v>
          </cell>
          <cell r="J454">
            <v>5505.9437288135596</v>
          </cell>
        </row>
        <row r="455">
          <cell r="F455" t="str">
            <v>witoon.t</v>
          </cell>
          <cell r="G455" t="str">
            <v>SA05</v>
          </cell>
          <cell r="H455" t="str">
            <v>PTT</v>
          </cell>
          <cell r="I455">
            <v>1178.0860389610389</v>
          </cell>
          <cell r="J455">
            <v>14514.019999999999</v>
          </cell>
        </row>
        <row r="456">
          <cell r="F456" t="str">
            <v>witsanu.m</v>
          </cell>
          <cell r="G456" t="str">
            <v>SA02</v>
          </cell>
          <cell r="H456" t="str">
            <v>PTTICT</v>
          </cell>
          <cell r="I456">
            <v>599.20868644067798</v>
          </cell>
          <cell r="J456">
            <v>7382.2510169491525</v>
          </cell>
        </row>
        <row r="457">
          <cell r="F457" t="str">
            <v>wittawat.u</v>
          </cell>
          <cell r="G457" t="str">
            <v>SA04</v>
          </cell>
          <cell r="H457" t="str">
            <v>PTTICT</v>
          </cell>
          <cell r="I457">
            <v>638.34639830508479</v>
          </cell>
          <cell r="J457">
            <v>7864.4276271186445</v>
          </cell>
        </row>
        <row r="458">
          <cell r="F458" t="str">
            <v>wittawin.t</v>
          </cell>
          <cell r="G458" t="str">
            <v>AN02</v>
          </cell>
          <cell r="H458" t="str">
            <v>PTTICT</v>
          </cell>
          <cell r="I458">
            <v>345.64088983050846</v>
          </cell>
          <cell r="J458">
            <v>4258.295762711864</v>
          </cell>
        </row>
        <row r="459">
          <cell r="F459" t="str">
            <v>worrayod.w</v>
          </cell>
          <cell r="G459" t="str">
            <v>SA02</v>
          </cell>
          <cell r="H459" t="str">
            <v>PTTICT</v>
          </cell>
          <cell r="I459">
            <v>599.20868644067798</v>
          </cell>
          <cell r="J459">
            <v>7382.2510169491525</v>
          </cell>
        </row>
        <row r="460">
          <cell r="F460" t="str">
            <v>wunlop.s</v>
          </cell>
          <cell r="G460" t="str">
            <v>MG01</v>
          </cell>
          <cell r="H460" t="str">
            <v>PTTGC</v>
          </cell>
          <cell r="I460">
            <v>983.4208874458875</v>
          </cell>
          <cell r="J460">
            <v>12115.745333333334</v>
          </cell>
        </row>
        <row r="461">
          <cell r="F461" t="str">
            <v>wuttichai.m</v>
          </cell>
          <cell r="G461" t="str">
            <v>AN06</v>
          </cell>
          <cell r="H461" t="str">
            <v>PTTICT</v>
          </cell>
          <cell r="I461">
            <v>534.14036016949149</v>
          </cell>
          <cell r="J461">
            <v>6580.6092372881349</v>
          </cell>
        </row>
        <row r="462">
          <cell r="F462" t="str">
            <v>wuttidetch.p</v>
          </cell>
          <cell r="G462" t="str">
            <v>SA01</v>
          </cell>
          <cell r="H462" t="str">
            <v>PTTICT</v>
          </cell>
          <cell r="I462">
            <v>487.73887711864404</v>
          </cell>
          <cell r="J462">
            <v>6008.9429661016948</v>
          </cell>
        </row>
        <row r="463">
          <cell r="F463" t="str">
            <v>wuttipong.l</v>
          </cell>
          <cell r="G463" t="str">
            <v>AN06</v>
          </cell>
          <cell r="H463" t="str">
            <v>PTTICT</v>
          </cell>
          <cell r="I463">
            <v>534.14036016949149</v>
          </cell>
          <cell r="J463">
            <v>6580.6092372881349</v>
          </cell>
        </row>
        <row r="464">
          <cell r="F464" t="str">
            <v>yaowapa.c</v>
          </cell>
          <cell r="G464" t="str">
            <v>SA01</v>
          </cell>
          <cell r="H464" t="str">
            <v>PTTICT</v>
          </cell>
          <cell r="I464">
            <v>487.73887711864404</v>
          </cell>
          <cell r="J464">
            <v>6008.9429661016948</v>
          </cell>
        </row>
        <row r="465">
          <cell r="F465" t="str">
            <v>yaowapa.l</v>
          </cell>
          <cell r="G465" t="str">
            <v>SA02</v>
          </cell>
          <cell r="H465" t="str">
            <v>PTTICT</v>
          </cell>
          <cell r="I465">
            <v>599.20868644067798</v>
          </cell>
          <cell r="J465">
            <v>7382.2510169491525</v>
          </cell>
        </row>
        <row r="466">
          <cell r="F466" t="str">
            <v>yawarhed.c</v>
          </cell>
          <cell r="G466" t="str">
            <v>MG03</v>
          </cell>
          <cell r="H466" t="str">
            <v>PTTGC</v>
          </cell>
          <cell r="I466">
            <v>1324.5662337662336</v>
          </cell>
          <cell r="J466">
            <v>16318.655999999999</v>
          </cell>
        </row>
        <row r="467">
          <cell r="F467" t="str">
            <v>yingsak.p</v>
          </cell>
          <cell r="G467" t="str">
            <v>SA06</v>
          </cell>
          <cell r="H467" t="str">
            <v>PTTICT</v>
          </cell>
          <cell r="I467">
            <v>953.00529661016947</v>
          </cell>
          <cell r="J467">
            <v>11741.025254237287</v>
          </cell>
        </row>
        <row r="468">
          <cell r="F468" t="str">
            <v>yutthana.s</v>
          </cell>
          <cell r="G468" t="str">
            <v>SA06</v>
          </cell>
          <cell r="H468" t="str">
            <v>PTTICT</v>
          </cell>
          <cell r="I468">
            <v>953.00529661016947</v>
          </cell>
          <cell r="J468">
            <v>11741.025254237287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ersion Control"/>
      <sheetName val="Process list"/>
      <sheetName val="Process Requirement"/>
      <sheetName val="Sheet1"/>
      <sheetName val="Remark"/>
      <sheetName val="Naming Conversion"/>
      <sheetName val="Parameter"/>
      <sheetName val="Version_Control"/>
      <sheetName val="Process_list"/>
      <sheetName val="Process_Requirement"/>
      <sheetName val="Naming_Conversion"/>
      <sheetName val="Valu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 View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Version Control"/>
      <sheetName val="Tracking Sheet"/>
      <sheetName val="Sheet1"/>
      <sheetName val="Report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-Gas-backup"/>
      <sheetName val="Cover"/>
      <sheetName val="Version Control"/>
      <sheetName val="Sheet2"/>
      <sheetName val="Scenario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W8"/>
  <sheetViews>
    <sheetView zoomScale="90" zoomScaleNormal="90" workbookViewId="0">
      <selection activeCell="D7" sqref="D7"/>
    </sheetView>
  </sheetViews>
  <sheetFormatPr baseColWidth="10" defaultColWidth="8.6640625" defaultRowHeight="19" x14ac:dyDescent="0.3"/>
  <cols>
    <col min="1" max="1" width="8.6640625" style="2"/>
    <col min="2" max="2" width="10.1640625" style="2" bestFit="1" customWidth="1"/>
    <col min="3" max="3" width="8.1640625" style="2" bestFit="1" customWidth="1"/>
    <col min="4" max="4" width="65.1640625" style="2" bestFit="1" customWidth="1"/>
    <col min="5" max="5" width="10.1640625" style="2" bestFit="1" customWidth="1"/>
    <col min="6" max="6" width="13.6640625" style="2" bestFit="1" customWidth="1"/>
    <col min="7" max="7" width="13.6640625" style="77" bestFit="1" customWidth="1"/>
    <col min="8" max="10" width="12.1640625" style="77" customWidth="1"/>
    <col min="11" max="16384" width="8.6640625" style="2"/>
  </cols>
  <sheetData>
    <row r="2" spans="2:23" ht="20" thickBot="1" x14ac:dyDescent="0.35">
      <c r="B2" s="1"/>
      <c r="C2" s="1"/>
    </row>
    <row r="3" spans="2:23" ht="40" x14ac:dyDescent="0.3">
      <c r="B3" s="299" t="s">
        <v>0</v>
      </c>
      <c r="C3" s="299" t="s">
        <v>1</v>
      </c>
      <c r="D3" s="299" t="s">
        <v>2</v>
      </c>
      <c r="E3" s="3" t="s">
        <v>3</v>
      </c>
      <c r="F3" s="3"/>
      <c r="G3" s="78" t="s">
        <v>4</v>
      </c>
      <c r="H3" s="78" t="s">
        <v>5</v>
      </c>
      <c r="I3" s="297" t="s">
        <v>6</v>
      </c>
      <c r="J3" s="297" t="s">
        <v>7</v>
      </c>
    </row>
    <row r="4" spans="2:23" ht="101" thickBot="1" x14ac:dyDescent="0.35">
      <c r="B4" s="300"/>
      <c r="C4" s="300"/>
      <c r="D4" s="300"/>
      <c r="E4" s="4" t="s">
        <v>8</v>
      </c>
      <c r="F4" s="4" t="s">
        <v>9</v>
      </c>
      <c r="G4" s="79" t="s">
        <v>10</v>
      </c>
      <c r="H4" s="79" t="s">
        <v>11</v>
      </c>
      <c r="I4" s="298"/>
      <c r="J4" s="298"/>
    </row>
    <row r="5" spans="2:23" ht="281" thickBot="1" x14ac:dyDescent="0.35">
      <c r="B5" s="94" t="s">
        <v>12</v>
      </c>
      <c r="C5" s="95"/>
      <c r="D5" s="96" t="s">
        <v>13</v>
      </c>
      <c r="E5" s="97" t="s">
        <v>14</v>
      </c>
      <c r="F5" s="119"/>
      <c r="G5" s="98" t="s">
        <v>15</v>
      </c>
      <c r="H5" s="98" t="s">
        <v>16</v>
      </c>
      <c r="I5" s="98" t="s">
        <v>17</v>
      </c>
      <c r="J5" s="98" t="s">
        <v>18</v>
      </c>
      <c r="K5" s="100"/>
    </row>
    <row r="6" spans="2:23" x14ac:dyDescent="0.3">
      <c r="D6" s="2" t="s">
        <v>19</v>
      </c>
    </row>
    <row r="8" spans="2:23" x14ac:dyDescent="0.3">
      <c r="B8" s="103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1"/>
      <c r="T8" s="102"/>
      <c r="U8" s="102"/>
      <c r="V8" s="102"/>
      <c r="W8" s="102"/>
    </row>
  </sheetData>
  <mergeCells count="5">
    <mergeCell ref="J3:J4"/>
    <mergeCell ref="B3:B4"/>
    <mergeCell ref="C3:C4"/>
    <mergeCell ref="D3:D4"/>
    <mergeCell ref="I3:I4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8" tint="0.79998168889431442"/>
  </sheetPr>
  <dimension ref="A1:X72"/>
  <sheetViews>
    <sheetView zoomScale="85" zoomScaleNormal="85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14" defaultRowHeight="13" x14ac:dyDescent="0.15"/>
  <cols>
    <col min="1" max="1" width="3.6640625" style="9" bestFit="1" customWidth="1"/>
    <col min="2" max="2" width="27.1640625" style="84" bestFit="1" customWidth="1"/>
    <col min="3" max="3" width="11.1640625" style="9" hidden="1" customWidth="1"/>
    <col min="4" max="4" width="12.6640625" style="45" hidden="1" customWidth="1"/>
    <col min="5" max="5" width="12.6640625" style="45" customWidth="1"/>
    <col min="6" max="6" width="5" style="45" customWidth="1"/>
    <col min="7" max="12" width="12.6640625" style="45" hidden="1" customWidth="1"/>
    <col min="13" max="15" width="12.6640625" style="45" customWidth="1"/>
    <col min="16" max="16" width="5" style="45" customWidth="1"/>
    <col min="17" max="19" width="12.6640625" style="45" hidden="1" customWidth="1"/>
    <col min="20" max="20" width="13.1640625" style="45" hidden="1" customWidth="1"/>
    <col min="21" max="21" width="12.1640625" style="47" bestFit="1" customWidth="1"/>
    <col min="22" max="22" width="26.6640625" style="8" customWidth="1"/>
    <col min="23" max="16384" width="14" style="9"/>
  </cols>
  <sheetData>
    <row r="1" spans="1:24" ht="15" thickBot="1" x14ac:dyDescent="0.2">
      <c r="B1" s="134" t="s">
        <v>20</v>
      </c>
    </row>
    <row r="2" spans="1:24" ht="14" thickBot="1" x14ac:dyDescent="0.2">
      <c r="A2" s="301" t="s">
        <v>21</v>
      </c>
      <c r="B2" s="302"/>
      <c r="C2" s="5" t="s">
        <v>22</v>
      </c>
      <c r="D2" s="5" t="s">
        <v>23</v>
      </c>
      <c r="E2" s="5" t="s">
        <v>24</v>
      </c>
      <c r="F2" s="6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34</v>
      </c>
      <c r="P2" s="6" t="s">
        <v>25</v>
      </c>
      <c r="Q2" s="5" t="s">
        <v>31</v>
      </c>
      <c r="R2" s="5" t="s">
        <v>35</v>
      </c>
      <c r="S2" s="5" t="s">
        <v>36</v>
      </c>
      <c r="T2" s="5" t="s">
        <v>37</v>
      </c>
      <c r="U2" s="7" t="s">
        <v>38</v>
      </c>
      <c r="V2" s="8" t="s">
        <v>39</v>
      </c>
    </row>
    <row r="3" spans="1:24" ht="15" thickBot="1" x14ac:dyDescent="0.2">
      <c r="A3" s="10" t="s">
        <v>8</v>
      </c>
      <c r="B3" s="12" t="s">
        <v>40</v>
      </c>
      <c r="C3" s="11"/>
      <c r="D3" s="12"/>
      <c r="E3" s="12"/>
      <c r="F3" s="13"/>
      <c r="G3" s="12"/>
      <c r="H3" s="11"/>
      <c r="I3" s="11"/>
      <c r="J3" s="11"/>
      <c r="K3" s="11"/>
      <c r="L3" s="11"/>
      <c r="M3" s="11"/>
      <c r="N3" s="11"/>
      <c r="O3" s="11"/>
      <c r="P3" s="13"/>
      <c r="Q3" s="11"/>
      <c r="R3" s="11"/>
      <c r="S3" s="11"/>
      <c r="T3" s="11"/>
      <c r="U3" s="14"/>
    </row>
    <row r="4" spans="1:24" ht="14" x14ac:dyDescent="0.15">
      <c r="A4" s="15">
        <v>0</v>
      </c>
      <c r="B4" s="80" t="s">
        <v>41</v>
      </c>
      <c r="C4" s="18"/>
      <c r="D4" s="19"/>
      <c r="E4" s="20"/>
      <c r="F4" s="21"/>
      <c r="G4" s="20"/>
      <c r="H4" s="19"/>
      <c r="I4" s="19"/>
      <c r="J4" s="19"/>
      <c r="K4" s="19"/>
      <c r="L4" s="19"/>
      <c r="M4" s="19"/>
      <c r="N4" s="19"/>
      <c r="O4" s="19"/>
      <c r="P4" s="21"/>
      <c r="Q4" s="19"/>
      <c r="R4" s="19"/>
      <c r="S4" s="19"/>
      <c r="T4" s="19"/>
      <c r="U4" s="16"/>
      <c r="V4" s="17"/>
    </row>
    <row r="5" spans="1:24" ht="14" x14ac:dyDescent="0.15">
      <c r="A5" s="15">
        <v>1</v>
      </c>
      <c r="B5" s="80" t="s">
        <v>42</v>
      </c>
      <c r="C5" s="18"/>
      <c r="D5" s="19"/>
      <c r="E5" s="20">
        <v>1.5</v>
      </c>
      <c r="F5" s="21"/>
      <c r="G5" s="20"/>
      <c r="H5" s="19"/>
      <c r="I5" s="19"/>
      <c r="J5" s="19"/>
      <c r="K5" s="19"/>
      <c r="L5" s="19"/>
      <c r="M5" s="19">
        <v>1</v>
      </c>
      <c r="N5" s="19">
        <v>1</v>
      </c>
      <c r="O5" s="19"/>
      <c r="P5" s="21"/>
      <c r="Q5" s="19"/>
      <c r="R5" s="19"/>
      <c r="S5" s="19"/>
      <c r="T5" s="19"/>
      <c r="U5" s="16"/>
      <c r="V5" s="17"/>
    </row>
    <row r="6" spans="1:24" ht="14" x14ac:dyDescent="0.15">
      <c r="A6" s="15">
        <v>2</v>
      </c>
      <c r="B6" s="80" t="s">
        <v>43</v>
      </c>
      <c r="C6" s="18"/>
      <c r="D6" s="19"/>
      <c r="E6" s="20">
        <v>1.5</v>
      </c>
      <c r="F6" s="21"/>
      <c r="G6" s="20"/>
      <c r="H6" s="19"/>
      <c r="I6" s="19"/>
      <c r="J6" s="19"/>
      <c r="K6" s="19"/>
      <c r="L6" s="19"/>
      <c r="M6" s="19">
        <v>1</v>
      </c>
      <c r="N6" s="19">
        <v>1</v>
      </c>
      <c r="O6" s="19"/>
      <c r="P6" s="21"/>
      <c r="Q6" s="19"/>
      <c r="R6" s="19"/>
      <c r="S6" s="19"/>
      <c r="T6" s="19"/>
      <c r="U6" s="16"/>
      <c r="V6" s="17"/>
    </row>
    <row r="7" spans="1:24" s="29" customFormat="1" ht="56" x14ac:dyDescent="0.15">
      <c r="A7" s="22">
        <v>3</v>
      </c>
      <c r="B7" s="23" t="s">
        <v>44</v>
      </c>
      <c r="C7" s="24"/>
      <c r="D7" s="25"/>
      <c r="E7" s="20">
        <v>2.5</v>
      </c>
      <c r="F7" s="26"/>
      <c r="G7" s="20"/>
      <c r="H7" s="27"/>
      <c r="I7" s="27"/>
      <c r="J7" s="27"/>
      <c r="K7" s="27"/>
      <c r="L7" s="27"/>
      <c r="M7" s="27">
        <v>1.5</v>
      </c>
      <c r="N7" s="27">
        <v>1.5</v>
      </c>
      <c r="O7" s="25"/>
      <c r="P7" s="26"/>
      <c r="Q7" s="25"/>
      <c r="R7" s="27"/>
      <c r="S7" s="25"/>
      <c r="T7" s="25"/>
      <c r="U7" s="16"/>
      <c r="V7" s="28"/>
      <c r="W7" s="9"/>
      <c r="X7" s="9"/>
    </row>
    <row r="8" spans="1:24" ht="28" x14ac:dyDescent="0.15">
      <c r="A8" s="15">
        <v>4</v>
      </c>
      <c r="B8" s="81" t="s">
        <v>45</v>
      </c>
      <c r="C8" s="76"/>
      <c r="D8" s="72"/>
      <c r="E8" s="20">
        <f>Development!K8</f>
        <v>10</v>
      </c>
      <c r="F8" s="74"/>
      <c r="G8" s="20"/>
      <c r="H8" s="75"/>
      <c r="I8" s="75"/>
      <c r="J8" s="75"/>
      <c r="K8" s="75"/>
      <c r="L8" s="75"/>
      <c r="M8" s="75"/>
      <c r="N8" s="73"/>
      <c r="O8" s="73">
        <f>Development!L8</f>
        <v>6.5</v>
      </c>
      <c r="P8" s="74"/>
      <c r="Q8" s="72"/>
      <c r="R8" s="75"/>
      <c r="S8" s="72"/>
      <c r="T8" s="72"/>
      <c r="U8" s="16"/>
      <c r="V8" s="17"/>
    </row>
    <row r="9" spans="1:24" s="29" customFormat="1" ht="14" x14ac:dyDescent="0.15">
      <c r="A9" s="15">
        <v>5</v>
      </c>
      <c r="B9" s="23" t="s">
        <v>46</v>
      </c>
      <c r="C9" s="24"/>
      <c r="D9" s="19"/>
      <c r="E9" s="20">
        <v>2</v>
      </c>
      <c r="F9" s="21"/>
      <c r="G9" s="20"/>
      <c r="H9" s="19"/>
      <c r="I9" s="19"/>
      <c r="J9" s="19"/>
      <c r="K9" s="19"/>
      <c r="L9" s="19"/>
      <c r="M9" s="19">
        <v>1</v>
      </c>
      <c r="N9" s="20">
        <v>1</v>
      </c>
      <c r="O9" s="19"/>
      <c r="P9" s="21"/>
      <c r="Q9" s="19"/>
      <c r="R9" s="19"/>
      <c r="S9" s="19"/>
      <c r="T9" s="19"/>
      <c r="U9" s="16"/>
      <c r="V9" s="28"/>
      <c r="W9" s="9"/>
      <c r="X9" s="9"/>
    </row>
    <row r="10" spans="1:24" ht="14" x14ac:dyDescent="0.15">
      <c r="A10" s="22">
        <v>6</v>
      </c>
      <c r="B10" s="80" t="s">
        <v>47</v>
      </c>
      <c r="C10" s="18"/>
      <c r="D10" s="19"/>
      <c r="E10" s="20">
        <v>0.5</v>
      </c>
      <c r="F10" s="21"/>
      <c r="G10" s="20"/>
      <c r="H10" s="27"/>
      <c r="I10" s="27"/>
      <c r="J10" s="27"/>
      <c r="K10" s="27"/>
      <c r="L10" s="27"/>
      <c r="M10" s="27"/>
      <c r="N10" s="20"/>
      <c r="O10" s="19"/>
      <c r="P10" s="21"/>
      <c r="Q10" s="19"/>
      <c r="R10" s="30"/>
      <c r="S10" s="19"/>
      <c r="T10" s="19"/>
      <c r="U10" s="16"/>
      <c r="V10" s="17"/>
    </row>
    <row r="11" spans="1:24" ht="14" x14ac:dyDescent="0.15">
      <c r="A11" s="15">
        <v>7</v>
      </c>
      <c r="B11" s="80" t="s">
        <v>48</v>
      </c>
      <c r="C11" s="18"/>
      <c r="D11" s="19"/>
      <c r="E11" s="20">
        <v>1</v>
      </c>
      <c r="F11" s="21"/>
      <c r="G11" s="20"/>
      <c r="H11" s="27"/>
      <c r="I11" s="27"/>
      <c r="J11" s="27"/>
      <c r="K11" s="27"/>
      <c r="L11" s="27"/>
      <c r="M11" s="27"/>
      <c r="N11" s="20"/>
      <c r="O11" s="19"/>
      <c r="P11" s="21"/>
      <c r="Q11" s="19"/>
      <c r="R11" s="30"/>
      <c r="S11" s="19"/>
      <c r="T11" s="19"/>
      <c r="U11" s="16"/>
      <c r="V11" s="17"/>
    </row>
    <row r="12" spans="1:24" ht="14" x14ac:dyDescent="0.15">
      <c r="A12" s="15">
        <v>8</v>
      </c>
      <c r="B12" s="80" t="s">
        <v>49</v>
      </c>
      <c r="C12" s="18"/>
      <c r="D12" s="18"/>
      <c r="E12" s="20">
        <v>1</v>
      </c>
      <c r="F12" s="31"/>
      <c r="G12" s="20"/>
      <c r="H12" s="19"/>
      <c r="I12" s="19"/>
      <c r="J12" s="19"/>
      <c r="K12" s="19"/>
      <c r="L12" s="19"/>
      <c r="M12" s="19">
        <v>1</v>
      </c>
      <c r="N12" s="20">
        <v>1</v>
      </c>
      <c r="O12" s="32"/>
      <c r="P12" s="31"/>
      <c r="Q12" s="32"/>
      <c r="R12" s="19"/>
      <c r="S12" s="32"/>
      <c r="T12" s="32"/>
      <c r="U12" s="16"/>
      <c r="V12" s="28"/>
    </row>
    <row r="13" spans="1:24" ht="14" x14ac:dyDescent="0.15">
      <c r="A13" s="22">
        <v>9</v>
      </c>
      <c r="B13" s="80" t="s">
        <v>50</v>
      </c>
      <c r="C13" s="18"/>
      <c r="D13" s="19"/>
      <c r="E13" s="20" t="s">
        <v>51</v>
      </c>
      <c r="F13" s="21"/>
      <c r="G13" s="20"/>
      <c r="H13" s="19"/>
      <c r="I13" s="19"/>
      <c r="J13" s="19"/>
      <c r="K13" s="19"/>
      <c r="L13" s="19"/>
      <c r="M13" s="19"/>
      <c r="N13" s="20"/>
      <c r="O13" s="19"/>
      <c r="P13" s="21"/>
      <c r="Q13" s="19"/>
      <c r="R13" s="19"/>
      <c r="S13" s="19"/>
      <c r="T13" s="19"/>
      <c r="U13" s="16"/>
      <c r="V13" s="17"/>
    </row>
    <row r="14" spans="1:24" ht="14" x14ac:dyDescent="0.15">
      <c r="A14" s="15">
        <v>10</v>
      </c>
      <c r="B14" s="80" t="s">
        <v>52</v>
      </c>
      <c r="C14" s="18"/>
      <c r="D14" s="19"/>
      <c r="E14" s="20" t="s">
        <v>51</v>
      </c>
      <c r="F14" s="21"/>
      <c r="G14" s="20"/>
      <c r="H14" s="27"/>
      <c r="I14" s="27"/>
      <c r="J14" s="27"/>
      <c r="K14" s="27"/>
      <c r="L14" s="27"/>
      <c r="M14" s="27"/>
      <c r="N14" s="93"/>
      <c r="O14" s="19"/>
      <c r="P14" s="21"/>
      <c r="Q14" s="19"/>
      <c r="R14" s="30"/>
      <c r="S14" s="19"/>
      <c r="T14" s="19"/>
      <c r="U14" s="16"/>
      <c r="V14" s="17"/>
    </row>
    <row r="15" spans="1:24" ht="15" thickBot="1" x14ac:dyDescent="0.2">
      <c r="A15" s="15">
        <v>11</v>
      </c>
      <c r="B15" s="82" t="s">
        <v>53</v>
      </c>
      <c r="C15" s="33"/>
      <c r="D15" s="34"/>
      <c r="E15" s="35">
        <v>0.5</v>
      </c>
      <c r="F15" s="36"/>
      <c r="G15" s="35"/>
      <c r="H15" s="37"/>
      <c r="I15" s="37"/>
      <c r="J15" s="37"/>
      <c r="K15" s="37"/>
      <c r="L15" s="37"/>
      <c r="M15" s="37"/>
      <c r="N15" s="35"/>
      <c r="O15" s="34"/>
      <c r="P15" s="36"/>
      <c r="Q15" s="34"/>
      <c r="R15" s="37"/>
      <c r="S15" s="34"/>
      <c r="T15" s="34"/>
      <c r="U15" s="16"/>
      <c r="V15" s="17"/>
    </row>
    <row r="16" spans="1:24" s="44" customFormat="1" ht="15" thickBot="1" x14ac:dyDescent="0.2">
      <c r="A16" s="38"/>
      <c r="B16" s="83" t="s">
        <v>54</v>
      </c>
      <c r="C16" s="39"/>
      <c r="D16" s="40">
        <f>SUM(D4:D15)</f>
        <v>0</v>
      </c>
      <c r="E16" s="40">
        <f>SUM(E4:E15)</f>
        <v>20.5</v>
      </c>
      <c r="F16" s="41" t="s">
        <v>25</v>
      </c>
      <c r="G16" s="40">
        <f>SUM(G5:G15)</f>
        <v>0</v>
      </c>
      <c r="H16" s="40">
        <f>SUM(H5:H15)</f>
        <v>0</v>
      </c>
      <c r="I16" s="40">
        <f>SUM(I4:I15)</f>
        <v>0</v>
      </c>
      <c r="J16" s="40">
        <f>J8</f>
        <v>0</v>
      </c>
      <c r="K16" s="40"/>
      <c r="L16" s="40">
        <f>SUM(L4:L15)</f>
        <v>0</v>
      </c>
      <c r="M16" s="40">
        <f t="shared" ref="M16:T16" si="0">SUM(M5:M15)</f>
        <v>5.5</v>
      </c>
      <c r="N16" s="40">
        <f t="shared" si="0"/>
        <v>5.5</v>
      </c>
      <c r="O16" s="40">
        <f t="shared" si="0"/>
        <v>6.5</v>
      </c>
      <c r="P16" s="41" t="s">
        <v>25</v>
      </c>
      <c r="Q16" s="40">
        <f t="shared" si="0"/>
        <v>0</v>
      </c>
      <c r="R16" s="40">
        <f>SUM(R5:R15)</f>
        <v>0</v>
      </c>
      <c r="S16" s="40">
        <f t="shared" si="0"/>
        <v>0</v>
      </c>
      <c r="T16" s="40">
        <f t="shared" si="0"/>
        <v>0</v>
      </c>
      <c r="U16" s="42">
        <f>SUM(D16:T16)</f>
        <v>38</v>
      </c>
      <c r="V16" s="43"/>
    </row>
    <row r="17" spans="1:24" x14ac:dyDescent="0.15">
      <c r="F17" s="46"/>
      <c r="P17" s="46"/>
    </row>
    <row r="18" spans="1:24" ht="14" x14ac:dyDescent="0.15">
      <c r="B18" s="85" t="s">
        <v>55</v>
      </c>
      <c r="C18" s="48"/>
      <c r="D18" s="45" t="s">
        <v>56</v>
      </c>
      <c r="E18" s="45" t="s">
        <v>56</v>
      </c>
      <c r="F18" s="46"/>
      <c r="G18" s="45" t="s">
        <v>56</v>
      </c>
      <c r="H18" s="45" t="s">
        <v>56</v>
      </c>
      <c r="I18" s="45" t="s">
        <v>56</v>
      </c>
      <c r="J18" s="45" t="s">
        <v>56</v>
      </c>
      <c r="K18" s="45" t="s">
        <v>56</v>
      </c>
      <c r="L18" s="45" t="s">
        <v>56</v>
      </c>
      <c r="M18" s="45" t="s">
        <v>56</v>
      </c>
      <c r="N18" s="45" t="s">
        <v>56</v>
      </c>
      <c r="O18" s="45" t="s">
        <v>51</v>
      </c>
      <c r="P18" s="46"/>
      <c r="Q18" s="45" t="s">
        <v>56</v>
      </c>
      <c r="R18" s="45" t="s">
        <v>57</v>
      </c>
      <c r="S18" s="45" t="s">
        <v>57</v>
      </c>
      <c r="T18" s="45" t="s">
        <v>51</v>
      </c>
    </row>
    <row r="19" spans="1:24" s="49" customFormat="1" ht="15" thickBot="1" x14ac:dyDescent="0.2">
      <c r="B19" s="86" t="s">
        <v>58</v>
      </c>
      <c r="C19" s="50"/>
      <c r="D19" s="51">
        <v>14000</v>
      </c>
      <c r="E19" s="51">
        <v>14000</v>
      </c>
      <c r="F19" s="52"/>
      <c r="G19" s="51">
        <v>14000</v>
      </c>
      <c r="H19" s="51">
        <v>14000</v>
      </c>
      <c r="I19" s="51">
        <v>14000</v>
      </c>
      <c r="J19" s="51">
        <v>14000</v>
      </c>
      <c r="K19" s="51">
        <v>14000</v>
      </c>
      <c r="L19" s="51">
        <v>14000</v>
      </c>
      <c r="M19" s="51">
        <v>14000</v>
      </c>
      <c r="N19" s="51">
        <v>14000</v>
      </c>
      <c r="O19" s="51">
        <v>7500</v>
      </c>
      <c r="P19" s="52"/>
      <c r="Q19" s="51">
        <v>14000</v>
      </c>
      <c r="R19" s="51">
        <v>8500</v>
      </c>
      <c r="S19" s="51">
        <v>8500</v>
      </c>
      <c r="T19" s="51">
        <v>8500</v>
      </c>
      <c r="U19" s="53"/>
      <c r="V19" s="54"/>
    </row>
    <row r="20" spans="1:24" s="49" customFormat="1" ht="15" thickBot="1" x14ac:dyDescent="0.2">
      <c r="A20" s="55"/>
      <c r="B20" s="87" t="s">
        <v>59</v>
      </c>
      <c r="C20" s="56"/>
      <c r="D20" s="57">
        <f>D16*D19</f>
        <v>0</v>
      </c>
      <c r="E20" s="57">
        <f>E19*E16</f>
        <v>287000</v>
      </c>
      <c r="F20" s="58"/>
      <c r="G20" s="57">
        <f>G19*G16</f>
        <v>0</v>
      </c>
      <c r="H20" s="57">
        <f>H19*H16</f>
        <v>0</v>
      </c>
      <c r="I20" s="57">
        <f>I19*I16</f>
        <v>0</v>
      </c>
      <c r="J20" s="57">
        <f>J19*J16</f>
        <v>0</v>
      </c>
      <c r="K20" s="57">
        <f>K19*K8</f>
        <v>0</v>
      </c>
      <c r="L20" s="57">
        <f>L16*L19</f>
        <v>0</v>
      </c>
      <c r="M20" s="57">
        <f>M19*M16</f>
        <v>77000</v>
      </c>
      <c r="N20" s="57">
        <f>N19*N16</f>
        <v>77000</v>
      </c>
      <c r="O20" s="57">
        <f>O19*O16</f>
        <v>48750</v>
      </c>
      <c r="P20" s="58"/>
      <c r="Q20" s="57">
        <f>Q19*Q16</f>
        <v>0</v>
      </c>
      <c r="R20" s="57">
        <f>R19*R16</f>
        <v>0</v>
      </c>
      <c r="S20" s="57">
        <f>S19*S16</f>
        <v>0</v>
      </c>
      <c r="T20" s="57">
        <f>T19*T16</f>
        <v>0</v>
      </c>
      <c r="U20" s="59">
        <f>SUM(D20:T20)</f>
        <v>489750</v>
      </c>
      <c r="V20" s="54"/>
    </row>
    <row r="21" spans="1:24" hidden="1" x14ac:dyDescent="0.15">
      <c r="O21" s="45" t="s">
        <v>60</v>
      </c>
      <c r="U21" s="60">
        <f>U20*0.07</f>
        <v>34282.5</v>
      </c>
    </row>
    <row r="22" spans="1:24" ht="14" hidden="1" thickBot="1" x14ac:dyDescent="0.2">
      <c r="O22" s="61" t="s">
        <v>54</v>
      </c>
      <c r="Q22" s="61"/>
      <c r="S22" s="61"/>
      <c r="T22" s="61"/>
      <c r="U22" s="62">
        <f>U20+U21</f>
        <v>524032.5</v>
      </c>
    </row>
    <row r="25" spans="1:24" ht="15" thickBot="1" x14ac:dyDescent="0.2">
      <c r="B25" s="134" t="s">
        <v>61</v>
      </c>
    </row>
    <row r="26" spans="1:24" ht="14" thickBot="1" x14ac:dyDescent="0.2">
      <c r="A26" s="301" t="s">
        <v>21</v>
      </c>
      <c r="B26" s="302"/>
      <c r="C26" s="5" t="s">
        <v>22</v>
      </c>
      <c r="D26" s="5" t="s">
        <v>23</v>
      </c>
      <c r="E26" s="5" t="s">
        <v>24</v>
      </c>
      <c r="F26" s="6" t="s">
        <v>25</v>
      </c>
      <c r="G26" s="5" t="s">
        <v>26</v>
      </c>
      <c r="H26" s="5" t="s">
        <v>27</v>
      </c>
      <c r="I26" s="5" t="s">
        <v>28</v>
      </c>
      <c r="J26" s="5" t="s">
        <v>29</v>
      </c>
      <c r="K26" s="5" t="s">
        <v>30</v>
      </c>
      <c r="L26" s="5" t="s">
        <v>31</v>
      </c>
      <c r="M26" s="5" t="s">
        <v>32</v>
      </c>
      <c r="N26" s="5" t="s">
        <v>33</v>
      </c>
      <c r="O26" s="5" t="s">
        <v>34</v>
      </c>
      <c r="P26" s="6" t="s">
        <v>25</v>
      </c>
      <c r="Q26" s="5" t="s">
        <v>31</v>
      </c>
      <c r="R26" s="5" t="s">
        <v>35</v>
      </c>
      <c r="S26" s="5" t="s">
        <v>36</v>
      </c>
      <c r="T26" s="5" t="s">
        <v>37</v>
      </c>
      <c r="U26" s="7" t="s">
        <v>38</v>
      </c>
      <c r="V26" s="8" t="s">
        <v>39</v>
      </c>
    </row>
    <row r="27" spans="1:24" ht="15" thickBot="1" x14ac:dyDescent="0.2">
      <c r="A27" s="10" t="s">
        <v>8</v>
      </c>
      <c r="B27" s="12" t="s">
        <v>40</v>
      </c>
      <c r="C27" s="11"/>
      <c r="D27" s="12"/>
      <c r="E27" s="12"/>
      <c r="F27" s="13"/>
      <c r="G27" s="12"/>
      <c r="H27" s="11"/>
      <c r="I27" s="11"/>
      <c r="J27" s="11"/>
      <c r="K27" s="11"/>
      <c r="L27" s="11"/>
      <c r="M27" s="11"/>
      <c r="N27" s="11"/>
      <c r="O27" s="11"/>
      <c r="P27" s="13"/>
      <c r="Q27" s="11"/>
      <c r="R27" s="11"/>
      <c r="S27" s="11"/>
      <c r="T27" s="11"/>
      <c r="U27" s="14"/>
    </row>
    <row r="28" spans="1:24" ht="14" x14ac:dyDescent="0.15">
      <c r="A28" s="15">
        <v>0</v>
      </c>
      <c r="B28" s="80" t="s">
        <v>41</v>
      </c>
      <c r="C28" s="18"/>
      <c r="D28" s="19"/>
      <c r="E28" s="20"/>
      <c r="F28" s="21"/>
      <c r="G28" s="20"/>
      <c r="H28" s="19"/>
      <c r="I28" s="19"/>
      <c r="J28" s="19"/>
      <c r="K28" s="19"/>
      <c r="L28" s="19"/>
      <c r="M28" s="19"/>
      <c r="N28" s="19"/>
      <c r="O28" s="19"/>
      <c r="P28" s="21"/>
      <c r="Q28" s="19"/>
      <c r="R28" s="19"/>
      <c r="S28" s="19"/>
      <c r="T28" s="19"/>
      <c r="U28" s="16"/>
      <c r="V28" s="17"/>
    </row>
    <row r="29" spans="1:24" ht="14" x14ac:dyDescent="0.15">
      <c r="A29" s="15">
        <v>1</v>
      </c>
      <c r="B29" s="80" t="s">
        <v>42</v>
      </c>
      <c r="C29" s="18"/>
      <c r="D29" s="19"/>
      <c r="E29" s="20">
        <v>1.5</v>
      </c>
      <c r="F29" s="21"/>
      <c r="G29" s="20"/>
      <c r="H29" s="19"/>
      <c r="I29" s="19"/>
      <c r="J29" s="19"/>
      <c r="K29" s="19"/>
      <c r="L29" s="19"/>
      <c r="M29" s="19">
        <v>1</v>
      </c>
      <c r="N29" s="19">
        <v>1</v>
      </c>
      <c r="O29" s="19"/>
      <c r="P29" s="21"/>
      <c r="Q29" s="19"/>
      <c r="R29" s="19"/>
      <c r="S29" s="19"/>
      <c r="T29" s="19"/>
      <c r="U29" s="16"/>
      <c r="V29" s="17"/>
    </row>
    <row r="30" spans="1:24" ht="14" x14ac:dyDescent="0.15">
      <c r="A30" s="15">
        <v>2</v>
      </c>
      <c r="B30" s="80" t="s">
        <v>43</v>
      </c>
      <c r="C30" s="18"/>
      <c r="D30" s="19"/>
      <c r="E30" s="20">
        <v>1.5</v>
      </c>
      <c r="F30" s="21"/>
      <c r="G30" s="20"/>
      <c r="H30" s="19"/>
      <c r="I30" s="19"/>
      <c r="J30" s="19"/>
      <c r="K30" s="19"/>
      <c r="L30" s="19"/>
      <c r="M30" s="19">
        <v>1</v>
      </c>
      <c r="N30" s="19">
        <v>1</v>
      </c>
      <c r="O30" s="19"/>
      <c r="P30" s="21"/>
      <c r="Q30" s="19"/>
      <c r="R30" s="19"/>
      <c r="S30" s="19"/>
      <c r="T30" s="19"/>
      <c r="U30" s="16"/>
      <c r="V30" s="17"/>
    </row>
    <row r="31" spans="1:24" s="29" customFormat="1" ht="56" x14ac:dyDescent="0.15">
      <c r="A31" s="22">
        <v>3</v>
      </c>
      <c r="B31" s="23" t="s">
        <v>62</v>
      </c>
      <c r="C31" s="24"/>
      <c r="D31" s="25"/>
      <c r="E31" s="20">
        <v>2.5</v>
      </c>
      <c r="F31" s="26"/>
      <c r="G31" s="20"/>
      <c r="H31" s="27"/>
      <c r="I31" s="27"/>
      <c r="J31" s="27"/>
      <c r="K31" s="27"/>
      <c r="L31" s="27"/>
      <c r="M31" s="27">
        <v>1.5</v>
      </c>
      <c r="N31" s="27">
        <v>1.5</v>
      </c>
      <c r="O31" s="25"/>
      <c r="P31" s="26"/>
      <c r="Q31" s="25"/>
      <c r="R31" s="27"/>
      <c r="S31" s="25"/>
      <c r="T31" s="25"/>
      <c r="U31" s="16"/>
      <c r="V31" s="28"/>
      <c r="W31" s="9"/>
      <c r="X31" s="9"/>
    </row>
    <row r="32" spans="1:24" ht="28" x14ac:dyDescent="0.15">
      <c r="A32" s="15">
        <v>4</v>
      </c>
      <c r="B32" s="81" t="s">
        <v>45</v>
      </c>
      <c r="C32" s="76"/>
      <c r="D32" s="72"/>
      <c r="E32" s="20">
        <v>20</v>
      </c>
      <c r="F32" s="74"/>
      <c r="G32" s="20"/>
      <c r="H32" s="75"/>
      <c r="I32" s="75"/>
      <c r="J32" s="75"/>
      <c r="K32" s="75"/>
      <c r="L32" s="75"/>
      <c r="M32" s="75"/>
      <c r="N32" s="73"/>
      <c r="O32" s="73">
        <v>14.5</v>
      </c>
      <c r="P32" s="74"/>
      <c r="Q32" s="72"/>
      <c r="R32" s="75"/>
      <c r="S32" s="72"/>
      <c r="T32" s="72"/>
      <c r="U32" s="16"/>
      <c r="V32" s="17"/>
    </row>
    <row r="33" spans="1:24" s="29" customFormat="1" ht="14" x14ac:dyDescent="0.15">
      <c r="A33" s="15">
        <v>5</v>
      </c>
      <c r="B33" s="23" t="s">
        <v>46</v>
      </c>
      <c r="C33" s="24"/>
      <c r="D33" s="19"/>
      <c r="E33" s="20">
        <v>2</v>
      </c>
      <c r="F33" s="21"/>
      <c r="G33" s="20"/>
      <c r="H33" s="19"/>
      <c r="I33" s="19"/>
      <c r="J33" s="19"/>
      <c r="K33" s="19"/>
      <c r="L33" s="19"/>
      <c r="M33" s="19">
        <v>1</v>
      </c>
      <c r="N33" s="20">
        <v>1</v>
      </c>
      <c r="O33" s="19"/>
      <c r="P33" s="21"/>
      <c r="Q33" s="19"/>
      <c r="R33" s="19"/>
      <c r="S33" s="19"/>
      <c r="T33" s="19"/>
      <c r="U33" s="16"/>
      <c r="V33" s="28"/>
      <c r="W33" s="9"/>
      <c r="X33" s="9"/>
    </row>
    <row r="34" spans="1:24" ht="14" x14ac:dyDescent="0.15">
      <c r="A34" s="22">
        <v>6</v>
      </c>
      <c r="B34" s="80" t="s">
        <v>47</v>
      </c>
      <c r="C34" s="18"/>
      <c r="D34" s="19"/>
      <c r="E34" s="20">
        <v>0.5</v>
      </c>
      <c r="F34" s="21"/>
      <c r="G34" s="20"/>
      <c r="H34" s="27"/>
      <c r="I34" s="27"/>
      <c r="J34" s="27"/>
      <c r="K34" s="27"/>
      <c r="L34" s="27"/>
      <c r="M34" s="27"/>
      <c r="N34" s="20"/>
      <c r="O34" s="19"/>
      <c r="P34" s="21"/>
      <c r="Q34" s="19"/>
      <c r="R34" s="30"/>
      <c r="S34" s="19"/>
      <c r="T34" s="19"/>
      <c r="U34" s="16"/>
      <c r="V34" s="17"/>
    </row>
    <row r="35" spans="1:24" ht="14" x14ac:dyDescent="0.15">
      <c r="A35" s="15">
        <v>7</v>
      </c>
      <c r="B35" s="80" t="s">
        <v>48</v>
      </c>
      <c r="C35" s="18"/>
      <c r="D35" s="19"/>
      <c r="E35" s="20">
        <v>1</v>
      </c>
      <c r="F35" s="21"/>
      <c r="G35" s="20"/>
      <c r="H35" s="27"/>
      <c r="I35" s="27"/>
      <c r="J35" s="27"/>
      <c r="K35" s="27"/>
      <c r="L35" s="27"/>
      <c r="M35" s="27"/>
      <c r="N35" s="20"/>
      <c r="O35" s="19"/>
      <c r="P35" s="21"/>
      <c r="Q35" s="19"/>
      <c r="R35" s="30"/>
      <c r="S35" s="19"/>
      <c r="T35" s="19"/>
      <c r="U35" s="16"/>
      <c r="V35" s="17"/>
    </row>
    <row r="36" spans="1:24" ht="14" x14ac:dyDescent="0.15">
      <c r="A36" s="15">
        <v>8</v>
      </c>
      <c r="B36" s="80" t="s">
        <v>49</v>
      </c>
      <c r="C36" s="18"/>
      <c r="D36" s="18"/>
      <c r="E36" s="20">
        <v>1</v>
      </c>
      <c r="F36" s="31"/>
      <c r="G36" s="20"/>
      <c r="H36" s="19"/>
      <c r="I36" s="19"/>
      <c r="J36" s="19"/>
      <c r="K36" s="19"/>
      <c r="L36" s="19"/>
      <c r="M36" s="19">
        <v>1</v>
      </c>
      <c r="N36" s="20">
        <v>1</v>
      </c>
      <c r="O36" s="32"/>
      <c r="P36" s="31"/>
      <c r="Q36" s="32"/>
      <c r="R36" s="19"/>
      <c r="S36" s="32"/>
      <c r="T36" s="32"/>
      <c r="U36" s="16"/>
      <c r="V36" s="28"/>
    </row>
    <row r="37" spans="1:24" ht="14" x14ac:dyDescent="0.15">
      <c r="A37" s="22">
        <v>9</v>
      </c>
      <c r="B37" s="80" t="s">
        <v>50</v>
      </c>
      <c r="C37" s="18"/>
      <c r="D37" s="19"/>
      <c r="E37" s="20" t="s">
        <v>51</v>
      </c>
      <c r="F37" s="21"/>
      <c r="G37" s="20"/>
      <c r="H37" s="19"/>
      <c r="I37" s="19"/>
      <c r="J37" s="19"/>
      <c r="K37" s="19"/>
      <c r="L37" s="19"/>
      <c r="M37" s="19"/>
      <c r="N37" s="20"/>
      <c r="O37" s="19"/>
      <c r="P37" s="21"/>
      <c r="Q37" s="19"/>
      <c r="R37" s="19"/>
      <c r="S37" s="19"/>
      <c r="T37" s="19"/>
      <c r="U37" s="16"/>
      <c r="V37" s="17"/>
    </row>
    <row r="38" spans="1:24" ht="14" x14ac:dyDescent="0.15">
      <c r="A38" s="15">
        <v>10</v>
      </c>
      <c r="B38" s="80" t="s">
        <v>52</v>
      </c>
      <c r="C38" s="18"/>
      <c r="D38" s="19"/>
      <c r="E38" s="20" t="s">
        <v>51</v>
      </c>
      <c r="F38" s="21"/>
      <c r="G38" s="20"/>
      <c r="H38" s="27"/>
      <c r="I38" s="27"/>
      <c r="J38" s="27"/>
      <c r="K38" s="27"/>
      <c r="L38" s="27"/>
      <c r="M38" s="27"/>
      <c r="N38" s="93"/>
      <c r="O38" s="19"/>
      <c r="P38" s="21"/>
      <c r="Q38" s="19"/>
      <c r="R38" s="30"/>
      <c r="S38" s="19"/>
      <c r="T38" s="19"/>
      <c r="U38" s="16"/>
      <c r="V38" s="17"/>
    </row>
    <row r="39" spans="1:24" ht="15" thickBot="1" x14ac:dyDescent="0.2">
      <c r="A39" s="15">
        <v>11</v>
      </c>
      <c r="B39" s="82" t="s">
        <v>53</v>
      </c>
      <c r="C39" s="33"/>
      <c r="D39" s="34"/>
      <c r="E39" s="35">
        <v>0.5</v>
      </c>
      <c r="F39" s="36"/>
      <c r="G39" s="35"/>
      <c r="H39" s="37"/>
      <c r="I39" s="37"/>
      <c r="J39" s="37"/>
      <c r="K39" s="37"/>
      <c r="L39" s="37"/>
      <c r="M39" s="37"/>
      <c r="N39" s="35"/>
      <c r="O39" s="34"/>
      <c r="P39" s="36"/>
      <c r="Q39" s="34"/>
      <c r="R39" s="37"/>
      <c r="S39" s="34"/>
      <c r="T39" s="34"/>
      <c r="U39" s="16"/>
      <c r="V39" s="17"/>
    </row>
    <row r="40" spans="1:24" s="44" customFormat="1" ht="15" thickBot="1" x14ac:dyDescent="0.2">
      <c r="A40" s="38"/>
      <c r="B40" s="83" t="s">
        <v>54</v>
      </c>
      <c r="C40" s="39"/>
      <c r="D40" s="40">
        <f>SUM(D28:D39)</f>
        <v>0</v>
      </c>
      <c r="E40" s="40">
        <f>SUM(E28:E39)</f>
        <v>30.5</v>
      </c>
      <c r="F40" s="41" t="s">
        <v>25</v>
      </c>
      <c r="G40" s="40">
        <f>SUM(G29:G39)</f>
        <v>0</v>
      </c>
      <c r="H40" s="40">
        <f>SUM(H29:H39)</f>
        <v>0</v>
      </c>
      <c r="I40" s="40">
        <f>SUM(I28:I39)</f>
        <v>0</v>
      </c>
      <c r="J40" s="40">
        <f>J32</f>
        <v>0</v>
      </c>
      <c r="K40" s="40"/>
      <c r="L40" s="40">
        <f>SUM(L28:L39)</f>
        <v>0</v>
      </c>
      <c r="M40" s="40">
        <f>SUM(M29:M39)</f>
        <v>5.5</v>
      </c>
      <c r="N40" s="40">
        <f>SUM(N29:N39)</f>
        <v>5.5</v>
      </c>
      <c r="O40" s="40">
        <f>SUM(O29:O39)</f>
        <v>14.5</v>
      </c>
      <c r="P40" s="41" t="s">
        <v>25</v>
      </c>
      <c r="Q40" s="40">
        <f>SUM(Q29:Q39)</f>
        <v>0</v>
      </c>
      <c r="R40" s="40">
        <f>SUM(R29:R39)</f>
        <v>0</v>
      </c>
      <c r="S40" s="40">
        <f>SUM(S29:S39)</f>
        <v>0</v>
      </c>
      <c r="T40" s="40">
        <f>SUM(T29:T39)</f>
        <v>0</v>
      </c>
      <c r="U40" s="42">
        <f>SUM(D40:T40)</f>
        <v>56</v>
      </c>
      <c r="V40" s="43"/>
    </row>
    <row r="41" spans="1:24" x14ac:dyDescent="0.15">
      <c r="F41" s="46"/>
      <c r="P41" s="46"/>
    </row>
    <row r="42" spans="1:24" ht="14" x14ac:dyDescent="0.15">
      <c r="B42" s="85" t="s">
        <v>55</v>
      </c>
      <c r="C42" s="48"/>
      <c r="D42" s="45" t="s">
        <v>56</v>
      </c>
      <c r="E42" s="45" t="s">
        <v>56</v>
      </c>
      <c r="F42" s="46"/>
      <c r="G42" s="45" t="s">
        <v>56</v>
      </c>
      <c r="H42" s="45" t="s">
        <v>56</v>
      </c>
      <c r="I42" s="45" t="s">
        <v>56</v>
      </c>
      <c r="J42" s="45" t="s">
        <v>56</v>
      </c>
      <c r="K42" s="45" t="s">
        <v>56</v>
      </c>
      <c r="L42" s="45" t="s">
        <v>56</v>
      </c>
      <c r="M42" s="45" t="s">
        <v>56</v>
      </c>
      <c r="N42" s="45" t="s">
        <v>56</v>
      </c>
      <c r="O42" s="45" t="s">
        <v>51</v>
      </c>
      <c r="P42" s="46"/>
      <c r="Q42" s="45" t="s">
        <v>56</v>
      </c>
      <c r="R42" s="45" t="s">
        <v>57</v>
      </c>
      <c r="S42" s="45" t="s">
        <v>57</v>
      </c>
      <c r="T42" s="45" t="s">
        <v>51</v>
      </c>
    </row>
    <row r="43" spans="1:24" s="49" customFormat="1" ht="15" thickBot="1" x14ac:dyDescent="0.2">
      <c r="B43" s="86" t="s">
        <v>58</v>
      </c>
      <c r="C43" s="50"/>
      <c r="D43" s="51">
        <v>14000</v>
      </c>
      <c r="E43" s="51">
        <v>14000</v>
      </c>
      <c r="F43" s="52"/>
      <c r="G43" s="51">
        <v>14000</v>
      </c>
      <c r="H43" s="51">
        <v>14000</v>
      </c>
      <c r="I43" s="51">
        <v>14000</v>
      </c>
      <c r="J43" s="51">
        <v>14000</v>
      </c>
      <c r="K43" s="51">
        <v>14000</v>
      </c>
      <c r="L43" s="51">
        <v>14000</v>
      </c>
      <c r="M43" s="51">
        <v>14000</v>
      </c>
      <c r="N43" s="51">
        <v>14000</v>
      </c>
      <c r="O43" s="51">
        <v>7500</v>
      </c>
      <c r="P43" s="52"/>
      <c r="Q43" s="51">
        <v>14000</v>
      </c>
      <c r="R43" s="51">
        <v>8500</v>
      </c>
      <c r="S43" s="51">
        <v>8500</v>
      </c>
      <c r="T43" s="51">
        <v>8500</v>
      </c>
      <c r="U43" s="53"/>
      <c r="V43" s="54"/>
    </row>
    <row r="44" spans="1:24" s="49" customFormat="1" ht="15" thickBot="1" x14ac:dyDescent="0.2">
      <c r="A44" s="55"/>
      <c r="B44" s="87" t="s">
        <v>59</v>
      </c>
      <c r="C44" s="56"/>
      <c r="D44" s="57">
        <f>D40*D43</f>
        <v>0</v>
      </c>
      <c r="E44" s="57">
        <f>E43*E40</f>
        <v>427000</v>
      </c>
      <c r="F44" s="58"/>
      <c r="G44" s="57">
        <f>G43*G40</f>
        <v>0</v>
      </c>
      <c r="H44" s="57">
        <f>H43*H40</f>
        <v>0</v>
      </c>
      <c r="I44" s="57">
        <f>I43*I40</f>
        <v>0</v>
      </c>
      <c r="J44" s="57">
        <f>J43*J40</f>
        <v>0</v>
      </c>
      <c r="K44" s="57">
        <f>K43*K32</f>
        <v>0</v>
      </c>
      <c r="L44" s="57">
        <f>L40*L43</f>
        <v>0</v>
      </c>
      <c r="M44" s="57">
        <f>M43*M40</f>
        <v>77000</v>
      </c>
      <c r="N44" s="57">
        <f>N43*N40</f>
        <v>77000</v>
      </c>
      <c r="O44" s="57">
        <f>O43*O40</f>
        <v>108750</v>
      </c>
      <c r="P44" s="58"/>
      <c r="Q44" s="57">
        <f>Q43*Q40</f>
        <v>0</v>
      </c>
      <c r="R44" s="57">
        <f>R43*R40</f>
        <v>0</v>
      </c>
      <c r="S44" s="57">
        <f>S43*S40</f>
        <v>0</v>
      </c>
      <c r="T44" s="57">
        <f>T43*T40</f>
        <v>0</v>
      </c>
      <c r="U44" s="59">
        <f>SUM(D44:T44)</f>
        <v>689750</v>
      </c>
      <c r="V44" s="54"/>
    </row>
    <row r="45" spans="1:24" x14ac:dyDescent="0.15">
      <c r="J45" s="118"/>
    </row>
    <row r="47" spans="1:24" ht="15" thickBot="1" x14ac:dyDescent="0.2">
      <c r="B47" s="134" t="s">
        <v>63</v>
      </c>
    </row>
    <row r="48" spans="1:24" ht="14" thickBot="1" x14ac:dyDescent="0.2">
      <c r="A48" s="301" t="s">
        <v>21</v>
      </c>
      <c r="B48" s="302"/>
      <c r="C48" s="5" t="s">
        <v>22</v>
      </c>
      <c r="D48" s="5" t="s">
        <v>23</v>
      </c>
      <c r="E48" s="5" t="s">
        <v>24</v>
      </c>
      <c r="F48" s="6" t="s">
        <v>25</v>
      </c>
      <c r="G48" s="5" t="s">
        <v>26</v>
      </c>
      <c r="H48" s="5" t="s">
        <v>27</v>
      </c>
      <c r="I48" s="5" t="s">
        <v>28</v>
      </c>
      <c r="J48" s="5" t="s">
        <v>29</v>
      </c>
      <c r="K48" s="5" t="s">
        <v>30</v>
      </c>
      <c r="L48" s="5" t="s">
        <v>31</v>
      </c>
      <c r="M48" s="5" t="s">
        <v>32</v>
      </c>
      <c r="N48" s="5" t="s">
        <v>33</v>
      </c>
      <c r="O48" s="5" t="s">
        <v>34</v>
      </c>
      <c r="P48" s="6" t="s">
        <v>25</v>
      </c>
      <c r="Q48" s="5" t="s">
        <v>31</v>
      </c>
      <c r="R48" s="5" t="s">
        <v>35</v>
      </c>
      <c r="S48" s="5" t="s">
        <v>36</v>
      </c>
      <c r="T48" s="5" t="s">
        <v>37</v>
      </c>
      <c r="U48" s="7" t="s">
        <v>38</v>
      </c>
      <c r="V48" s="8" t="s">
        <v>39</v>
      </c>
    </row>
    <row r="49" spans="1:24" ht="15" thickBot="1" x14ac:dyDescent="0.2">
      <c r="A49" s="10" t="s">
        <v>8</v>
      </c>
      <c r="B49" s="12" t="s">
        <v>40</v>
      </c>
      <c r="C49" s="11"/>
      <c r="D49" s="12"/>
      <c r="E49" s="12"/>
      <c r="F49" s="13"/>
      <c r="G49" s="12"/>
      <c r="H49" s="11"/>
      <c r="I49" s="11"/>
      <c r="J49" s="11"/>
      <c r="K49" s="11"/>
      <c r="L49" s="11"/>
      <c r="M49" s="11"/>
      <c r="N49" s="11"/>
      <c r="O49" s="11"/>
      <c r="P49" s="13"/>
      <c r="Q49" s="11"/>
      <c r="R49" s="11"/>
      <c r="S49" s="11"/>
      <c r="T49" s="11"/>
      <c r="U49" s="14"/>
    </row>
    <row r="50" spans="1:24" ht="14" x14ac:dyDescent="0.15">
      <c r="A50" s="15">
        <v>0</v>
      </c>
      <c r="B50" s="80" t="s">
        <v>41</v>
      </c>
      <c r="C50" s="18"/>
      <c r="D50" s="19"/>
      <c r="E50" s="20"/>
      <c r="F50" s="21"/>
      <c r="G50" s="20"/>
      <c r="H50" s="19"/>
      <c r="I50" s="19"/>
      <c r="J50" s="19"/>
      <c r="K50" s="19"/>
      <c r="L50" s="19"/>
      <c r="M50" s="19"/>
      <c r="N50" s="19"/>
      <c r="O50" s="19"/>
      <c r="P50" s="21"/>
      <c r="Q50" s="19"/>
      <c r="R50" s="19"/>
      <c r="S50" s="19"/>
      <c r="T50" s="19"/>
      <c r="U50" s="16"/>
      <c r="V50" s="17"/>
    </row>
    <row r="51" spans="1:24" ht="14" x14ac:dyDescent="0.15">
      <c r="A51" s="15">
        <v>1</v>
      </c>
      <c r="B51" s="80" t="s">
        <v>42</v>
      </c>
      <c r="C51" s="18"/>
      <c r="D51" s="19"/>
      <c r="E51" s="20">
        <v>2</v>
      </c>
      <c r="F51" s="21"/>
      <c r="G51" s="20"/>
      <c r="H51" s="19"/>
      <c r="I51" s="19"/>
      <c r="J51" s="19"/>
      <c r="K51" s="19"/>
      <c r="L51" s="19"/>
      <c r="M51" s="19">
        <v>1</v>
      </c>
      <c r="N51" s="19">
        <v>1</v>
      </c>
      <c r="O51" s="19"/>
      <c r="P51" s="21"/>
      <c r="Q51" s="19"/>
      <c r="R51" s="19"/>
      <c r="S51" s="19"/>
      <c r="T51" s="19"/>
      <c r="U51" s="16"/>
      <c r="V51" s="17"/>
    </row>
    <row r="52" spans="1:24" ht="14" x14ac:dyDescent="0.15">
      <c r="A52" s="15">
        <v>2</v>
      </c>
      <c r="B52" s="80" t="s">
        <v>43</v>
      </c>
      <c r="C52" s="18"/>
      <c r="D52" s="19"/>
      <c r="E52" s="20">
        <v>2</v>
      </c>
      <c r="F52" s="21"/>
      <c r="G52" s="20"/>
      <c r="H52" s="19"/>
      <c r="I52" s="19"/>
      <c r="J52" s="19"/>
      <c r="K52" s="19"/>
      <c r="L52" s="19"/>
      <c r="M52" s="19">
        <v>1</v>
      </c>
      <c r="N52" s="19">
        <v>1</v>
      </c>
      <c r="O52" s="19"/>
      <c r="P52" s="21"/>
      <c r="Q52" s="19"/>
      <c r="R52" s="19"/>
      <c r="S52" s="19"/>
      <c r="T52" s="19"/>
      <c r="U52" s="16"/>
      <c r="V52" s="17"/>
    </row>
    <row r="53" spans="1:24" s="29" customFormat="1" ht="70" x14ac:dyDescent="0.15">
      <c r="A53" s="22">
        <v>3</v>
      </c>
      <c r="B53" s="23" t="s">
        <v>64</v>
      </c>
      <c r="C53" s="24"/>
      <c r="D53" s="25"/>
      <c r="E53" s="20">
        <v>4</v>
      </c>
      <c r="F53" s="26"/>
      <c r="G53" s="20"/>
      <c r="H53" s="27"/>
      <c r="I53" s="27"/>
      <c r="J53" s="27"/>
      <c r="K53" s="27"/>
      <c r="L53" s="27"/>
      <c r="M53" s="27">
        <v>1.5</v>
      </c>
      <c r="N53" s="27">
        <v>1.5</v>
      </c>
      <c r="O53" s="25"/>
      <c r="P53" s="26"/>
      <c r="Q53" s="25"/>
      <c r="R53" s="27"/>
      <c r="S53" s="25"/>
      <c r="T53" s="25"/>
      <c r="U53" s="16"/>
      <c r="V53" s="28"/>
      <c r="W53" s="9"/>
      <c r="X53" s="9"/>
    </row>
    <row r="54" spans="1:24" ht="28" x14ac:dyDescent="0.15">
      <c r="A54" s="15">
        <v>4</v>
      </c>
      <c r="B54" s="81" t="s">
        <v>45</v>
      </c>
      <c r="C54" s="76"/>
      <c r="D54" s="72"/>
      <c r="E54" s="20">
        <f>Development!K35</f>
        <v>23</v>
      </c>
      <c r="F54" s="74"/>
      <c r="G54" s="20"/>
      <c r="H54" s="75"/>
      <c r="I54" s="75"/>
      <c r="J54" s="75"/>
      <c r="K54" s="75"/>
      <c r="L54" s="75"/>
      <c r="M54" s="75"/>
      <c r="N54" s="73"/>
      <c r="O54" s="73">
        <f>Development!L35</f>
        <v>15.5</v>
      </c>
      <c r="P54" s="74"/>
      <c r="Q54" s="72"/>
      <c r="R54" s="75"/>
      <c r="S54" s="72"/>
      <c r="T54" s="72"/>
      <c r="U54" s="16"/>
      <c r="V54" s="17"/>
    </row>
    <row r="55" spans="1:24" s="29" customFormat="1" ht="14" x14ac:dyDescent="0.15">
      <c r="A55" s="15">
        <v>5</v>
      </c>
      <c r="B55" s="23" t="s">
        <v>46</v>
      </c>
      <c r="C55" s="24"/>
      <c r="D55" s="19"/>
      <c r="E55" s="20">
        <v>3</v>
      </c>
      <c r="F55" s="21"/>
      <c r="G55" s="20"/>
      <c r="H55" s="19"/>
      <c r="I55" s="19"/>
      <c r="J55" s="19"/>
      <c r="K55" s="19"/>
      <c r="L55" s="19"/>
      <c r="M55" s="19">
        <v>1</v>
      </c>
      <c r="N55" s="20">
        <v>1</v>
      </c>
      <c r="O55" s="19"/>
      <c r="P55" s="21"/>
      <c r="Q55" s="19"/>
      <c r="R55" s="19"/>
      <c r="S55" s="19"/>
      <c r="T55" s="19"/>
      <c r="U55" s="16"/>
      <c r="V55" s="28"/>
      <c r="W55" s="9"/>
      <c r="X55" s="9"/>
    </row>
    <row r="56" spans="1:24" ht="14" x14ac:dyDescent="0.15">
      <c r="A56" s="22">
        <v>6</v>
      </c>
      <c r="B56" s="80" t="s">
        <v>47</v>
      </c>
      <c r="C56" s="18"/>
      <c r="D56" s="19"/>
      <c r="E56" s="20">
        <v>1</v>
      </c>
      <c r="F56" s="21"/>
      <c r="G56" s="20"/>
      <c r="H56" s="27"/>
      <c r="I56" s="27"/>
      <c r="J56" s="27"/>
      <c r="K56" s="27"/>
      <c r="L56" s="27"/>
      <c r="M56" s="27"/>
      <c r="N56" s="20"/>
      <c r="O56" s="19"/>
      <c r="P56" s="21"/>
      <c r="Q56" s="19"/>
      <c r="R56" s="30"/>
      <c r="S56" s="19"/>
      <c r="T56" s="19"/>
      <c r="U56" s="16"/>
      <c r="V56" s="17"/>
    </row>
    <row r="57" spans="1:24" ht="14" x14ac:dyDescent="0.15">
      <c r="A57" s="15">
        <v>7</v>
      </c>
      <c r="B57" s="80" t="s">
        <v>48</v>
      </c>
      <c r="C57" s="18"/>
      <c r="D57" s="19"/>
      <c r="E57" s="20">
        <v>2</v>
      </c>
      <c r="F57" s="21"/>
      <c r="G57" s="20"/>
      <c r="H57" s="27"/>
      <c r="I57" s="27"/>
      <c r="J57" s="27"/>
      <c r="K57" s="27"/>
      <c r="L57" s="27"/>
      <c r="M57" s="27"/>
      <c r="N57" s="20"/>
      <c r="O57" s="19"/>
      <c r="P57" s="21"/>
      <c r="Q57" s="19"/>
      <c r="R57" s="30"/>
      <c r="S57" s="19"/>
      <c r="T57" s="19"/>
      <c r="U57" s="16"/>
      <c r="V57" s="17"/>
    </row>
    <row r="58" spans="1:24" ht="14" x14ac:dyDescent="0.15">
      <c r="A58" s="15">
        <v>8</v>
      </c>
      <c r="B58" s="80" t="s">
        <v>49</v>
      </c>
      <c r="C58" s="18"/>
      <c r="D58" s="18"/>
      <c r="E58" s="20">
        <v>2</v>
      </c>
      <c r="F58" s="31"/>
      <c r="G58" s="20"/>
      <c r="H58" s="19"/>
      <c r="I58" s="19"/>
      <c r="J58" s="19"/>
      <c r="K58" s="19"/>
      <c r="L58" s="19"/>
      <c r="M58" s="19">
        <v>1</v>
      </c>
      <c r="N58" s="20">
        <v>1</v>
      </c>
      <c r="O58" s="32"/>
      <c r="P58" s="31"/>
      <c r="Q58" s="32"/>
      <c r="R58" s="19"/>
      <c r="S58" s="32"/>
      <c r="T58" s="32"/>
      <c r="U58" s="16"/>
      <c r="V58" s="28"/>
    </row>
    <row r="59" spans="1:24" ht="14" x14ac:dyDescent="0.15">
      <c r="A59" s="22">
        <v>9</v>
      </c>
      <c r="B59" s="80" t="s">
        <v>50</v>
      </c>
      <c r="C59" s="18"/>
      <c r="D59" s="19"/>
      <c r="E59" s="20">
        <v>1</v>
      </c>
      <c r="F59" s="21"/>
      <c r="G59" s="20"/>
      <c r="H59" s="19"/>
      <c r="I59" s="19"/>
      <c r="J59" s="19"/>
      <c r="K59" s="19"/>
      <c r="L59" s="19"/>
      <c r="M59" s="19"/>
      <c r="N59" s="20"/>
      <c r="O59" s="19"/>
      <c r="P59" s="21"/>
      <c r="Q59" s="19"/>
      <c r="R59" s="19"/>
      <c r="S59" s="19"/>
      <c r="T59" s="19"/>
      <c r="U59" s="16"/>
      <c r="V59" s="17"/>
    </row>
    <row r="60" spans="1:24" ht="14" x14ac:dyDescent="0.15">
      <c r="A60" s="15">
        <v>10</v>
      </c>
      <c r="B60" s="80" t="s">
        <v>52</v>
      </c>
      <c r="C60" s="18"/>
      <c r="D60" s="19"/>
      <c r="E60" s="20" t="s">
        <v>51</v>
      </c>
      <c r="F60" s="21"/>
      <c r="G60" s="20"/>
      <c r="H60" s="27"/>
      <c r="I60" s="27"/>
      <c r="J60" s="27"/>
      <c r="K60" s="27"/>
      <c r="L60" s="27"/>
      <c r="M60" s="27"/>
      <c r="N60" s="93"/>
      <c r="O60" s="19"/>
      <c r="P60" s="21"/>
      <c r="Q60" s="19"/>
      <c r="R60" s="30"/>
      <c r="S60" s="19"/>
      <c r="T60" s="19"/>
      <c r="U60" s="16"/>
      <c r="V60" s="17"/>
    </row>
    <row r="61" spans="1:24" ht="15" thickBot="1" x14ac:dyDescent="0.2">
      <c r="A61" s="15">
        <v>11</v>
      </c>
      <c r="B61" s="82" t="s">
        <v>53</v>
      </c>
      <c r="C61" s="33"/>
      <c r="D61" s="34"/>
      <c r="E61" s="35">
        <v>0.5</v>
      </c>
      <c r="F61" s="36"/>
      <c r="G61" s="35"/>
      <c r="H61" s="37"/>
      <c r="I61" s="37"/>
      <c r="J61" s="37"/>
      <c r="K61" s="37"/>
      <c r="L61" s="37"/>
      <c r="M61" s="37"/>
      <c r="N61" s="35"/>
      <c r="O61" s="34"/>
      <c r="P61" s="36"/>
      <c r="Q61" s="34"/>
      <c r="R61" s="37"/>
      <c r="S61" s="34"/>
      <c r="T61" s="34"/>
      <c r="U61" s="16"/>
      <c r="V61" s="17"/>
    </row>
    <row r="62" spans="1:24" s="44" customFormat="1" ht="15" thickBot="1" x14ac:dyDescent="0.2">
      <c r="A62" s="38"/>
      <c r="B62" s="83" t="s">
        <v>54</v>
      </c>
      <c r="C62" s="39"/>
      <c r="D62" s="40">
        <f>SUM(D50:D61)</f>
        <v>0</v>
      </c>
      <c r="E62" s="40">
        <f>SUM(E50:E61)</f>
        <v>40.5</v>
      </c>
      <c r="F62" s="41" t="s">
        <v>25</v>
      </c>
      <c r="G62" s="40">
        <f>SUM(G51:G61)</f>
        <v>0</v>
      </c>
      <c r="H62" s="40">
        <f>SUM(H51:H61)</f>
        <v>0</v>
      </c>
      <c r="I62" s="40">
        <f>SUM(I50:I61)</f>
        <v>0</v>
      </c>
      <c r="J62" s="40">
        <f>J54</f>
        <v>0</v>
      </c>
      <c r="K62" s="40"/>
      <c r="L62" s="40">
        <f>SUM(L50:L61)</f>
        <v>0</v>
      </c>
      <c r="M62" s="40">
        <f>SUM(M51:M61)</f>
        <v>5.5</v>
      </c>
      <c r="N62" s="40">
        <f>SUM(N51:N61)</f>
        <v>5.5</v>
      </c>
      <c r="O62" s="40">
        <f>SUM(O51:O61)</f>
        <v>15.5</v>
      </c>
      <c r="P62" s="41" t="s">
        <v>25</v>
      </c>
      <c r="Q62" s="40">
        <f>SUM(Q51:Q61)</f>
        <v>0</v>
      </c>
      <c r="R62" s="40">
        <f>SUM(R51:R61)</f>
        <v>0</v>
      </c>
      <c r="S62" s="40">
        <f>SUM(S51:S61)</f>
        <v>0</v>
      </c>
      <c r="T62" s="40">
        <f>SUM(T51:T61)</f>
        <v>0</v>
      </c>
      <c r="U62" s="42">
        <f>SUM(D62:T62)</f>
        <v>67</v>
      </c>
      <c r="V62" s="43"/>
    </row>
    <row r="63" spans="1:24" x14ac:dyDescent="0.15">
      <c r="F63" s="46"/>
      <c r="P63" s="46"/>
    </row>
    <row r="64" spans="1:24" ht="14" x14ac:dyDescent="0.15">
      <c r="B64" s="85" t="s">
        <v>55</v>
      </c>
      <c r="C64" s="48"/>
      <c r="D64" s="45" t="s">
        <v>56</v>
      </c>
      <c r="E64" s="45" t="s">
        <v>56</v>
      </c>
      <c r="F64" s="46"/>
      <c r="G64" s="45" t="s">
        <v>56</v>
      </c>
      <c r="H64" s="45" t="s">
        <v>56</v>
      </c>
      <c r="I64" s="45" t="s">
        <v>56</v>
      </c>
      <c r="J64" s="45" t="s">
        <v>56</v>
      </c>
      <c r="K64" s="45" t="s">
        <v>56</v>
      </c>
      <c r="L64" s="45" t="s">
        <v>56</v>
      </c>
      <c r="M64" s="45" t="s">
        <v>56</v>
      </c>
      <c r="N64" s="45" t="s">
        <v>56</v>
      </c>
      <c r="O64" s="45" t="s">
        <v>51</v>
      </c>
      <c r="P64" s="46"/>
      <c r="Q64" s="45" t="s">
        <v>56</v>
      </c>
      <c r="R64" s="45" t="s">
        <v>57</v>
      </c>
      <c r="S64" s="45" t="s">
        <v>57</v>
      </c>
      <c r="T64" s="45" t="s">
        <v>51</v>
      </c>
    </row>
    <row r="65" spans="1:22" s="49" customFormat="1" ht="15" thickBot="1" x14ac:dyDescent="0.2">
      <c r="B65" s="86" t="s">
        <v>58</v>
      </c>
      <c r="C65" s="50"/>
      <c r="D65" s="51">
        <v>14000</v>
      </c>
      <c r="E65" s="51">
        <v>14000</v>
      </c>
      <c r="F65" s="52"/>
      <c r="G65" s="51">
        <v>14000</v>
      </c>
      <c r="H65" s="51">
        <v>14000</v>
      </c>
      <c r="I65" s="51">
        <v>14000</v>
      </c>
      <c r="J65" s="51">
        <v>14000</v>
      </c>
      <c r="K65" s="51">
        <v>14000</v>
      </c>
      <c r="L65" s="51">
        <v>14000</v>
      </c>
      <c r="M65" s="51">
        <v>14000</v>
      </c>
      <c r="N65" s="51">
        <v>14000</v>
      </c>
      <c r="O65" s="51">
        <v>7500</v>
      </c>
      <c r="P65" s="52"/>
      <c r="Q65" s="51">
        <v>14000</v>
      </c>
      <c r="R65" s="51">
        <v>8500</v>
      </c>
      <c r="S65" s="51">
        <v>8500</v>
      </c>
      <c r="T65" s="51">
        <v>8500</v>
      </c>
      <c r="U65" s="53"/>
      <c r="V65" s="54"/>
    </row>
    <row r="66" spans="1:22" s="49" customFormat="1" ht="15" thickBot="1" x14ac:dyDescent="0.2">
      <c r="A66" s="55"/>
      <c r="B66" s="87" t="s">
        <v>59</v>
      </c>
      <c r="C66" s="56"/>
      <c r="D66" s="57">
        <f>D62*D65</f>
        <v>0</v>
      </c>
      <c r="E66" s="57">
        <f>E65*E62</f>
        <v>567000</v>
      </c>
      <c r="F66" s="58"/>
      <c r="G66" s="57">
        <f>G65*G62</f>
        <v>0</v>
      </c>
      <c r="H66" s="57">
        <f>H65*H62</f>
        <v>0</v>
      </c>
      <c r="I66" s="57">
        <f>I65*I62</f>
        <v>0</v>
      </c>
      <c r="J66" s="57">
        <f>J65*J62</f>
        <v>0</v>
      </c>
      <c r="K66" s="57">
        <f>K65*K54</f>
        <v>0</v>
      </c>
      <c r="L66" s="57">
        <f>L62*L65</f>
        <v>0</v>
      </c>
      <c r="M66" s="57">
        <f>M65*M62</f>
        <v>77000</v>
      </c>
      <c r="N66" s="57">
        <f>N65*N62</f>
        <v>77000</v>
      </c>
      <c r="O66" s="57">
        <f>O65*O62</f>
        <v>116250</v>
      </c>
      <c r="P66" s="58"/>
      <c r="Q66" s="57">
        <f>Q65*Q62</f>
        <v>0</v>
      </c>
      <c r="R66" s="57">
        <f>R65*R62</f>
        <v>0</v>
      </c>
      <c r="S66" s="57">
        <f>S65*S62</f>
        <v>0</v>
      </c>
      <c r="T66" s="57">
        <f>T65*T62</f>
        <v>0</v>
      </c>
      <c r="U66" s="59">
        <f>SUM(D66:T66)</f>
        <v>837250</v>
      </c>
      <c r="V66" s="54"/>
    </row>
    <row r="72" spans="1:22" s="45" customFormat="1" ht="15" x14ac:dyDescent="0.15">
      <c r="A72" s="9"/>
      <c r="B72" s="84"/>
      <c r="C72" s="9"/>
      <c r="D72" s="63"/>
      <c r="E72" s="63"/>
      <c r="F72" s="63"/>
      <c r="G72" s="63"/>
      <c r="O72" s="63"/>
      <c r="P72" s="63"/>
      <c r="Q72" s="63"/>
      <c r="S72" s="63"/>
      <c r="T72" s="63"/>
      <c r="U72" s="47"/>
      <c r="V72" s="8"/>
    </row>
  </sheetData>
  <mergeCells count="3">
    <mergeCell ref="A2:B2"/>
    <mergeCell ref="A26:B26"/>
    <mergeCell ref="A48:B4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"/>
  <sheetViews>
    <sheetView topLeftCell="A22" zoomScale="90" zoomScaleNormal="90" workbookViewId="0"/>
  </sheetViews>
  <sheetFormatPr baseColWidth="10" defaultColWidth="8.6640625" defaultRowHeight="13" x14ac:dyDescent="0.2"/>
  <cols>
    <col min="1" max="1" width="6.1640625" style="29" bestFit="1" customWidth="1"/>
    <col min="2" max="2" width="6.1640625" style="29" customWidth="1"/>
    <col min="3" max="3" width="12.1640625" style="29" customWidth="1"/>
    <col min="4" max="4" width="46.1640625" style="29" bestFit="1" customWidth="1"/>
    <col min="5" max="6" width="13.1640625" style="29" customWidth="1"/>
    <col min="7" max="7" width="8.6640625" style="29" bestFit="1" customWidth="1"/>
    <col min="8" max="8" width="48.6640625" style="120" bestFit="1" customWidth="1"/>
    <col min="9" max="10" width="8.6640625" style="117" customWidth="1"/>
    <col min="11" max="11" width="13.1640625" style="29" bestFit="1" customWidth="1"/>
    <col min="12" max="12" width="9.1640625" style="29" customWidth="1"/>
    <col min="13" max="13" width="10" style="29" bestFit="1" customWidth="1"/>
    <col min="14" max="16384" width="8.6640625" style="29"/>
  </cols>
  <sheetData>
    <row r="1" spans="1:12" ht="14" thickBot="1" x14ac:dyDescent="0.25">
      <c r="C1" s="29" t="s">
        <v>20</v>
      </c>
    </row>
    <row r="2" spans="1:12" ht="15" thickBot="1" x14ac:dyDescent="0.25">
      <c r="A2" s="105" t="s">
        <v>8</v>
      </c>
      <c r="B2" s="105" t="s">
        <v>65</v>
      </c>
      <c r="C2" s="106" t="s">
        <v>66</v>
      </c>
      <c r="D2" s="106" t="s">
        <v>67</v>
      </c>
      <c r="E2" s="106" t="s">
        <v>68</v>
      </c>
      <c r="F2" s="107" t="s">
        <v>69</v>
      </c>
      <c r="G2" s="108" t="s">
        <v>70</v>
      </c>
      <c r="H2" s="124" t="s">
        <v>39</v>
      </c>
      <c r="I2" s="140" t="s">
        <v>71</v>
      </c>
      <c r="J2" s="140" t="s">
        <v>72</v>
      </c>
      <c r="K2" s="140" t="s">
        <v>73</v>
      </c>
      <c r="L2" s="140" t="s">
        <v>74</v>
      </c>
    </row>
    <row r="3" spans="1:12" ht="14" thickBot="1" x14ac:dyDescent="0.25">
      <c r="A3" s="109">
        <v>1</v>
      </c>
      <c r="B3" s="109" t="s">
        <v>24</v>
      </c>
      <c r="C3" s="110" t="s">
        <v>75</v>
      </c>
      <c r="D3" s="110" t="s">
        <v>76</v>
      </c>
      <c r="E3" s="110" t="s">
        <v>77</v>
      </c>
      <c r="F3" s="110" t="s">
        <v>78</v>
      </c>
      <c r="G3" s="111" t="s">
        <v>79</v>
      </c>
      <c r="H3" s="125"/>
      <c r="I3" s="113">
        <v>1</v>
      </c>
      <c r="J3" s="113">
        <v>1</v>
      </c>
      <c r="K3" s="113"/>
      <c r="L3" s="113">
        <v>1.5</v>
      </c>
    </row>
    <row r="4" spans="1:12" ht="15" thickBot="1" x14ac:dyDescent="0.25">
      <c r="A4" s="109">
        <v>2</v>
      </c>
      <c r="B4" s="109" t="s">
        <v>24</v>
      </c>
      <c r="C4" s="110" t="s">
        <v>80</v>
      </c>
      <c r="D4" s="110" t="s">
        <v>81</v>
      </c>
      <c r="E4" s="110" t="s">
        <v>82</v>
      </c>
      <c r="F4" s="110" t="s">
        <v>83</v>
      </c>
      <c r="G4" s="111" t="s">
        <v>79</v>
      </c>
      <c r="H4" s="126" t="s">
        <v>84</v>
      </c>
      <c r="I4" s="113">
        <v>1</v>
      </c>
      <c r="J4" s="113">
        <v>2</v>
      </c>
      <c r="K4" s="113"/>
      <c r="L4" s="113">
        <v>2</v>
      </c>
    </row>
    <row r="5" spans="1:12" ht="15" thickBot="1" x14ac:dyDescent="0.25">
      <c r="A5" s="109">
        <v>3</v>
      </c>
      <c r="B5" s="109" t="s">
        <v>24</v>
      </c>
      <c r="C5" s="114" t="s">
        <v>85</v>
      </c>
      <c r="D5" s="110" t="s">
        <v>86</v>
      </c>
      <c r="E5" s="110" t="s">
        <v>87</v>
      </c>
      <c r="F5" s="110" t="s">
        <v>78</v>
      </c>
      <c r="G5" s="111" t="s">
        <v>79</v>
      </c>
      <c r="H5" s="112" t="s">
        <v>88</v>
      </c>
      <c r="I5" s="113">
        <v>1</v>
      </c>
      <c r="J5" s="113">
        <v>1.5</v>
      </c>
      <c r="K5" s="113"/>
      <c r="L5" s="113">
        <v>1.5</v>
      </c>
    </row>
    <row r="6" spans="1:12" ht="29" thickBot="1" x14ac:dyDescent="0.25">
      <c r="A6" s="109">
        <v>4</v>
      </c>
      <c r="B6" s="109" t="s">
        <v>24</v>
      </c>
      <c r="C6" s="114" t="s">
        <v>89</v>
      </c>
      <c r="D6" s="110" t="s">
        <v>90</v>
      </c>
      <c r="E6" s="110" t="s">
        <v>87</v>
      </c>
      <c r="F6" s="110" t="s">
        <v>78</v>
      </c>
      <c r="G6" s="111" t="s">
        <v>79</v>
      </c>
      <c r="H6" s="112" t="s">
        <v>91</v>
      </c>
      <c r="I6" s="113">
        <v>1</v>
      </c>
      <c r="J6" s="113">
        <v>1.5</v>
      </c>
      <c r="K6" s="113"/>
      <c r="L6" s="113">
        <v>1.5</v>
      </c>
    </row>
    <row r="7" spans="1:12" ht="14" thickBot="1" x14ac:dyDescent="0.25">
      <c r="A7" s="109"/>
      <c r="B7" s="109"/>
      <c r="C7" s="110"/>
      <c r="D7" s="110"/>
      <c r="E7" s="110"/>
      <c r="F7" s="110"/>
      <c r="G7" s="111"/>
      <c r="H7" s="112"/>
      <c r="I7" s="113"/>
      <c r="J7" s="113"/>
      <c r="K7" s="113"/>
      <c r="L7" s="113"/>
    </row>
    <row r="8" spans="1:12" ht="14" thickBot="1" x14ac:dyDescent="0.25">
      <c r="A8" s="121" t="s">
        <v>38</v>
      </c>
      <c r="B8" s="121"/>
      <c r="C8" s="122"/>
      <c r="D8" s="122"/>
      <c r="E8" s="122"/>
      <c r="F8" s="122"/>
      <c r="G8" s="123"/>
      <c r="H8" s="115"/>
      <c r="I8" s="116">
        <f>SUM(I3:I7)</f>
        <v>4</v>
      </c>
      <c r="J8" s="116">
        <f>SUM(J3:J7)</f>
        <v>6</v>
      </c>
      <c r="K8" s="116">
        <f>SUM(I8:J8)</f>
        <v>10</v>
      </c>
      <c r="L8" s="116">
        <f>SUM(L3:L6)</f>
        <v>6.5</v>
      </c>
    </row>
    <row r="9" spans="1:12" ht="14" thickTop="1" x14ac:dyDescent="0.2">
      <c r="A9" s="135"/>
      <c r="B9" s="135"/>
      <c r="C9" s="136"/>
      <c r="D9" s="136"/>
      <c r="E9" s="136"/>
      <c r="F9" s="136"/>
      <c r="G9" s="137"/>
      <c r="H9" s="138"/>
      <c r="I9" s="139"/>
      <c r="J9" s="139"/>
      <c r="K9" s="139"/>
      <c r="L9" s="139"/>
    </row>
    <row r="10" spans="1:12" ht="14" thickBot="1" x14ac:dyDescent="0.25">
      <c r="C10" s="29" t="s">
        <v>61</v>
      </c>
    </row>
    <row r="11" spans="1:12" ht="15" thickBot="1" x14ac:dyDescent="0.25">
      <c r="A11" s="105" t="s">
        <v>8</v>
      </c>
      <c r="B11" s="105" t="s">
        <v>65</v>
      </c>
      <c r="C11" s="106" t="s">
        <v>66</v>
      </c>
      <c r="D11" s="106" t="s">
        <v>67</v>
      </c>
      <c r="E11" s="106" t="s">
        <v>68</v>
      </c>
      <c r="F11" s="107" t="s">
        <v>69</v>
      </c>
      <c r="G11" s="108" t="s">
        <v>70</v>
      </c>
      <c r="H11" s="124" t="s">
        <v>39</v>
      </c>
      <c r="I11" s="113" t="s">
        <v>71</v>
      </c>
      <c r="J11" s="113" t="s">
        <v>72</v>
      </c>
      <c r="K11" s="113" t="s">
        <v>73</v>
      </c>
      <c r="L11" s="113" t="s">
        <v>74</v>
      </c>
    </row>
    <row r="12" spans="1:12" ht="14" thickBot="1" x14ac:dyDescent="0.25">
      <c r="A12" s="109">
        <v>1</v>
      </c>
      <c r="B12" s="109" t="s">
        <v>24</v>
      </c>
      <c r="C12" s="110" t="s">
        <v>75</v>
      </c>
      <c r="D12" s="110" t="s">
        <v>76</v>
      </c>
      <c r="E12" s="110" t="s">
        <v>77</v>
      </c>
      <c r="F12" s="110" t="s">
        <v>78</v>
      </c>
      <c r="G12" s="111" t="s">
        <v>79</v>
      </c>
      <c r="H12" s="125"/>
      <c r="I12" s="113">
        <v>1</v>
      </c>
      <c r="J12" s="113">
        <v>1</v>
      </c>
      <c r="K12" s="113"/>
      <c r="L12" s="113">
        <v>1.5</v>
      </c>
    </row>
    <row r="13" spans="1:12" ht="15" thickBot="1" x14ac:dyDescent="0.25">
      <c r="A13" s="109">
        <v>2</v>
      </c>
      <c r="B13" s="109" t="s">
        <v>24</v>
      </c>
      <c r="C13" s="110" t="s">
        <v>92</v>
      </c>
      <c r="D13" s="110" t="s">
        <v>93</v>
      </c>
      <c r="E13" s="110" t="s">
        <v>82</v>
      </c>
      <c r="F13" s="110" t="s">
        <v>94</v>
      </c>
      <c r="G13" s="111" t="s">
        <v>79</v>
      </c>
      <c r="H13" s="126" t="s">
        <v>95</v>
      </c>
      <c r="I13" s="113">
        <v>1</v>
      </c>
      <c r="J13" s="113">
        <v>1.5</v>
      </c>
      <c r="K13" s="113"/>
      <c r="L13" s="113">
        <v>2</v>
      </c>
    </row>
    <row r="14" spans="1:12" ht="15" thickBot="1" x14ac:dyDescent="0.25">
      <c r="A14" s="109">
        <v>3</v>
      </c>
      <c r="B14" s="109" t="s">
        <v>24</v>
      </c>
      <c r="C14" s="110" t="s">
        <v>80</v>
      </c>
      <c r="D14" s="110" t="s">
        <v>81</v>
      </c>
      <c r="E14" s="110" t="s">
        <v>82</v>
      </c>
      <c r="F14" s="110" t="s">
        <v>83</v>
      </c>
      <c r="G14" s="111" t="s">
        <v>79</v>
      </c>
      <c r="H14" s="126" t="s">
        <v>84</v>
      </c>
      <c r="I14" s="113">
        <v>1</v>
      </c>
      <c r="J14" s="113">
        <v>2</v>
      </c>
      <c r="K14" s="113"/>
      <c r="L14" s="113">
        <v>2</v>
      </c>
    </row>
    <row r="15" spans="1:12" ht="29" thickBot="1" x14ac:dyDescent="0.25">
      <c r="A15" s="109">
        <v>4</v>
      </c>
      <c r="B15" s="109" t="s">
        <v>24</v>
      </c>
      <c r="C15" s="114" t="s">
        <v>96</v>
      </c>
      <c r="D15" s="110" t="s">
        <v>97</v>
      </c>
      <c r="E15" s="110" t="s">
        <v>87</v>
      </c>
      <c r="F15" s="110" t="s">
        <v>98</v>
      </c>
      <c r="G15" s="111" t="s">
        <v>99</v>
      </c>
      <c r="H15" s="126" t="s">
        <v>100</v>
      </c>
      <c r="I15" s="113">
        <v>1</v>
      </c>
      <c r="J15" s="113">
        <v>1.5</v>
      </c>
      <c r="K15" s="113"/>
      <c r="L15" s="113">
        <v>2</v>
      </c>
    </row>
    <row r="16" spans="1:12" ht="43" thickBot="1" x14ac:dyDescent="0.25">
      <c r="A16" s="109">
        <v>5</v>
      </c>
      <c r="B16" s="109" t="s">
        <v>24</v>
      </c>
      <c r="C16" s="114" t="s">
        <v>101</v>
      </c>
      <c r="D16" s="110" t="s">
        <v>102</v>
      </c>
      <c r="E16" s="110" t="s">
        <v>87</v>
      </c>
      <c r="F16" s="110" t="s">
        <v>98</v>
      </c>
      <c r="G16" s="111" t="s">
        <v>99</v>
      </c>
      <c r="H16" s="126" t="s">
        <v>100</v>
      </c>
      <c r="I16" s="113">
        <v>1</v>
      </c>
      <c r="J16" s="113">
        <v>1.5</v>
      </c>
      <c r="K16" s="113"/>
      <c r="L16" s="113">
        <v>2</v>
      </c>
    </row>
    <row r="17" spans="1:12" ht="57" thickBot="1" x14ac:dyDescent="0.25">
      <c r="A17" s="109">
        <v>6</v>
      </c>
      <c r="B17" s="109" t="s">
        <v>24</v>
      </c>
      <c r="C17" s="114" t="s">
        <v>103</v>
      </c>
      <c r="D17" s="110" t="s">
        <v>104</v>
      </c>
      <c r="E17" s="110" t="s">
        <v>87</v>
      </c>
      <c r="F17" s="110" t="s">
        <v>98</v>
      </c>
      <c r="G17" s="111" t="s">
        <v>99</v>
      </c>
      <c r="H17" s="126" t="s">
        <v>100</v>
      </c>
      <c r="I17" s="113">
        <v>1</v>
      </c>
      <c r="J17" s="113">
        <v>1.5</v>
      </c>
      <c r="K17" s="113"/>
      <c r="L17" s="113">
        <v>2</v>
      </c>
    </row>
    <row r="18" spans="1:12" ht="15" thickBot="1" x14ac:dyDescent="0.25">
      <c r="A18" s="109">
        <v>7</v>
      </c>
      <c r="B18" s="109" t="s">
        <v>24</v>
      </c>
      <c r="C18" s="114" t="s">
        <v>85</v>
      </c>
      <c r="D18" s="110" t="s">
        <v>86</v>
      </c>
      <c r="E18" s="110" t="s">
        <v>87</v>
      </c>
      <c r="F18" s="110" t="s">
        <v>78</v>
      </c>
      <c r="G18" s="111" t="s">
        <v>79</v>
      </c>
      <c r="H18" s="112" t="s">
        <v>88</v>
      </c>
      <c r="I18" s="113">
        <v>1</v>
      </c>
      <c r="J18" s="113">
        <v>1.5</v>
      </c>
      <c r="K18" s="113"/>
      <c r="L18" s="113">
        <v>1.5</v>
      </c>
    </row>
    <row r="19" spans="1:12" ht="29" thickBot="1" x14ac:dyDescent="0.25">
      <c r="A19" s="109">
        <v>8</v>
      </c>
      <c r="B19" s="109" t="s">
        <v>24</v>
      </c>
      <c r="C19" s="114" t="s">
        <v>89</v>
      </c>
      <c r="D19" s="110" t="s">
        <v>90</v>
      </c>
      <c r="E19" s="110" t="s">
        <v>87</v>
      </c>
      <c r="F19" s="110" t="s">
        <v>78</v>
      </c>
      <c r="G19" s="111" t="s">
        <v>79</v>
      </c>
      <c r="H19" s="112" t="s">
        <v>91</v>
      </c>
      <c r="I19" s="113">
        <v>1</v>
      </c>
      <c r="J19" s="113">
        <v>1.5</v>
      </c>
      <c r="K19" s="113"/>
      <c r="L19" s="113">
        <v>1.5</v>
      </c>
    </row>
    <row r="20" spans="1:12" ht="14" thickBot="1" x14ac:dyDescent="0.25">
      <c r="A20" s="109"/>
      <c r="B20" s="109"/>
      <c r="C20" s="114"/>
      <c r="D20" s="110"/>
      <c r="E20" s="110"/>
      <c r="F20" s="110"/>
      <c r="G20" s="111"/>
      <c r="H20" s="112"/>
      <c r="I20" s="113"/>
      <c r="J20" s="113"/>
      <c r="K20" s="113"/>
      <c r="L20" s="113"/>
    </row>
    <row r="21" spans="1:12" ht="14" thickBot="1" x14ac:dyDescent="0.25">
      <c r="A21" s="121" t="s">
        <v>38</v>
      </c>
      <c r="B21" s="121"/>
      <c r="C21" s="122"/>
      <c r="D21" s="122"/>
      <c r="E21" s="122"/>
      <c r="F21" s="122"/>
      <c r="G21" s="123"/>
      <c r="H21" s="115"/>
      <c r="I21" s="116">
        <f>SUM(I12:I20)</f>
        <v>8</v>
      </c>
      <c r="J21" s="116">
        <f>SUM(J12:J20)</f>
        <v>12</v>
      </c>
      <c r="K21" s="116">
        <f>SUM(I21:J21)</f>
        <v>20</v>
      </c>
      <c r="L21" s="116">
        <f>SUM(L12:L20)</f>
        <v>14.5</v>
      </c>
    </row>
    <row r="22" spans="1:12" ht="14" thickTop="1" x14ac:dyDescent="0.2">
      <c r="A22" s="135"/>
      <c r="B22" s="135"/>
      <c r="C22" s="136"/>
      <c r="D22" s="136"/>
      <c r="E22" s="136"/>
      <c r="F22" s="136"/>
      <c r="G22" s="137"/>
      <c r="H22" s="138"/>
      <c r="I22" s="139"/>
      <c r="J22" s="139"/>
      <c r="K22" s="139"/>
      <c r="L22" s="139"/>
    </row>
    <row r="23" spans="1:12" ht="14" thickBot="1" x14ac:dyDescent="0.25">
      <c r="C23" s="29" t="s">
        <v>63</v>
      </c>
      <c r="K23" s="117"/>
      <c r="L23" s="117"/>
    </row>
    <row r="24" spans="1:12" ht="15" thickBot="1" x14ac:dyDescent="0.25">
      <c r="A24" s="105" t="s">
        <v>8</v>
      </c>
      <c r="B24" s="105" t="s">
        <v>65</v>
      </c>
      <c r="C24" s="106" t="s">
        <v>66</v>
      </c>
      <c r="D24" s="106" t="s">
        <v>67</v>
      </c>
      <c r="E24" s="106" t="s">
        <v>68</v>
      </c>
      <c r="F24" s="107" t="s">
        <v>69</v>
      </c>
      <c r="G24" s="108" t="s">
        <v>70</v>
      </c>
      <c r="H24" s="124" t="s">
        <v>39</v>
      </c>
      <c r="I24" s="140" t="s">
        <v>71</v>
      </c>
      <c r="J24" s="140" t="s">
        <v>72</v>
      </c>
      <c r="K24" s="140" t="s">
        <v>73</v>
      </c>
      <c r="L24" s="140" t="s">
        <v>74</v>
      </c>
    </row>
    <row r="25" spans="1:12" ht="14" thickBot="1" x14ac:dyDescent="0.25">
      <c r="A25" s="109">
        <v>1</v>
      </c>
      <c r="B25" s="109" t="s">
        <v>24</v>
      </c>
      <c r="C25" s="110" t="s">
        <v>75</v>
      </c>
      <c r="D25" s="110" t="s">
        <v>76</v>
      </c>
      <c r="E25" s="110" t="s">
        <v>77</v>
      </c>
      <c r="F25" s="110" t="s">
        <v>78</v>
      </c>
      <c r="G25" s="111" t="s">
        <v>79</v>
      </c>
      <c r="H25" s="125"/>
      <c r="I25" s="113">
        <v>1</v>
      </c>
      <c r="J25" s="113">
        <v>2</v>
      </c>
      <c r="K25" s="113"/>
      <c r="L25" s="113">
        <v>1.5</v>
      </c>
    </row>
    <row r="26" spans="1:12" ht="15" thickBot="1" x14ac:dyDescent="0.25">
      <c r="A26" s="109">
        <v>2</v>
      </c>
      <c r="B26" s="109" t="s">
        <v>24</v>
      </c>
      <c r="C26" s="110" t="s">
        <v>92</v>
      </c>
      <c r="D26" s="110" t="s">
        <v>93</v>
      </c>
      <c r="E26" s="110" t="s">
        <v>82</v>
      </c>
      <c r="F26" s="110" t="s">
        <v>94</v>
      </c>
      <c r="G26" s="111" t="s">
        <v>79</v>
      </c>
      <c r="H26" s="126" t="s">
        <v>95</v>
      </c>
      <c r="I26" s="113">
        <v>1</v>
      </c>
      <c r="J26" s="113">
        <v>1.5</v>
      </c>
      <c r="K26" s="113"/>
      <c r="L26" s="113">
        <v>2</v>
      </c>
    </row>
    <row r="27" spans="1:12" ht="15" thickBot="1" x14ac:dyDescent="0.25">
      <c r="A27" s="109">
        <v>3</v>
      </c>
      <c r="B27" s="109" t="s">
        <v>24</v>
      </c>
      <c r="C27" s="110" t="s">
        <v>80</v>
      </c>
      <c r="D27" s="110" t="s">
        <v>81</v>
      </c>
      <c r="E27" s="110" t="s">
        <v>82</v>
      </c>
      <c r="F27" s="110" t="s">
        <v>83</v>
      </c>
      <c r="G27" s="111" t="s">
        <v>79</v>
      </c>
      <c r="H27" s="126" t="s">
        <v>84</v>
      </c>
      <c r="I27" s="113">
        <v>1.5</v>
      </c>
      <c r="J27" s="113">
        <v>2.5</v>
      </c>
      <c r="K27" s="113"/>
      <c r="L27" s="113">
        <v>2</v>
      </c>
    </row>
    <row r="28" spans="1:12" ht="29" thickBot="1" x14ac:dyDescent="0.25">
      <c r="A28" s="109">
        <v>4</v>
      </c>
      <c r="B28" s="109" t="s">
        <v>24</v>
      </c>
      <c r="C28" s="114" t="s">
        <v>96</v>
      </c>
      <c r="D28" s="110" t="s">
        <v>97</v>
      </c>
      <c r="E28" s="110" t="s">
        <v>87</v>
      </c>
      <c r="F28" s="110" t="s">
        <v>98</v>
      </c>
      <c r="G28" s="111" t="s">
        <v>99</v>
      </c>
      <c r="H28" s="126" t="s">
        <v>100</v>
      </c>
      <c r="I28" s="113">
        <v>1</v>
      </c>
      <c r="J28" s="113">
        <v>1.5</v>
      </c>
      <c r="K28" s="113"/>
      <c r="L28" s="113">
        <v>2</v>
      </c>
    </row>
    <row r="29" spans="1:12" ht="43" thickBot="1" x14ac:dyDescent="0.25">
      <c r="A29" s="109">
        <v>5</v>
      </c>
      <c r="B29" s="109" t="s">
        <v>24</v>
      </c>
      <c r="C29" s="114" t="s">
        <v>101</v>
      </c>
      <c r="D29" s="110" t="s">
        <v>102</v>
      </c>
      <c r="E29" s="110" t="s">
        <v>87</v>
      </c>
      <c r="F29" s="110" t="s">
        <v>98</v>
      </c>
      <c r="G29" s="111" t="s">
        <v>99</v>
      </c>
      <c r="H29" s="126" t="s">
        <v>100</v>
      </c>
      <c r="I29" s="113">
        <v>1</v>
      </c>
      <c r="J29" s="113">
        <v>1.5</v>
      </c>
      <c r="K29" s="113"/>
      <c r="L29" s="113">
        <v>2</v>
      </c>
    </row>
    <row r="30" spans="1:12" ht="57" thickBot="1" x14ac:dyDescent="0.25">
      <c r="A30" s="109">
        <v>6</v>
      </c>
      <c r="B30" s="109" t="s">
        <v>24</v>
      </c>
      <c r="C30" s="114" t="s">
        <v>103</v>
      </c>
      <c r="D30" s="110" t="s">
        <v>104</v>
      </c>
      <c r="E30" s="110" t="s">
        <v>87</v>
      </c>
      <c r="F30" s="110" t="s">
        <v>98</v>
      </c>
      <c r="G30" s="111" t="s">
        <v>99</v>
      </c>
      <c r="H30" s="126" t="s">
        <v>100</v>
      </c>
      <c r="I30" s="113">
        <v>1</v>
      </c>
      <c r="J30" s="113">
        <v>1.5</v>
      </c>
      <c r="K30" s="113"/>
      <c r="L30" s="113">
        <v>2</v>
      </c>
    </row>
    <row r="31" spans="1:12" ht="15" thickBot="1" x14ac:dyDescent="0.25">
      <c r="A31" s="109">
        <v>7</v>
      </c>
      <c r="B31" s="109" t="s">
        <v>24</v>
      </c>
      <c r="C31" s="114" t="s">
        <v>85</v>
      </c>
      <c r="D31" s="110" t="s">
        <v>86</v>
      </c>
      <c r="E31" s="110" t="s">
        <v>87</v>
      </c>
      <c r="F31" s="110" t="s">
        <v>78</v>
      </c>
      <c r="G31" s="111" t="s">
        <v>79</v>
      </c>
      <c r="H31" s="112" t="s">
        <v>88</v>
      </c>
      <c r="I31" s="113">
        <v>1</v>
      </c>
      <c r="J31" s="113">
        <v>2</v>
      </c>
      <c r="K31" s="113"/>
      <c r="L31" s="141">
        <v>2</v>
      </c>
    </row>
    <row r="32" spans="1:12" ht="29" thickBot="1" x14ac:dyDescent="0.25">
      <c r="A32" s="109">
        <v>8</v>
      </c>
      <c r="B32" s="109" t="s">
        <v>24</v>
      </c>
      <c r="C32" s="114" t="s">
        <v>89</v>
      </c>
      <c r="D32" s="110" t="s">
        <v>90</v>
      </c>
      <c r="E32" s="110" t="s">
        <v>87</v>
      </c>
      <c r="F32" s="110" t="s">
        <v>78</v>
      </c>
      <c r="G32" s="111" t="s">
        <v>79</v>
      </c>
      <c r="H32" s="112" t="s">
        <v>91</v>
      </c>
      <c r="I32" s="113">
        <v>1</v>
      </c>
      <c r="J32" s="113">
        <v>2</v>
      </c>
      <c r="K32" s="113"/>
      <c r="L32" s="141">
        <v>2</v>
      </c>
    </row>
    <row r="33" spans="1:12" ht="14" thickBot="1" x14ac:dyDescent="0.25">
      <c r="A33" s="109"/>
      <c r="B33" s="109"/>
      <c r="C33" s="114"/>
      <c r="D33" s="110"/>
      <c r="E33" s="110"/>
      <c r="F33" s="110"/>
      <c r="G33" s="111"/>
      <c r="H33" s="112"/>
      <c r="I33" s="113"/>
      <c r="J33" s="113"/>
      <c r="K33" s="113"/>
      <c r="L33" s="113"/>
    </row>
    <row r="34" spans="1:12" ht="14" thickBot="1" x14ac:dyDescent="0.25">
      <c r="A34" s="109"/>
      <c r="B34" s="109"/>
      <c r="C34" s="110"/>
      <c r="D34" s="110"/>
      <c r="E34" s="110"/>
      <c r="F34" s="110"/>
      <c r="G34" s="111"/>
      <c r="H34" s="112"/>
      <c r="I34" s="113"/>
      <c r="J34" s="113"/>
      <c r="K34" s="113"/>
      <c r="L34" s="113"/>
    </row>
    <row r="35" spans="1:12" ht="14" thickBot="1" x14ac:dyDescent="0.25">
      <c r="A35" s="121" t="s">
        <v>38</v>
      </c>
      <c r="B35" s="121"/>
      <c r="C35" s="122"/>
      <c r="D35" s="122"/>
      <c r="E35" s="122"/>
      <c r="F35" s="122"/>
      <c r="G35" s="123"/>
      <c r="H35" s="115"/>
      <c r="I35" s="116">
        <f>SUM(I25:I34)</f>
        <v>8.5</v>
      </c>
      <c r="J35" s="116">
        <f>SUM(J25:J34)</f>
        <v>14.5</v>
      </c>
      <c r="K35" s="116">
        <f>SUM(I35:J35)</f>
        <v>23</v>
      </c>
      <c r="L35" s="116">
        <f>SUM(L25:L33)</f>
        <v>15.5</v>
      </c>
    </row>
    <row r="36" spans="1:12" ht="14" thickTop="1" x14ac:dyDescent="0.2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C141"/>
  <sheetViews>
    <sheetView zoomScale="85" zoomScaleNormal="85" workbookViewId="0"/>
  </sheetViews>
  <sheetFormatPr baseColWidth="10" defaultColWidth="8.6640625" defaultRowHeight="15" x14ac:dyDescent="0.2"/>
  <cols>
    <col min="1" max="1" width="4.6640625" bestFit="1" customWidth="1"/>
    <col min="2" max="2" width="6.6640625" bestFit="1" customWidth="1"/>
    <col min="3" max="3" width="8" bestFit="1" customWidth="1"/>
    <col min="4" max="4" width="24.6640625" bestFit="1" customWidth="1"/>
    <col min="5" max="5" width="7" bestFit="1" customWidth="1"/>
    <col min="6" max="6" width="6.6640625" bestFit="1" customWidth="1"/>
    <col min="7" max="7" width="7.6640625" bestFit="1" customWidth="1"/>
    <col min="8" max="8" width="23.6640625" bestFit="1" customWidth="1"/>
    <col min="9" max="9" width="30.1640625" bestFit="1" customWidth="1"/>
    <col min="10" max="10" width="7.6640625" bestFit="1" customWidth="1"/>
    <col min="11" max="11" width="5.1640625" bestFit="1" customWidth="1"/>
    <col min="12" max="13" width="7.1640625" bestFit="1" customWidth="1"/>
    <col min="14" max="14" width="8.6640625" bestFit="1" customWidth="1"/>
    <col min="15" max="15" width="6.1640625" bestFit="1" customWidth="1"/>
    <col min="16" max="16" width="9" bestFit="1" customWidth="1"/>
    <col min="17" max="17" width="9.1640625" bestFit="1" customWidth="1"/>
    <col min="18" max="18" width="8.1640625" bestFit="1" customWidth="1"/>
    <col min="19" max="19" width="12.1640625" bestFit="1" customWidth="1"/>
    <col min="20" max="20" width="8.1640625" bestFit="1" customWidth="1"/>
    <col min="21" max="21" width="7.1640625" bestFit="1" customWidth="1"/>
    <col min="22" max="22" width="6.1640625" bestFit="1" customWidth="1"/>
    <col min="23" max="23" width="13.1640625" bestFit="1" customWidth="1"/>
    <col min="25" max="25" width="6.1640625" hidden="1" customWidth="1"/>
    <col min="26" max="26" width="7.1640625" hidden="1" customWidth="1"/>
    <col min="27" max="27" width="0" hidden="1" customWidth="1"/>
    <col min="28" max="28" width="6.1640625" hidden="1" customWidth="1"/>
    <col min="29" max="29" width="23.6640625" hidden="1" customWidth="1"/>
  </cols>
  <sheetData>
    <row r="1" spans="1:29" x14ac:dyDescent="0.2">
      <c r="A1" s="129" t="s">
        <v>105</v>
      </c>
      <c r="B1" s="129" t="s">
        <v>106</v>
      </c>
      <c r="C1" s="129" t="s">
        <v>107</v>
      </c>
      <c r="D1" s="129"/>
      <c r="E1" s="129" t="s">
        <v>108</v>
      </c>
      <c r="F1" s="129" t="s">
        <v>109</v>
      </c>
      <c r="G1" s="129" t="s">
        <v>110</v>
      </c>
      <c r="H1" s="129" t="s">
        <v>67</v>
      </c>
      <c r="I1" s="129" t="s">
        <v>67</v>
      </c>
      <c r="J1" s="129" t="s">
        <v>111</v>
      </c>
      <c r="K1" s="129" t="s">
        <v>112</v>
      </c>
      <c r="L1" s="129" t="s">
        <v>113</v>
      </c>
      <c r="M1" s="129" t="s">
        <v>114</v>
      </c>
      <c r="N1" s="129" t="s">
        <v>115</v>
      </c>
      <c r="O1" s="129" t="s">
        <v>116</v>
      </c>
      <c r="P1" s="129" t="s">
        <v>117</v>
      </c>
      <c r="Q1" s="129" t="s">
        <v>118</v>
      </c>
      <c r="R1" s="129" t="s">
        <v>119</v>
      </c>
      <c r="S1" s="129" t="s">
        <v>120</v>
      </c>
      <c r="T1" s="129" t="s">
        <v>121</v>
      </c>
      <c r="U1" s="129" t="s">
        <v>122</v>
      </c>
      <c r="V1" s="129" t="s">
        <v>123</v>
      </c>
      <c r="W1" s="129" t="s">
        <v>124</v>
      </c>
    </row>
    <row r="2" spans="1:29" hidden="1" x14ac:dyDescent="0.2">
      <c r="A2" s="130" t="s">
        <v>125</v>
      </c>
      <c r="B2" s="130" t="s">
        <v>126</v>
      </c>
      <c r="C2" s="130" t="s">
        <v>127</v>
      </c>
      <c r="D2" s="131" t="s">
        <v>128</v>
      </c>
      <c r="E2" s="130" t="s">
        <v>129</v>
      </c>
      <c r="F2" s="130" t="s">
        <v>130</v>
      </c>
      <c r="G2" s="130" t="s">
        <v>131</v>
      </c>
      <c r="H2" s="131" t="str">
        <f t="shared" ref="H2:H38" si="0">VLOOKUP(G2,AB:AC,2,FALSE)</f>
        <v>GSM:  D.Ch on MCQ Z1</v>
      </c>
      <c r="I2" s="130" t="s">
        <v>132</v>
      </c>
      <c r="J2" s="130" t="s">
        <v>133</v>
      </c>
      <c r="K2" s="130" t="s">
        <v>133</v>
      </c>
      <c r="L2" s="130" t="s">
        <v>132</v>
      </c>
      <c r="M2" s="130" t="s">
        <v>133</v>
      </c>
      <c r="N2" s="130" t="s">
        <v>132</v>
      </c>
      <c r="O2" s="130" t="s">
        <v>25</v>
      </c>
      <c r="P2" s="130" t="s">
        <v>134</v>
      </c>
      <c r="Q2" s="130" t="s">
        <v>133</v>
      </c>
      <c r="R2" s="130" t="s">
        <v>132</v>
      </c>
      <c r="S2" s="131" t="str">
        <f t="shared" ref="S2:S38" si="1">VLOOKUP(G2,Y:Z,2,FALSE)</f>
        <v>VVDC1</v>
      </c>
      <c r="T2" s="130" t="s">
        <v>132</v>
      </c>
      <c r="U2" s="130" t="s">
        <v>132</v>
      </c>
      <c r="V2" s="130" t="s">
        <v>132</v>
      </c>
      <c r="W2" s="130" t="s">
        <v>132</v>
      </c>
      <c r="Y2" t="s">
        <v>135</v>
      </c>
      <c r="Z2" t="s">
        <v>136</v>
      </c>
      <c r="AB2" t="s">
        <v>137</v>
      </c>
      <c r="AC2" t="s">
        <v>138</v>
      </c>
    </row>
    <row r="3" spans="1:29" hidden="1" x14ac:dyDescent="0.2">
      <c r="A3" s="130" t="s">
        <v>125</v>
      </c>
      <c r="B3" s="130" t="s">
        <v>126</v>
      </c>
      <c r="C3" s="130" t="s">
        <v>127</v>
      </c>
      <c r="D3" s="131" t="s">
        <v>128</v>
      </c>
      <c r="E3" s="130" t="s">
        <v>139</v>
      </c>
      <c r="F3" s="130" t="s">
        <v>130</v>
      </c>
      <c r="G3" s="130" t="s">
        <v>140</v>
      </c>
      <c r="H3" s="131" t="str">
        <f t="shared" si="0"/>
        <v>GSM:  D.Ch on MCQ Z2</v>
      </c>
      <c r="I3" s="130" t="s">
        <v>132</v>
      </c>
      <c r="J3" s="130" t="s">
        <v>133</v>
      </c>
      <c r="K3" s="130" t="s">
        <v>133</v>
      </c>
      <c r="L3" s="130" t="s">
        <v>132</v>
      </c>
      <c r="M3" s="130" t="s">
        <v>133</v>
      </c>
      <c r="N3" s="130" t="s">
        <v>132</v>
      </c>
      <c r="O3" s="130" t="s">
        <v>25</v>
      </c>
      <c r="P3" s="130" t="s">
        <v>134</v>
      </c>
      <c r="Q3" s="130" t="s">
        <v>133</v>
      </c>
      <c r="R3" s="130" t="s">
        <v>132</v>
      </c>
      <c r="S3" s="131" t="str">
        <f t="shared" si="1"/>
        <v>VVDC2</v>
      </c>
      <c r="T3" s="130" t="s">
        <v>132</v>
      </c>
      <c r="U3" s="130" t="s">
        <v>132</v>
      </c>
      <c r="V3" s="130" t="s">
        <v>132</v>
      </c>
      <c r="W3" s="130" t="s">
        <v>132</v>
      </c>
      <c r="Y3" t="s">
        <v>141</v>
      </c>
      <c r="Z3" t="s">
        <v>142</v>
      </c>
      <c r="AB3" t="s">
        <v>135</v>
      </c>
      <c r="AC3" t="s">
        <v>143</v>
      </c>
    </row>
    <row r="4" spans="1:29" hidden="1" x14ac:dyDescent="0.2">
      <c r="A4" s="130" t="s">
        <v>125</v>
      </c>
      <c r="B4" s="130" t="s">
        <v>126</v>
      </c>
      <c r="C4" s="130" t="s">
        <v>127</v>
      </c>
      <c r="D4" s="131" t="s">
        <v>128</v>
      </c>
      <c r="E4" s="130" t="s">
        <v>144</v>
      </c>
      <c r="F4" s="130" t="s">
        <v>130</v>
      </c>
      <c r="G4" s="130" t="s">
        <v>145</v>
      </c>
      <c r="H4" s="131" t="str">
        <f t="shared" si="0"/>
        <v>GSM:  D.Ch on MCQ Z3</v>
      </c>
      <c r="I4" s="130" t="s">
        <v>132</v>
      </c>
      <c r="J4" s="130" t="s">
        <v>133</v>
      </c>
      <c r="K4" s="130" t="s">
        <v>133</v>
      </c>
      <c r="L4" s="130" t="s">
        <v>132</v>
      </c>
      <c r="M4" s="130" t="s">
        <v>133</v>
      </c>
      <c r="N4" s="130" t="s">
        <v>132</v>
      </c>
      <c r="O4" s="130" t="s">
        <v>25</v>
      </c>
      <c r="P4" s="130" t="s">
        <v>134</v>
      </c>
      <c r="Q4" s="130" t="s">
        <v>133</v>
      </c>
      <c r="R4" s="130" t="s">
        <v>132</v>
      </c>
      <c r="S4" s="131" t="str">
        <f t="shared" si="1"/>
        <v>VVDC3</v>
      </c>
      <c r="T4" s="130" t="s">
        <v>132</v>
      </c>
      <c r="U4" s="130" t="s">
        <v>132</v>
      </c>
      <c r="V4" s="130" t="s">
        <v>132</v>
      </c>
      <c r="W4" s="130" t="s">
        <v>132</v>
      </c>
      <c r="Y4" t="s">
        <v>146</v>
      </c>
      <c r="Z4" t="s">
        <v>147</v>
      </c>
      <c r="AB4" t="s">
        <v>148</v>
      </c>
      <c r="AC4" t="s">
        <v>149</v>
      </c>
    </row>
    <row r="5" spans="1:29" hidden="1" x14ac:dyDescent="0.2">
      <c r="A5" s="130" t="s">
        <v>125</v>
      </c>
      <c r="B5" s="130" t="s">
        <v>126</v>
      </c>
      <c r="C5" s="130" t="s">
        <v>127</v>
      </c>
      <c r="D5" s="131" t="s">
        <v>128</v>
      </c>
      <c r="E5" s="130" t="s">
        <v>150</v>
      </c>
      <c r="F5" s="130" t="s">
        <v>130</v>
      </c>
      <c r="G5" s="130" t="s">
        <v>151</v>
      </c>
      <c r="H5" s="131" t="str">
        <f t="shared" si="0"/>
        <v>GSM:  D.Ch MCQ Jana</v>
      </c>
      <c r="I5" s="130" t="s">
        <v>132</v>
      </c>
      <c r="J5" s="130" t="s">
        <v>133</v>
      </c>
      <c r="K5" s="130" t="s">
        <v>133</v>
      </c>
      <c r="L5" s="130" t="s">
        <v>132</v>
      </c>
      <c r="M5" s="130" t="s">
        <v>133</v>
      </c>
      <c r="N5" s="130" t="s">
        <v>132</v>
      </c>
      <c r="O5" s="130" t="s">
        <v>25</v>
      </c>
      <c r="P5" s="130" t="s">
        <v>134</v>
      </c>
      <c r="Q5" s="130" t="s">
        <v>133</v>
      </c>
      <c r="R5" s="130" t="s">
        <v>132</v>
      </c>
      <c r="S5" s="131" t="str">
        <f t="shared" si="1"/>
        <v>VVDC4</v>
      </c>
      <c r="T5" s="130" t="s">
        <v>132</v>
      </c>
      <c r="U5" s="130" t="s">
        <v>132</v>
      </c>
      <c r="V5" s="130" t="s">
        <v>132</v>
      </c>
      <c r="W5" s="130" t="s">
        <v>132</v>
      </c>
      <c r="Y5" t="s">
        <v>152</v>
      </c>
      <c r="Z5" t="s">
        <v>153</v>
      </c>
      <c r="AB5" t="s">
        <v>154</v>
      </c>
      <c r="AC5" t="s">
        <v>155</v>
      </c>
    </row>
    <row r="6" spans="1:29" hidden="1" x14ac:dyDescent="0.2">
      <c r="A6" s="130" t="s">
        <v>125</v>
      </c>
      <c r="B6" s="130" t="s">
        <v>126</v>
      </c>
      <c r="C6" s="130" t="s">
        <v>127</v>
      </c>
      <c r="D6" s="131" t="s">
        <v>128</v>
      </c>
      <c r="E6" s="130" t="s">
        <v>156</v>
      </c>
      <c r="F6" s="130" t="s">
        <v>130</v>
      </c>
      <c r="G6" s="130" t="s">
        <v>157</v>
      </c>
      <c r="H6" s="131" t="str">
        <f t="shared" si="0"/>
        <v>Demand Charge</v>
      </c>
      <c r="I6" s="130" t="s">
        <v>132</v>
      </c>
      <c r="J6" s="130" t="s">
        <v>133</v>
      </c>
      <c r="K6" s="130" t="s">
        <v>133</v>
      </c>
      <c r="L6" s="130" t="s">
        <v>132</v>
      </c>
      <c r="M6" s="130" t="s">
        <v>158</v>
      </c>
      <c r="N6" s="130" t="s">
        <v>159</v>
      </c>
      <c r="O6" s="130" t="s">
        <v>132</v>
      </c>
      <c r="P6" s="130" t="s">
        <v>160</v>
      </c>
      <c r="Q6" s="130" t="s">
        <v>133</v>
      </c>
      <c r="R6" s="130" t="s">
        <v>161</v>
      </c>
      <c r="S6" s="131" t="str">
        <f t="shared" si="1"/>
        <v>VVTDC</v>
      </c>
      <c r="T6" s="130" t="s">
        <v>132</v>
      </c>
      <c r="U6" s="130" t="s">
        <v>25</v>
      </c>
      <c r="V6" s="130" t="s">
        <v>132</v>
      </c>
      <c r="W6" s="130" t="s">
        <v>132</v>
      </c>
      <c r="Y6" t="s">
        <v>162</v>
      </c>
      <c r="Z6" t="s">
        <v>163</v>
      </c>
      <c r="AB6" t="s">
        <v>164</v>
      </c>
      <c r="AC6" t="s">
        <v>165</v>
      </c>
    </row>
    <row r="7" spans="1:29" hidden="1" x14ac:dyDescent="0.2">
      <c r="A7" s="130" t="s">
        <v>125</v>
      </c>
      <c r="B7" s="130" t="s">
        <v>126</v>
      </c>
      <c r="C7" s="130" t="s">
        <v>127</v>
      </c>
      <c r="D7" s="131" t="s">
        <v>128</v>
      </c>
      <c r="E7" s="130" t="s">
        <v>166</v>
      </c>
      <c r="F7" s="130" t="s">
        <v>130</v>
      </c>
      <c r="G7" s="130" t="s">
        <v>132</v>
      </c>
      <c r="H7" s="131" t="e">
        <f t="shared" si="0"/>
        <v>#N/A</v>
      </c>
      <c r="I7" s="130" t="s">
        <v>167</v>
      </c>
      <c r="J7" s="130" t="s">
        <v>129</v>
      </c>
      <c r="K7" s="130" t="s">
        <v>150</v>
      </c>
      <c r="L7" s="130" t="s">
        <v>132</v>
      </c>
      <c r="M7" s="130" t="s">
        <v>133</v>
      </c>
      <c r="N7" s="130" t="s">
        <v>168</v>
      </c>
      <c r="O7" s="130" t="s">
        <v>25</v>
      </c>
      <c r="P7" s="130" t="s">
        <v>133</v>
      </c>
      <c r="Q7" s="130" t="s">
        <v>133</v>
      </c>
      <c r="R7" s="130" t="s">
        <v>132</v>
      </c>
      <c r="S7" s="131" t="e">
        <f t="shared" si="1"/>
        <v>#N/A</v>
      </c>
      <c r="T7" s="130" t="s">
        <v>132</v>
      </c>
      <c r="U7" s="130" t="s">
        <v>132</v>
      </c>
      <c r="V7" s="130" t="s">
        <v>132</v>
      </c>
      <c r="W7" s="130" t="s">
        <v>132</v>
      </c>
      <c r="Y7" t="s">
        <v>169</v>
      </c>
      <c r="Z7" t="s">
        <v>163</v>
      </c>
      <c r="AB7" t="s">
        <v>170</v>
      </c>
      <c r="AC7" t="s">
        <v>171</v>
      </c>
    </row>
    <row r="8" spans="1:29" hidden="1" x14ac:dyDescent="0.2">
      <c r="A8" s="130" t="s">
        <v>125</v>
      </c>
      <c r="B8" s="130" t="s">
        <v>126</v>
      </c>
      <c r="C8" s="130" t="s">
        <v>127</v>
      </c>
      <c r="D8" s="131" t="s">
        <v>128</v>
      </c>
      <c r="E8" s="130" t="s">
        <v>172</v>
      </c>
      <c r="F8" s="130" t="s">
        <v>130</v>
      </c>
      <c r="G8" s="130" t="s">
        <v>132</v>
      </c>
      <c r="H8" s="131" t="e">
        <f t="shared" si="0"/>
        <v>#N/A</v>
      </c>
      <c r="I8" s="130" t="s">
        <v>173</v>
      </c>
      <c r="J8" s="130" t="s">
        <v>156</v>
      </c>
      <c r="K8" s="130" t="s">
        <v>156</v>
      </c>
      <c r="L8" s="130" t="s">
        <v>132</v>
      </c>
      <c r="M8" s="130" t="s">
        <v>133</v>
      </c>
      <c r="N8" s="130" t="s">
        <v>174</v>
      </c>
      <c r="O8" s="130" t="s">
        <v>25</v>
      </c>
      <c r="P8" s="130" t="s">
        <v>133</v>
      </c>
      <c r="Q8" s="130" t="s">
        <v>133</v>
      </c>
      <c r="R8" s="130" t="s">
        <v>132</v>
      </c>
      <c r="S8" s="131" t="e">
        <f t="shared" si="1"/>
        <v>#N/A</v>
      </c>
      <c r="T8" s="130" t="s">
        <v>132</v>
      </c>
      <c r="U8" s="130" t="s">
        <v>132</v>
      </c>
      <c r="V8" s="130" t="s">
        <v>132</v>
      </c>
      <c r="W8" s="130" t="s">
        <v>132</v>
      </c>
      <c r="Y8" t="s">
        <v>175</v>
      </c>
      <c r="Z8" t="s">
        <v>163</v>
      </c>
      <c r="AB8" t="s">
        <v>141</v>
      </c>
      <c r="AC8" t="s">
        <v>176</v>
      </c>
    </row>
    <row r="9" spans="1:29" hidden="1" x14ac:dyDescent="0.2">
      <c r="A9" s="130" t="s">
        <v>125</v>
      </c>
      <c r="B9" s="130" t="s">
        <v>126</v>
      </c>
      <c r="C9" s="130" t="s">
        <v>127</v>
      </c>
      <c r="D9" s="131" t="s">
        <v>128</v>
      </c>
      <c r="E9" s="130" t="s">
        <v>177</v>
      </c>
      <c r="F9" s="130" t="s">
        <v>130</v>
      </c>
      <c r="G9" s="130" t="s">
        <v>178</v>
      </c>
      <c r="H9" s="131" t="str">
        <f t="shared" si="0"/>
        <v>GSM:DIFF ZST3 - ZDM</v>
      </c>
      <c r="I9" s="130" t="s">
        <v>132</v>
      </c>
      <c r="J9" s="130" t="s">
        <v>133</v>
      </c>
      <c r="K9" s="130" t="s">
        <v>133</v>
      </c>
      <c r="L9" s="130" t="s">
        <v>132</v>
      </c>
      <c r="M9" s="130" t="s">
        <v>133</v>
      </c>
      <c r="N9" s="130" t="s">
        <v>132</v>
      </c>
      <c r="O9" s="130" t="s">
        <v>25</v>
      </c>
      <c r="P9" s="130" t="s">
        <v>179</v>
      </c>
      <c r="Q9" s="130" t="s">
        <v>133</v>
      </c>
      <c r="R9" s="130" t="s">
        <v>132</v>
      </c>
      <c r="S9" s="131" t="str">
        <f t="shared" si="1"/>
        <v>VVDC3</v>
      </c>
      <c r="T9" s="130" t="s">
        <v>132</v>
      </c>
      <c r="U9" s="130" t="s">
        <v>132</v>
      </c>
      <c r="V9" s="130" t="s">
        <v>132</v>
      </c>
      <c r="W9" s="130" t="s">
        <v>132</v>
      </c>
      <c r="Y9" t="s">
        <v>180</v>
      </c>
      <c r="Z9" t="s">
        <v>147</v>
      </c>
      <c r="AB9" t="s">
        <v>181</v>
      </c>
      <c r="AC9" t="s">
        <v>182</v>
      </c>
    </row>
    <row r="10" spans="1:29" hidden="1" x14ac:dyDescent="0.2">
      <c r="A10" s="130" t="s">
        <v>125</v>
      </c>
      <c r="B10" s="130" t="s">
        <v>126</v>
      </c>
      <c r="C10" s="130" t="s">
        <v>127</v>
      </c>
      <c r="D10" s="131" t="s">
        <v>128</v>
      </c>
      <c r="E10" s="130" t="s">
        <v>183</v>
      </c>
      <c r="F10" s="130" t="s">
        <v>130</v>
      </c>
      <c r="G10" s="130" t="s">
        <v>184</v>
      </c>
      <c r="H10" s="131" t="str">
        <f t="shared" si="0"/>
        <v>GSM:  D.Ch MCQ TTM</v>
      </c>
      <c r="I10" s="130" t="s">
        <v>132</v>
      </c>
      <c r="J10" s="130" t="s">
        <v>133</v>
      </c>
      <c r="K10" s="130" t="s">
        <v>133</v>
      </c>
      <c r="L10" s="130" t="s">
        <v>132</v>
      </c>
      <c r="M10" s="130" t="s">
        <v>133</v>
      </c>
      <c r="N10" s="130" t="s">
        <v>132</v>
      </c>
      <c r="O10" s="130" t="s">
        <v>25</v>
      </c>
      <c r="P10" s="130" t="s">
        <v>134</v>
      </c>
      <c r="Q10" s="130" t="s">
        <v>133</v>
      </c>
      <c r="R10" s="130" t="s">
        <v>132</v>
      </c>
      <c r="S10" s="131" t="e">
        <f t="shared" si="1"/>
        <v>#N/A</v>
      </c>
      <c r="T10" s="130" t="s">
        <v>132</v>
      </c>
      <c r="U10" s="130" t="s">
        <v>132</v>
      </c>
      <c r="V10" s="130" t="s">
        <v>132</v>
      </c>
      <c r="W10" s="130" t="s">
        <v>132</v>
      </c>
      <c r="Y10" t="s">
        <v>185</v>
      </c>
      <c r="Z10" t="s">
        <v>186</v>
      </c>
      <c r="AB10" t="s">
        <v>187</v>
      </c>
      <c r="AC10" t="s">
        <v>188</v>
      </c>
    </row>
    <row r="11" spans="1:29" hidden="1" x14ac:dyDescent="0.2">
      <c r="A11" s="130" t="s">
        <v>125</v>
      </c>
      <c r="B11" s="130" t="s">
        <v>126</v>
      </c>
      <c r="C11" s="130" t="s">
        <v>127</v>
      </c>
      <c r="D11" s="131" t="s">
        <v>128</v>
      </c>
      <c r="E11" s="130" t="s">
        <v>189</v>
      </c>
      <c r="F11" s="130" t="s">
        <v>130</v>
      </c>
      <c r="G11" s="130" t="s">
        <v>190</v>
      </c>
      <c r="H11" s="131" t="str">
        <f t="shared" si="0"/>
        <v>Demand Charge-TTM</v>
      </c>
      <c r="I11" s="130" t="s">
        <v>132</v>
      </c>
      <c r="J11" s="130" t="s">
        <v>133</v>
      </c>
      <c r="K11" s="130" t="s">
        <v>133</v>
      </c>
      <c r="L11" s="130" t="s">
        <v>132</v>
      </c>
      <c r="M11" s="130" t="s">
        <v>158</v>
      </c>
      <c r="N11" s="130" t="s">
        <v>132</v>
      </c>
      <c r="O11" s="130" t="s">
        <v>132</v>
      </c>
      <c r="P11" s="130" t="s">
        <v>191</v>
      </c>
      <c r="Q11" s="130" t="s">
        <v>133</v>
      </c>
      <c r="R11" s="130" t="s">
        <v>161</v>
      </c>
      <c r="S11" s="131" t="str">
        <f t="shared" si="1"/>
        <v>VVDCT</v>
      </c>
      <c r="T11" s="130" t="s">
        <v>132</v>
      </c>
      <c r="U11" s="130" t="s">
        <v>25</v>
      </c>
      <c r="V11" s="130" t="s">
        <v>132</v>
      </c>
      <c r="W11" s="130" t="s">
        <v>132</v>
      </c>
      <c r="Y11" t="s">
        <v>178</v>
      </c>
      <c r="Z11" t="s">
        <v>186</v>
      </c>
      <c r="AB11" t="s">
        <v>146</v>
      </c>
      <c r="AC11" t="s">
        <v>192</v>
      </c>
    </row>
    <row r="12" spans="1:29" hidden="1" x14ac:dyDescent="0.2">
      <c r="A12" s="130" t="s">
        <v>125</v>
      </c>
      <c r="B12" s="130" t="s">
        <v>126</v>
      </c>
      <c r="C12" s="130" t="s">
        <v>127</v>
      </c>
      <c r="D12" s="131" t="s">
        <v>128</v>
      </c>
      <c r="E12" s="130" t="s">
        <v>193</v>
      </c>
      <c r="F12" s="130" t="s">
        <v>130</v>
      </c>
      <c r="G12" s="130" t="s">
        <v>194</v>
      </c>
      <c r="H12" s="131" t="str">
        <f t="shared" si="0"/>
        <v>GSM:  D.Ch.actual Z1</v>
      </c>
      <c r="I12" s="130" t="s">
        <v>132</v>
      </c>
      <c r="J12" s="130" t="s">
        <v>133</v>
      </c>
      <c r="K12" s="130" t="s">
        <v>133</v>
      </c>
      <c r="L12" s="130" t="s">
        <v>132</v>
      </c>
      <c r="M12" s="130" t="s">
        <v>133</v>
      </c>
      <c r="N12" s="130" t="s">
        <v>195</v>
      </c>
      <c r="O12" s="130" t="s">
        <v>25</v>
      </c>
      <c r="P12" s="130" t="s">
        <v>133</v>
      </c>
      <c r="Q12" s="130" t="s">
        <v>133</v>
      </c>
      <c r="R12" s="130" t="s">
        <v>132</v>
      </c>
      <c r="S12" s="131" t="str">
        <f t="shared" si="1"/>
        <v>VVDC1</v>
      </c>
      <c r="T12" s="130" t="s">
        <v>132</v>
      </c>
      <c r="U12" s="130" t="s">
        <v>132</v>
      </c>
      <c r="V12" s="130" t="s">
        <v>132</v>
      </c>
      <c r="W12" s="130" t="s">
        <v>132</v>
      </c>
      <c r="Y12" t="s">
        <v>196</v>
      </c>
      <c r="Z12" t="s">
        <v>147</v>
      </c>
      <c r="AB12" t="s">
        <v>152</v>
      </c>
      <c r="AC12" t="s">
        <v>197</v>
      </c>
    </row>
    <row r="13" spans="1:29" hidden="1" x14ac:dyDescent="0.2">
      <c r="A13" s="130" t="s">
        <v>125</v>
      </c>
      <c r="B13" s="130" t="s">
        <v>126</v>
      </c>
      <c r="C13" s="130" t="s">
        <v>127</v>
      </c>
      <c r="D13" s="131" t="s">
        <v>128</v>
      </c>
      <c r="E13" s="130" t="s">
        <v>198</v>
      </c>
      <c r="F13" s="130" t="s">
        <v>130</v>
      </c>
      <c r="G13" s="130" t="s">
        <v>199</v>
      </c>
      <c r="H13" s="131" t="str">
        <f t="shared" si="0"/>
        <v>GSM:  D.Ch.actual Z2</v>
      </c>
      <c r="I13" s="130" t="s">
        <v>132</v>
      </c>
      <c r="J13" s="130" t="s">
        <v>133</v>
      </c>
      <c r="K13" s="130" t="s">
        <v>133</v>
      </c>
      <c r="L13" s="130" t="s">
        <v>132</v>
      </c>
      <c r="M13" s="130" t="s">
        <v>133</v>
      </c>
      <c r="N13" s="130" t="s">
        <v>195</v>
      </c>
      <c r="O13" s="130" t="s">
        <v>25</v>
      </c>
      <c r="P13" s="130" t="s">
        <v>133</v>
      </c>
      <c r="Q13" s="130" t="s">
        <v>133</v>
      </c>
      <c r="R13" s="130" t="s">
        <v>132</v>
      </c>
      <c r="S13" s="131" t="str">
        <f t="shared" si="1"/>
        <v>VVDC2</v>
      </c>
      <c r="T13" s="130" t="s">
        <v>132</v>
      </c>
      <c r="U13" s="130" t="s">
        <v>132</v>
      </c>
      <c r="V13" s="130" t="s">
        <v>132</v>
      </c>
      <c r="W13" s="130" t="s">
        <v>132</v>
      </c>
      <c r="Y13" t="s">
        <v>131</v>
      </c>
      <c r="Z13" t="s">
        <v>200</v>
      </c>
      <c r="AB13" t="s">
        <v>162</v>
      </c>
      <c r="AC13" t="s">
        <v>201</v>
      </c>
    </row>
    <row r="14" spans="1:29" hidden="1" x14ac:dyDescent="0.2">
      <c r="A14" s="130" t="s">
        <v>125</v>
      </c>
      <c r="B14" s="130" t="s">
        <v>126</v>
      </c>
      <c r="C14" s="130" t="s">
        <v>127</v>
      </c>
      <c r="D14" s="131" t="s">
        <v>128</v>
      </c>
      <c r="E14" s="130" t="s">
        <v>202</v>
      </c>
      <c r="F14" s="130" t="s">
        <v>130</v>
      </c>
      <c r="G14" s="130" t="s">
        <v>203</v>
      </c>
      <c r="H14" s="131" t="str">
        <f t="shared" si="0"/>
        <v>GSM:  D.Ch.actual Z3</v>
      </c>
      <c r="I14" s="130" t="s">
        <v>132</v>
      </c>
      <c r="J14" s="130" t="s">
        <v>133</v>
      </c>
      <c r="K14" s="130" t="s">
        <v>133</v>
      </c>
      <c r="L14" s="130" t="s">
        <v>132</v>
      </c>
      <c r="M14" s="130" t="s">
        <v>133</v>
      </c>
      <c r="N14" s="130" t="s">
        <v>195</v>
      </c>
      <c r="O14" s="130" t="s">
        <v>25</v>
      </c>
      <c r="P14" s="130" t="s">
        <v>133</v>
      </c>
      <c r="Q14" s="130" t="s">
        <v>133</v>
      </c>
      <c r="R14" s="130" t="s">
        <v>132</v>
      </c>
      <c r="S14" s="131" t="str">
        <f t="shared" si="1"/>
        <v>VVDC3</v>
      </c>
      <c r="T14" s="130" t="s">
        <v>132</v>
      </c>
      <c r="U14" s="130" t="s">
        <v>132</v>
      </c>
      <c r="V14" s="130" t="s">
        <v>132</v>
      </c>
      <c r="W14" s="130" t="s">
        <v>132</v>
      </c>
      <c r="Y14" t="s">
        <v>140</v>
      </c>
      <c r="Z14" t="s">
        <v>204</v>
      </c>
      <c r="AB14" t="s">
        <v>169</v>
      </c>
      <c r="AC14" t="s">
        <v>205</v>
      </c>
    </row>
    <row r="15" spans="1:29" hidden="1" x14ac:dyDescent="0.2">
      <c r="A15" s="130" t="s">
        <v>125</v>
      </c>
      <c r="B15" s="130" t="s">
        <v>126</v>
      </c>
      <c r="C15" s="130" t="s">
        <v>127</v>
      </c>
      <c r="D15" s="131" t="s">
        <v>128</v>
      </c>
      <c r="E15" s="130" t="s">
        <v>206</v>
      </c>
      <c r="F15" s="130" t="s">
        <v>130</v>
      </c>
      <c r="G15" s="130" t="s">
        <v>207</v>
      </c>
      <c r="H15" s="131" t="str">
        <f t="shared" si="0"/>
        <v>Demand Charge</v>
      </c>
      <c r="I15" s="130" t="s">
        <v>132</v>
      </c>
      <c r="J15" s="130" t="s">
        <v>133</v>
      </c>
      <c r="K15" s="130" t="s">
        <v>133</v>
      </c>
      <c r="L15" s="130" t="s">
        <v>132</v>
      </c>
      <c r="M15" s="130" t="s">
        <v>133</v>
      </c>
      <c r="N15" s="130" t="s">
        <v>195</v>
      </c>
      <c r="O15" s="130" t="s">
        <v>25</v>
      </c>
      <c r="P15" s="130" t="s">
        <v>133</v>
      </c>
      <c r="Q15" s="130" t="s">
        <v>133</v>
      </c>
      <c r="R15" s="130" t="s">
        <v>132</v>
      </c>
      <c r="S15" s="131" t="str">
        <f t="shared" si="1"/>
        <v>VVDC4</v>
      </c>
      <c r="T15" s="130" t="s">
        <v>132</v>
      </c>
      <c r="U15" s="130" t="s">
        <v>132</v>
      </c>
      <c r="V15" s="130" t="s">
        <v>132</v>
      </c>
      <c r="W15" s="130" t="s">
        <v>132</v>
      </c>
      <c r="Y15" t="s">
        <v>145</v>
      </c>
      <c r="Z15" t="s">
        <v>186</v>
      </c>
      <c r="AB15" t="s">
        <v>175</v>
      </c>
      <c r="AC15" t="s">
        <v>208</v>
      </c>
    </row>
    <row r="16" spans="1:29" hidden="1" x14ac:dyDescent="0.2">
      <c r="A16" s="130" t="s">
        <v>125</v>
      </c>
      <c r="B16" s="130" t="s">
        <v>126</v>
      </c>
      <c r="C16" s="130" t="s">
        <v>127</v>
      </c>
      <c r="D16" s="131" t="s">
        <v>128</v>
      </c>
      <c r="E16" s="130" t="s">
        <v>209</v>
      </c>
      <c r="F16" s="130" t="s">
        <v>130</v>
      </c>
      <c r="G16" s="130" t="s">
        <v>210</v>
      </c>
      <c r="H16" s="131" t="str">
        <f t="shared" si="0"/>
        <v>GSM: Pool / WH price</v>
      </c>
      <c r="I16" s="130" t="s">
        <v>132</v>
      </c>
      <c r="J16" s="130" t="s">
        <v>133</v>
      </c>
      <c r="K16" s="130" t="s">
        <v>133</v>
      </c>
      <c r="L16" s="130" t="s">
        <v>132</v>
      </c>
      <c r="M16" s="130" t="s">
        <v>133</v>
      </c>
      <c r="N16" s="130" t="s">
        <v>132</v>
      </c>
      <c r="O16" s="130" t="s">
        <v>25</v>
      </c>
      <c r="P16" s="130" t="s">
        <v>133</v>
      </c>
      <c r="Q16" s="130" t="s">
        <v>133</v>
      </c>
      <c r="R16" s="130" t="s">
        <v>132</v>
      </c>
      <c r="S16" s="131" t="str">
        <f t="shared" si="1"/>
        <v>VVPLP</v>
      </c>
      <c r="T16" s="130" t="s">
        <v>132</v>
      </c>
      <c r="U16" s="130" t="s">
        <v>132</v>
      </c>
      <c r="V16" s="130" t="s">
        <v>132</v>
      </c>
      <c r="W16" s="130" t="s">
        <v>132</v>
      </c>
      <c r="Y16" t="s">
        <v>151</v>
      </c>
      <c r="Z16" t="s">
        <v>211</v>
      </c>
      <c r="AB16" t="s">
        <v>212</v>
      </c>
      <c r="AC16" t="s">
        <v>213</v>
      </c>
    </row>
    <row r="17" spans="1:29" hidden="1" x14ac:dyDescent="0.2">
      <c r="A17" s="130" t="s">
        <v>125</v>
      </c>
      <c r="B17" s="130" t="s">
        <v>126</v>
      </c>
      <c r="C17" s="130" t="s">
        <v>127</v>
      </c>
      <c r="D17" s="131" t="s">
        <v>128</v>
      </c>
      <c r="E17" s="130" t="s">
        <v>214</v>
      </c>
      <c r="F17" s="130" t="s">
        <v>130</v>
      </c>
      <c r="G17" s="130" t="s">
        <v>215</v>
      </c>
      <c r="H17" s="131" t="str">
        <f t="shared" si="0"/>
        <v>GSM: Pool Price Ref</v>
      </c>
      <c r="I17" s="130" t="s">
        <v>132</v>
      </c>
      <c r="J17" s="130" t="s">
        <v>133</v>
      </c>
      <c r="K17" s="130" t="s">
        <v>133</v>
      </c>
      <c r="L17" s="130" t="s">
        <v>132</v>
      </c>
      <c r="M17" s="130" t="s">
        <v>133</v>
      </c>
      <c r="N17" s="130" t="s">
        <v>132</v>
      </c>
      <c r="O17" s="130" t="s">
        <v>25</v>
      </c>
      <c r="P17" s="130" t="s">
        <v>216</v>
      </c>
      <c r="Q17" s="130" t="s">
        <v>133</v>
      </c>
      <c r="R17" s="130" t="s">
        <v>132</v>
      </c>
      <c r="S17" s="131" t="e">
        <f t="shared" si="1"/>
        <v>#N/A</v>
      </c>
      <c r="T17" s="130" t="s">
        <v>132</v>
      </c>
      <c r="U17" s="130" t="s">
        <v>132</v>
      </c>
      <c r="V17" s="130" t="s">
        <v>132</v>
      </c>
      <c r="W17" s="130" t="s">
        <v>132</v>
      </c>
      <c r="Y17" t="s">
        <v>194</v>
      </c>
      <c r="Z17" t="s">
        <v>200</v>
      </c>
      <c r="AB17" t="s">
        <v>180</v>
      </c>
      <c r="AC17" t="s">
        <v>217</v>
      </c>
    </row>
    <row r="18" spans="1:29" hidden="1" x14ac:dyDescent="0.2">
      <c r="A18" s="130" t="s">
        <v>125</v>
      </c>
      <c r="B18" s="130" t="s">
        <v>126</v>
      </c>
      <c r="C18" s="130" t="s">
        <v>127</v>
      </c>
      <c r="D18" s="131" t="s">
        <v>128</v>
      </c>
      <c r="E18" s="130" t="s">
        <v>218</v>
      </c>
      <c r="F18" s="130" t="s">
        <v>130</v>
      </c>
      <c r="G18" s="130" t="s">
        <v>219</v>
      </c>
      <c r="H18" s="131" t="str">
        <f t="shared" si="0"/>
        <v>GSM: Margin Normal</v>
      </c>
      <c r="I18" s="130" t="s">
        <v>132</v>
      </c>
      <c r="J18" s="130" t="s">
        <v>214</v>
      </c>
      <c r="K18" s="130" t="s">
        <v>133</v>
      </c>
      <c r="L18" s="130" t="s">
        <v>132</v>
      </c>
      <c r="M18" s="130" t="s">
        <v>133</v>
      </c>
      <c r="N18" s="130" t="s">
        <v>132</v>
      </c>
      <c r="O18" s="130" t="s">
        <v>25</v>
      </c>
      <c r="P18" s="130" t="s">
        <v>133</v>
      </c>
      <c r="Q18" s="130" t="s">
        <v>133</v>
      </c>
      <c r="R18" s="130" t="s">
        <v>132</v>
      </c>
      <c r="S18" s="131" t="e">
        <f t="shared" si="1"/>
        <v>#N/A</v>
      </c>
      <c r="T18" s="130" t="s">
        <v>132</v>
      </c>
      <c r="U18" s="130" t="s">
        <v>132</v>
      </c>
      <c r="V18" s="130" t="s">
        <v>132</v>
      </c>
      <c r="W18" s="130" t="s">
        <v>132</v>
      </c>
      <c r="Y18" t="s">
        <v>199</v>
      </c>
      <c r="Z18" t="s">
        <v>204</v>
      </c>
      <c r="AB18" t="s">
        <v>185</v>
      </c>
      <c r="AC18" t="s">
        <v>220</v>
      </c>
    </row>
    <row r="19" spans="1:29" hidden="1" x14ac:dyDescent="0.2">
      <c r="A19" s="130" t="s">
        <v>125</v>
      </c>
      <c r="B19" s="130" t="s">
        <v>126</v>
      </c>
      <c r="C19" s="130" t="s">
        <v>127</v>
      </c>
      <c r="D19" s="131" t="s">
        <v>128</v>
      </c>
      <c r="E19" s="130" t="s">
        <v>221</v>
      </c>
      <c r="F19" s="130" t="s">
        <v>130</v>
      </c>
      <c r="G19" s="130" t="s">
        <v>164</v>
      </c>
      <c r="H19" s="131" t="str">
        <f t="shared" si="0"/>
        <v>GSM:A1.1 Oper. Cost</v>
      </c>
      <c r="I19" s="130" t="s">
        <v>132</v>
      </c>
      <c r="J19" s="130" t="s">
        <v>133</v>
      </c>
      <c r="K19" s="130" t="s">
        <v>133</v>
      </c>
      <c r="L19" s="130" t="s">
        <v>132</v>
      </c>
      <c r="M19" s="130" t="s">
        <v>133</v>
      </c>
      <c r="N19" s="130" t="s">
        <v>132</v>
      </c>
      <c r="O19" s="130" t="s">
        <v>25</v>
      </c>
      <c r="P19" s="130" t="s">
        <v>133</v>
      </c>
      <c r="Q19" s="130" t="s">
        <v>133</v>
      </c>
      <c r="R19" s="130" t="s">
        <v>132</v>
      </c>
      <c r="S19" s="131" t="e">
        <f t="shared" si="1"/>
        <v>#N/A</v>
      </c>
      <c r="T19" s="130" t="s">
        <v>132</v>
      </c>
      <c r="U19" s="130" t="s">
        <v>132</v>
      </c>
      <c r="V19" s="130" t="s">
        <v>132</v>
      </c>
      <c r="W19" s="130" t="s">
        <v>132</v>
      </c>
      <c r="Y19" t="s">
        <v>203</v>
      </c>
      <c r="Z19" t="s">
        <v>186</v>
      </c>
      <c r="AB19" t="s">
        <v>178</v>
      </c>
      <c r="AC19" t="s">
        <v>222</v>
      </c>
    </row>
    <row r="20" spans="1:29" hidden="1" x14ac:dyDescent="0.2">
      <c r="A20" s="130" t="s">
        <v>125</v>
      </c>
      <c r="B20" s="130" t="s">
        <v>126</v>
      </c>
      <c r="C20" s="130" t="s">
        <v>127</v>
      </c>
      <c r="D20" s="131" t="s">
        <v>128</v>
      </c>
      <c r="E20" s="130" t="s">
        <v>223</v>
      </c>
      <c r="F20" s="130" t="s">
        <v>130</v>
      </c>
      <c r="G20" s="130" t="s">
        <v>154</v>
      </c>
      <c r="H20" s="131" t="str">
        <f t="shared" si="0"/>
        <v>GSM:A1.2 Fin. Cost</v>
      </c>
      <c r="I20" s="130" t="s">
        <v>132</v>
      </c>
      <c r="J20" s="130" t="s">
        <v>133</v>
      </c>
      <c r="K20" s="130" t="s">
        <v>133</v>
      </c>
      <c r="L20" s="130" t="s">
        <v>132</v>
      </c>
      <c r="M20" s="130" t="s">
        <v>133</v>
      </c>
      <c r="N20" s="130" t="s">
        <v>132</v>
      </c>
      <c r="O20" s="130" t="s">
        <v>25</v>
      </c>
      <c r="P20" s="130" t="s">
        <v>133</v>
      </c>
      <c r="Q20" s="130" t="s">
        <v>133</v>
      </c>
      <c r="R20" s="130" t="s">
        <v>132</v>
      </c>
      <c r="S20" s="131" t="e">
        <f t="shared" si="1"/>
        <v>#N/A</v>
      </c>
      <c r="T20" s="130" t="s">
        <v>132</v>
      </c>
      <c r="U20" s="130" t="s">
        <v>132</v>
      </c>
      <c r="V20" s="130" t="s">
        <v>132</v>
      </c>
      <c r="W20" s="130" t="s">
        <v>132</v>
      </c>
      <c r="Y20" t="s">
        <v>207</v>
      </c>
      <c r="Z20" t="s">
        <v>211</v>
      </c>
      <c r="AB20" t="s">
        <v>196</v>
      </c>
      <c r="AC20" t="s">
        <v>224</v>
      </c>
    </row>
    <row r="21" spans="1:29" hidden="1" x14ac:dyDescent="0.2">
      <c r="A21" s="130" t="s">
        <v>125</v>
      </c>
      <c r="B21" s="130" t="s">
        <v>126</v>
      </c>
      <c r="C21" s="130" t="s">
        <v>127</v>
      </c>
      <c r="D21" s="131" t="s">
        <v>128</v>
      </c>
      <c r="E21" s="130" t="s">
        <v>225</v>
      </c>
      <c r="F21" s="130" t="s">
        <v>130</v>
      </c>
      <c r="G21" s="130" t="s">
        <v>170</v>
      </c>
      <c r="H21" s="131" t="str">
        <f t="shared" si="0"/>
        <v>GSM:A1.3 Return</v>
      </c>
      <c r="I21" s="130" t="s">
        <v>132</v>
      </c>
      <c r="J21" s="130" t="s">
        <v>133</v>
      </c>
      <c r="K21" s="130" t="s">
        <v>133</v>
      </c>
      <c r="L21" s="130" t="s">
        <v>132</v>
      </c>
      <c r="M21" s="130" t="s">
        <v>133</v>
      </c>
      <c r="N21" s="130" t="s">
        <v>132</v>
      </c>
      <c r="O21" s="130" t="s">
        <v>25</v>
      </c>
      <c r="P21" s="130" t="s">
        <v>133</v>
      </c>
      <c r="Q21" s="130" t="s">
        <v>133</v>
      </c>
      <c r="R21" s="130" t="s">
        <v>132</v>
      </c>
      <c r="S21" s="131" t="e">
        <f t="shared" si="1"/>
        <v>#N/A</v>
      </c>
      <c r="T21" s="130" t="s">
        <v>132</v>
      </c>
      <c r="U21" s="130" t="s">
        <v>132</v>
      </c>
      <c r="V21" s="130" t="s">
        <v>132</v>
      </c>
      <c r="W21" s="130" t="s">
        <v>132</v>
      </c>
      <c r="Y21" t="s">
        <v>226</v>
      </c>
      <c r="Z21" t="s">
        <v>227</v>
      </c>
      <c r="AB21" t="s">
        <v>131</v>
      </c>
      <c r="AC21" t="s">
        <v>228</v>
      </c>
    </row>
    <row r="22" spans="1:29" hidden="1" x14ac:dyDescent="0.2">
      <c r="A22" s="130" t="s">
        <v>125</v>
      </c>
      <c r="B22" s="130" t="s">
        <v>126</v>
      </c>
      <c r="C22" s="130" t="s">
        <v>127</v>
      </c>
      <c r="D22" s="131" t="s">
        <v>128</v>
      </c>
      <c r="E22" s="130" t="s">
        <v>229</v>
      </c>
      <c r="F22" s="130" t="s">
        <v>130</v>
      </c>
      <c r="G22" s="130" t="s">
        <v>148</v>
      </c>
      <c r="H22" s="131" t="str">
        <f t="shared" si="0"/>
        <v>GSM:A2 Ad hoc Cost</v>
      </c>
      <c r="I22" s="130" t="s">
        <v>132</v>
      </c>
      <c r="J22" s="130" t="s">
        <v>133</v>
      </c>
      <c r="K22" s="130" t="s">
        <v>133</v>
      </c>
      <c r="L22" s="130" t="s">
        <v>132</v>
      </c>
      <c r="M22" s="130" t="s">
        <v>133</v>
      </c>
      <c r="N22" s="130" t="s">
        <v>132</v>
      </c>
      <c r="O22" s="130" t="s">
        <v>25</v>
      </c>
      <c r="P22" s="130" t="s">
        <v>133</v>
      </c>
      <c r="Q22" s="130" t="s">
        <v>133</v>
      </c>
      <c r="R22" s="130" t="s">
        <v>132</v>
      </c>
      <c r="S22" s="131" t="e">
        <f t="shared" si="1"/>
        <v>#N/A</v>
      </c>
      <c r="T22" s="130" t="s">
        <v>132</v>
      </c>
      <c r="U22" s="130" t="s">
        <v>132</v>
      </c>
      <c r="V22" s="130" t="s">
        <v>132</v>
      </c>
      <c r="W22" s="130" t="s">
        <v>132</v>
      </c>
      <c r="Y22" t="s">
        <v>230</v>
      </c>
      <c r="Z22" t="s">
        <v>147</v>
      </c>
      <c r="AB22" t="s">
        <v>140</v>
      </c>
      <c r="AC22" t="s">
        <v>231</v>
      </c>
    </row>
    <row r="23" spans="1:29" hidden="1" x14ac:dyDescent="0.2">
      <c r="A23" s="130" t="s">
        <v>125</v>
      </c>
      <c r="B23" s="130" t="s">
        <v>126</v>
      </c>
      <c r="C23" s="130" t="s">
        <v>127</v>
      </c>
      <c r="D23" s="131" t="s">
        <v>128</v>
      </c>
      <c r="E23" s="130" t="s">
        <v>232</v>
      </c>
      <c r="F23" s="130" t="s">
        <v>130</v>
      </c>
      <c r="G23" s="130" t="s">
        <v>233</v>
      </c>
      <c r="H23" s="131" t="str">
        <f t="shared" si="0"/>
        <v>GSM:S1 Cost+Return</v>
      </c>
      <c r="I23" s="130" t="s">
        <v>132</v>
      </c>
      <c r="J23" s="130" t="s">
        <v>133</v>
      </c>
      <c r="K23" s="130" t="s">
        <v>133</v>
      </c>
      <c r="L23" s="130" t="s">
        <v>132</v>
      </c>
      <c r="M23" s="130" t="s">
        <v>133</v>
      </c>
      <c r="N23" s="130" t="s">
        <v>132</v>
      </c>
      <c r="O23" s="130" t="s">
        <v>25</v>
      </c>
      <c r="P23" s="130" t="s">
        <v>234</v>
      </c>
      <c r="Q23" s="130" t="s">
        <v>133</v>
      </c>
      <c r="R23" s="130" t="s">
        <v>132</v>
      </c>
      <c r="S23" s="131" t="e">
        <f t="shared" si="1"/>
        <v>#N/A</v>
      </c>
      <c r="T23" s="130" t="s">
        <v>132</v>
      </c>
      <c r="U23" s="130" t="s">
        <v>132</v>
      </c>
      <c r="V23" s="130" t="s">
        <v>132</v>
      </c>
      <c r="W23" s="130" t="s">
        <v>132</v>
      </c>
      <c r="Y23" t="s">
        <v>235</v>
      </c>
      <c r="Z23" t="s">
        <v>147</v>
      </c>
      <c r="AB23" t="s">
        <v>145</v>
      </c>
      <c r="AC23" t="s">
        <v>236</v>
      </c>
    </row>
    <row r="24" spans="1:29" hidden="1" x14ac:dyDescent="0.2">
      <c r="A24" s="130" t="s">
        <v>125</v>
      </c>
      <c r="B24" s="130" t="s">
        <v>126</v>
      </c>
      <c r="C24" s="130" t="s">
        <v>127</v>
      </c>
      <c r="D24" s="131" t="s">
        <v>128</v>
      </c>
      <c r="E24" s="130" t="s">
        <v>237</v>
      </c>
      <c r="F24" s="130" t="s">
        <v>130</v>
      </c>
      <c r="G24" s="130" t="s">
        <v>238</v>
      </c>
      <c r="H24" s="131" t="str">
        <f t="shared" si="0"/>
        <v>GSM:S2 Risk Factor</v>
      </c>
      <c r="I24" s="130" t="s">
        <v>132</v>
      </c>
      <c r="J24" s="130" t="s">
        <v>133</v>
      </c>
      <c r="K24" s="130" t="s">
        <v>133</v>
      </c>
      <c r="L24" s="130" t="s">
        <v>132</v>
      </c>
      <c r="M24" s="130" t="s">
        <v>133</v>
      </c>
      <c r="N24" s="130" t="s">
        <v>132</v>
      </c>
      <c r="O24" s="130" t="s">
        <v>25</v>
      </c>
      <c r="P24" s="130" t="s">
        <v>133</v>
      </c>
      <c r="Q24" s="130" t="s">
        <v>133</v>
      </c>
      <c r="R24" s="130" t="s">
        <v>132</v>
      </c>
      <c r="S24" s="131" t="e">
        <f t="shared" si="1"/>
        <v>#N/A</v>
      </c>
      <c r="T24" s="130" t="s">
        <v>132</v>
      </c>
      <c r="U24" s="130" t="s">
        <v>132</v>
      </c>
      <c r="V24" s="130" t="s">
        <v>132</v>
      </c>
      <c r="W24" s="130" t="s">
        <v>132</v>
      </c>
      <c r="Y24" t="s">
        <v>239</v>
      </c>
      <c r="Z24" t="s">
        <v>147</v>
      </c>
      <c r="AB24" t="s">
        <v>151</v>
      </c>
      <c r="AC24" t="s">
        <v>240</v>
      </c>
    </row>
    <row r="25" spans="1:29" hidden="1" x14ac:dyDescent="0.2">
      <c r="A25" s="130" t="s">
        <v>125</v>
      </c>
      <c r="B25" s="130" t="s">
        <v>126</v>
      </c>
      <c r="C25" s="130" t="s">
        <v>127</v>
      </c>
      <c r="D25" s="131" t="s">
        <v>128</v>
      </c>
      <c r="E25" s="130" t="s">
        <v>241</v>
      </c>
      <c r="F25" s="130" t="s">
        <v>130</v>
      </c>
      <c r="G25" s="130" t="s">
        <v>242</v>
      </c>
      <c r="H25" s="131" t="str">
        <f t="shared" si="0"/>
        <v>GSM WH/P Pr+Mrgn 1</v>
      </c>
      <c r="I25" s="130" t="s">
        <v>132</v>
      </c>
      <c r="J25" s="130" t="s">
        <v>133</v>
      </c>
      <c r="K25" s="130" t="s">
        <v>133</v>
      </c>
      <c r="L25" s="130" t="s">
        <v>132</v>
      </c>
      <c r="M25" s="130" t="s">
        <v>133</v>
      </c>
      <c r="N25" s="130" t="s">
        <v>132</v>
      </c>
      <c r="O25" s="130" t="s">
        <v>25</v>
      </c>
      <c r="P25" s="130" t="s">
        <v>243</v>
      </c>
      <c r="Q25" s="130" t="s">
        <v>133</v>
      </c>
      <c r="R25" s="130" t="s">
        <v>132</v>
      </c>
      <c r="S25" s="131" t="e">
        <f t="shared" si="1"/>
        <v>#N/A</v>
      </c>
      <c r="T25" s="130" t="s">
        <v>132</v>
      </c>
      <c r="U25" s="130" t="s">
        <v>132</v>
      </c>
      <c r="V25" s="130" t="s">
        <v>132</v>
      </c>
      <c r="W25" s="130" t="s">
        <v>132</v>
      </c>
      <c r="Y25" t="s">
        <v>244</v>
      </c>
      <c r="Z25" t="s">
        <v>147</v>
      </c>
      <c r="AB25" t="s">
        <v>184</v>
      </c>
      <c r="AC25" t="s">
        <v>245</v>
      </c>
    </row>
    <row r="26" spans="1:29" hidden="1" x14ac:dyDescent="0.2">
      <c r="A26" s="130" t="s">
        <v>125</v>
      </c>
      <c r="B26" s="130" t="s">
        <v>126</v>
      </c>
      <c r="C26" s="130" t="s">
        <v>127</v>
      </c>
      <c r="D26" s="131" t="s">
        <v>128</v>
      </c>
      <c r="E26" s="130" t="s">
        <v>246</v>
      </c>
      <c r="F26" s="130" t="s">
        <v>130</v>
      </c>
      <c r="G26" s="130" t="s">
        <v>152</v>
      </c>
      <c r="H26" s="131" t="str">
        <f t="shared" si="0"/>
        <v>GSM: Customs Charge</v>
      </c>
      <c r="I26" s="130" t="s">
        <v>132</v>
      </c>
      <c r="J26" s="130" t="s">
        <v>133</v>
      </c>
      <c r="K26" s="130" t="s">
        <v>133</v>
      </c>
      <c r="L26" s="130" t="s">
        <v>132</v>
      </c>
      <c r="M26" s="130" t="s">
        <v>133</v>
      </c>
      <c r="N26" s="130" t="s">
        <v>132</v>
      </c>
      <c r="O26" s="130" t="s">
        <v>25</v>
      </c>
      <c r="P26" s="130" t="s">
        <v>133</v>
      </c>
      <c r="Q26" s="130" t="s">
        <v>247</v>
      </c>
      <c r="R26" s="130" t="s">
        <v>132</v>
      </c>
      <c r="S26" s="131" t="str">
        <f t="shared" si="1"/>
        <v>VVCST</v>
      </c>
      <c r="T26" s="130" t="s">
        <v>132</v>
      </c>
      <c r="U26" s="130" t="s">
        <v>132</v>
      </c>
      <c r="V26" s="130" t="s">
        <v>132</v>
      </c>
      <c r="W26" s="130" t="s">
        <v>132</v>
      </c>
      <c r="Y26" t="s">
        <v>248</v>
      </c>
      <c r="Z26" t="s">
        <v>249</v>
      </c>
      <c r="AB26" t="s">
        <v>194</v>
      </c>
      <c r="AC26" t="s">
        <v>250</v>
      </c>
    </row>
    <row r="27" spans="1:29" hidden="1" x14ac:dyDescent="0.2">
      <c r="A27" s="130" t="s">
        <v>125</v>
      </c>
      <c r="B27" s="130" t="s">
        <v>126</v>
      </c>
      <c r="C27" s="130" t="s">
        <v>127</v>
      </c>
      <c r="D27" s="131" t="s">
        <v>128</v>
      </c>
      <c r="E27" s="130" t="s">
        <v>251</v>
      </c>
      <c r="F27" s="130" t="s">
        <v>130</v>
      </c>
      <c r="G27" s="130" t="s">
        <v>252</v>
      </c>
      <c r="H27" s="131" t="str">
        <f t="shared" si="0"/>
        <v>P/WH Price+Mar+Cst</v>
      </c>
      <c r="I27" s="130" t="s">
        <v>132</v>
      </c>
      <c r="J27" s="130" t="s">
        <v>133</v>
      </c>
      <c r="K27" s="130" t="s">
        <v>133</v>
      </c>
      <c r="L27" s="130" t="s">
        <v>132</v>
      </c>
      <c r="M27" s="130" t="s">
        <v>158</v>
      </c>
      <c r="N27" s="130" t="s">
        <v>168</v>
      </c>
      <c r="O27" s="130" t="s">
        <v>132</v>
      </c>
      <c r="P27" s="130" t="s">
        <v>253</v>
      </c>
      <c r="Q27" s="130" t="s">
        <v>133</v>
      </c>
      <c r="R27" s="130" t="s">
        <v>161</v>
      </c>
      <c r="S27" s="131" t="str">
        <f t="shared" si="1"/>
        <v>ERLOS</v>
      </c>
      <c r="T27" s="130" t="s">
        <v>132</v>
      </c>
      <c r="U27" s="130" t="s">
        <v>132</v>
      </c>
      <c r="V27" s="130" t="s">
        <v>132</v>
      </c>
      <c r="W27" s="130" t="s">
        <v>132</v>
      </c>
      <c r="Y27" t="s">
        <v>254</v>
      </c>
      <c r="Z27" t="s">
        <v>142</v>
      </c>
      <c r="AB27" t="s">
        <v>199</v>
      </c>
      <c r="AC27" t="s">
        <v>255</v>
      </c>
    </row>
    <row r="28" spans="1:29" hidden="1" x14ac:dyDescent="0.2">
      <c r="A28" s="130" t="s">
        <v>125</v>
      </c>
      <c r="B28" s="130" t="s">
        <v>126</v>
      </c>
      <c r="C28" s="130" t="s">
        <v>127</v>
      </c>
      <c r="D28" s="131" t="s">
        <v>128</v>
      </c>
      <c r="E28" s="130" t="s">
        <v>256</v>
      </c>
      <c r="F28" s="130" t="s">
        <v>130</v>
      </c>
      <c r="G28" s="130" t="s">
        <v>257</v>
      </c>
      <c r="H28" s="131" t="str">
        <f t="shared" si="0"/>
        <v>GSM: NG Price</v>
      </c>
      <c r="I28" s="130" t="s">
        <v>132</v>
      </c>
      <c r="J28" s="130" t="s">
        <v>133</v>
      </c>
      <c r="K28" s="130" t="s">
        <v>133</v>
      </c>
      <c r="L28" s="130" t="s">
        <v>132</v>
      </c>
      <c r="M28" s="130" t="s">
        <v>158</v>
      </c>
      <c r="N28" s="130" t="s">
        <v>159</v>
      </c>
      <c r="O28" s="130" t="s">
        <v>25</v>
      </c>
      <c r="P28" s="130" t="s">
        <v>258</v>
      </c>
      <c r="Q28" s="130" t="s">
        <v>133</v>
      </c>
      <c r="R28" s="130" t="s">
        <v>132</v>
      </c>
      <c r="S28" s="131" t="e">
        <f t="shared" si="1"/>
        <v>#N/A</v>
      </c>
      <c r="T28" s="130" t="s">
        <v>132</v>
      </c>
      <c r="U28" s="130" t="s">
        <v>25</v>
      </c>
      <c r="V28" s="130" t="s">
        <v>132</v>
      </c>
      <c r="W28" s="130" t="s">
        <v>132</v>
      </c>
      <c r="Y28" t="s">
        <v>259</v>
      </c>
      <c r="Z28" t="s">
        <v>227</v>
      </c>
      <c r="AB28" t="s">
        <v>203</v>
      </c>
      <c r="AC28" t="s">
        <v>260</v>
      </c>
    </row>
    <row r="29" spans="1:29" hidden="1" x14ac:dyDescent="0.2">
      <c r="A29" s="130" t="s">
        <v>125</v>
      </c>
      <c r="B29" s="130" t="s">
        <v>126</v>
      </c>
      <c r="C29" s="130" t="s">
        <v>127</v>
      </c>
      <c r="D29" s="131" t="s">
        <v>128</v>
      </c>
      <c r="E29" s="130" t="s">
        <v>261</v>
      </c>
      <c r="F29" s="130" t="s">
        <v>130</v>
      </c>
      <c r="G29" s="130" t="s">
        <v>132</v>
      </c>
      <c r="H29" s="131" t="e">
        <f t="shared" si="0"/>
        <v>#N/A</v>
      </c>
      <c r="I29" s="130" t="s">
        <v>262</v>
      </c>
      <c r="J29" s="130" t="s">
        <v>256</v>
      </c>
      <c r="K29" s="130" t="s">
        <v>256</v>
      </c>
      <c r="L29" s="130" t="s">
        <v>132</v>
      </c>
      <c r="M29" s="130" t="s">
        <v>133</v>
      </c>
      <c r="N29" s="130" t="s">
        <v>174</v>
      </c>
      <c r="O29" s="130" t="s">
        <v>132</v>
      </c>
      <c r="P29" s="130" t="s">
        <v>133</v>
      </c>
      <c r="Q29" s="130" t="s">
        <v>133</v>
      </c>
      <c r="R29" s="130" t="s">
        <v>132</v>
      </c>
      <c r="S29" s="131" t="e">
        <f t="shared" si="1"/>
        <v>#N/A</v>
      </c>
      <c r="T29" s="130" t="s">
        <v>132</v>
      </c>
      <c r="U29" s="130" t="s">
        <v>25</v>
      </c>
      <c r="V29" s="130" t="s">
        <v>132</v>
      </c>
      <c r="W29" s="130" t="s">
        <v>132</v>
      </c>
      <c r="Y29" t="s">
        <v>263</v>
      </c>
      <c r="Z29" t="s">
        <v>249</v>
      </c>
      <c r="AB29" t="s">
        <v>207</v>
      </c>
      <c r="AC29" t="s">
        <v>264</v>
      </c>
    </row>
    <row r="30" spans="1:29" hidden="1" x14ac:dyDescent="0.2">
      <c r="A30" s="130" t="s">
        <v>125</v>
      </c>
      <c r="B30" s="130" t="s">
        <v>126</v>
      </c>
      <c r="C30" s="130" t="s">
        <v>127</v>
      </c>
      <c r="D30" s="131" t="s">
        <v>128</v>
      </c>
      <c r="E30" s="130" t="s">
        <v>265</v>
      </c>
      <c r="F30" s="130" t="s">
        <v>130</v>
      </c>
      <c r="G30" s="130" t="s">
        <v>196</v>
      </c>
      <c r="H30" s="131" t="str">
        <f t="shared" si="0"/>
        <v>GSM:DIFF ZST1 - ZST6</v>
      </c>
      <c r="I30" s="130" t="s">
        <v>132</v>
      </c>
      <c r="J30" s="130" t="s">
        <v>133</v>
      </c>
      <c r="K30" s="130" t="s">
        <v>133</v>
      </c>
      <c r="L30" s="130" t="s">
        <v>132</v>
      </c>
      <c r="M30" s="130" t="s">
        <v>158</v>
      </c>
      <c r="N30" s="130" t="s">
        <v>132</v>
      </c>
      <c r="O30" s="130" t="s">
        <v>132</v>
      </c>
      <c r="P30" s="130" t="s">
        <v>179</v>
      </c>
      <c r="Q30" s="130" t="s">
        <v>133</v>
      </c>
      <c r="R30" s="130" t="s">
        <v>161</v>
      </c>
      <c r="S30" s="131" t="str">
        <f t="shared" si="1"/>
        <v>ERLOS</v>
      </c>
      <c r="T30" s="130" t="s">
        <v>132</v>
      </c>
      <c r="U30" s="130" t="s">
        <v>132</v>
      </c>
      <c r="V30" s="130" t="s">
        <v>132</v>
      </c>
      <c r="W30" s="130" t="s">
        <v>132</v>
      </c>
      <c r="Y30" t="s">
        <v>266</v>
      </c>
      <c r="Z30" t="s">
        <v>267</v>
      </c>
      <c r="AB30" t="s">
        <v>226</v>
      </c>
      <c r="AC30" t="s">
        <v>268</v>
      </c>
    </row>
    <row r="31" spans="1:29" hidden="1" x14ac:dyDescent="0.2">
      <c r="A31" s="130" t="s">
        <v>125</v>
      </c>
      <c r="B31" s="130" t="s">
        <v>126</v>
      </c>
      <c r="C31" s="130" t="s">
        <v>127</v>
      </c>
      <c r="D31" s="131" t="s">
        <v>128</v>
      </c>
      <c r="E31" s="130" t="s">
        <v>269</v>
      </c>
      <c r="F31" s="130" t="s">
        <v>130</v>
      </c>
      <c r="G31" s="130" t="s">
        <v>270</v>
      </c>
      <c r="H31" s="131" t="str">
        <f t="shared" si="0"/>
        <v>Demand Charge</v>
      </c>
      <c r="I31" s="130" t="s">
        <v>132</v>
      </c>
      <c r="J31" s="130" t="s">
        <v>133</v>
      </c>
      <c r="K31" s="130" t="s">
        <v>133</v>
      </c>
      <c r="L31" s="130" t="s">
        <v>132</v>
      </c>
      <c r="M31" s="130" t="s">
        <v>158</v>
      </c>
      <c r="N31" s="130" t="s">
        <v>271</v>
      </c>
      <c r="O31" s="130" t="s">
        <v>132</v>
      </c>
      <c r="P31" s="130" t="s">
        <v>272</v>
      </c>
      <c r="Q31" s="130" t="s">
        <v>133</v>
      </c>
      <c r="R31" s="130" t="s">
        <v>161</v>
      </c>
      <c r="S31" s="131" t="str">
        <f t="shared" si="1"/>
        <v>VVTDC</v>
      </c>
      <c r="T31" s="130" t="s">
        <v>132</v>
      </c>
      <c r="U31" s="130" t="s">
        <v>25</v>
      </c>
      <c r="V31" s="130" t="s">
        <v>132</v>
      </c>
      <c r="W31" s="130" t="s">
        <v>132</v>
      </c>
      <c r="Y31" t="s">
        <v>273</v>
      </c>
      <c r="Z31" t="s">
        <v>147</v>
      </c>
      <c r="AB31" t="s">
        <v>274</v>
      </c>
      <c r="AC31" t="s">
        <v>275</v>
      </c>
    </row>
    <row r="32" spans="1:29" hidden="1" x14ac:dyDescent="0.2">
      <c r="A32" s="130" t="s">
        <v>125</v>
      </c>
      <c r="B32" s="130" t="s">
        <v>126</v>
      </c>
      <c r="C32" s="130" t="s">
        <v>127</v>
      </c>
      <c r="D32" s="131" t="s">
        <v>128</v>
      </c>
      <c r="E32" s="130" t="s">
        <v>276</v>
      </c>
      <c r="F32" s="130" t="s">
        <v>130</v>
      </c>
      <c r="G32" s="130" t="s">
        <v>132</v>
      </c>
      <c r="H32" s="131" t="e">
        <f t="shared" si="0"/>
        <v>#N/A</v>
      </c>
      <c r="I32" s="130" t="s">
        <v>277</v>
      </c>
      <c r="J32" s="130" t="s">
        <v>269</v>
      </c>
      <c r="K32" s="130" t="s">
        <v>269</v>
      </c>
      <c r="L32" s="130" t="s">
        <v>132</v>
      </c>
      <c r="M32" s="130" t="s">
        <v>133</v>
      </c>
      <c r="N32" s="130" t="s">
        <v>278</v>
      </c>
      <c r="O32" s="130" t="s">
        <v>132</v>
      </c>
      <c r="P32" s="130" t="s">
        <v>133</v>
      </c>
      <c r="Q32" s="130" t="s">
        <v>133</v>
      </c>
      <c r="R32" s="130" t="s">
        <v>132</v>
      </c>
      <c r="S32" s="131" t="e">
        <f t="shared" si="1"/>
        <v>#N/A</v>
      </c>
      <c r="T32" s="130" t="s">
        <v>132</v>
      </c>
      <c r="U32" s="130" t="s">
        <v>25</v>
      </c>
      <c r="V32" s="130" t="s">
        <v>132</v>
      </c>
      <c r="W32" s="130" t="s">
        <v>132</v>
      </c>
      <c r="Y32" t="s">
        <v>279</v>
      </c>
      <c r="Z32" t="s">
        <v>280</v>
      </c>
      <c r="AB32" t="s">
        <v>230</v>
      </c>
      <c r="AC32" t="s">
        <v>281</v>
      </c>
    </row>
    <row r="33" spans="1:29" hidden="1" x14ac:dyDescent="0.2">
      <c r="A33" s="130" t="s">
        <v>125</v>
      </c>
      <c r="B33" s="130" t="s">
        <v>126</v>
      </c>
      <c r="C33" s="130" t="s">
        <v>127</v>
      </c>
      <c r="D33" s="131" t="s">
        <v>128</v>
      </c>
      <c r="E33" s="130" t="s">
        <v>282</v>
      </c>
      <c r="F33" s="130" t="s">
        <v>130</v>
      </c>
      <c r="G33" s="130" t="s">
        <v>226</v>
      </c>
      <c r="H33" s="131" t="str">
        <f t="shared" si="0"/>
        <v>Demand Charge-NMP</v>
      </c>
      <c r="I33" s="130" t="s">
        <v>132</v>
      </c>
      <c r="J33" s="130" t="s">
        <v>133</v>
      </c>
      <c r="K33" s="130" t="s">
        <v>133</v>
      </c>
      <c r="L33" s="130" t="s">
        <v>132</v>
      </c>
      <c r="M33" s="130" t="s">
        <v>158</v>
      </c>
      <c r="N33" s="130" t="s">
        <v>271</v>
      </c>
      <c r="O33" s="130" t="s">
        <v>132</v>
      </c>
      <c r="P33" s="130" t="s">
        <v>133</v>
      </c>
      <c r="Q33" s="130" t="s">
        <v>133</v>
      </c>
      <c r="R33" s="130" t="s">
        <v>161</v>
      </c>
      <c r="S33" s="131" t="str">
        <f t="shared" si="1"/>
        <v>VVDCN</v>
      </c>
      <c r="T33" s="130" t="s">
        <v>132</v>
      </c>
      <c r="U33" s="130" t="s">
        <v>25</v>
      </c>
      <c r="V33" s="130" t="s">
        <v>132</v>
      </c>
      <c r="W33" s="130" t="s">
        <v>132</v>
      </c>
      <c r="Y33" t="s">
        <v>210</v>
      </c>
      <c r="Z33" t="s">
        <v>267</v>
      </c>
      <c r="AB33" t="s">
        <v>235</v>
      </c>
      <c r="AC33" t="s">
        <v>283</v>
      </c>
    </row>
    <row r="34" spans="1:29" hidden="1" x14ac:dyDescent="0.2">
      <c r="A34" s="130" t="s">
        <v>125</v>
      </c>
      <c r="B34" s="130" t="s">
        <v>126</v>
      </c>
      <c r="C34" s="130" t="s">
        <v>127</v>
      </c>
      <c r="D34" s="131" t="s">
        <v>128</v>
      </c>
      <c r="E34" s="130" t="s">
        <v>284</v>
      </c>
      <c r="F34" s="130" t="s">
        <v>130</v>
      </c>
      <c r="G34" s="130" t="s">
        <v>185</v>
      </c>
      <c r="H34" s="131" t="str">
        <f t="shared" si="0"/>
        <v>GSM:DIFF:ZST2 -ZDQ*</v>
      </c>
      <c r="I34" s="130" t="s">
        <v>132</v>
      </c>
      <c r="J34" s="130" t="s">
        <v>133</v>
      </c>
      <c r="K34" s="130" t="s">
        <v>133</v>
      </c>
      <c r="L34" s="130" t="s">
        <v>132</v>
      </c>
      <c r="M34" s="130" t="s">
        <v>158</v>
      </c>
      <c r="N34" s="130" t="s">
        <v>132</v>
      </c>
      <c r="O34" s="130" t="s">
        <v>25</v>
      </c>
      <c r="P34" s="130" t="s">
        <v>285</v>
      </c>
      <c r="Q34" s="130" t="s">
        <v>133</v>
      </c>
      <c r="R34" s="130" t="s">
        <v>132</v>
      </c>
      <c r="S34" s="131" t="str">
        <f t="shared" si="1"/>
        <v>VVDC3</v>
      </c>
      <c r="T34" s="130" t="s">
        <v>132</v>
      </c>
      <c r="U34" s="130" t="s">
        <v>132</v>
      </c>
      <c r="V34" s="130" t="s">
        <v>132</v>
      </c>
      <c r="W34" s="130" t="s">
        <v>132</v>
      </c>
      <c r="Y34" t="s">
        <v>286</v>
      </c>
      <c r="Z34" t="s">
        <v>267</v>
      </c>
      <c r="AB34" t="s">
        <v>239</v>
      </c>
      <c r="AC34" t="s">
        <v>287</v>
      </c>
    </row>
    <row r="35" spans="1:29" hidden="1" x14ac:dyDescent="0.2">
      <c r="A35" s="130" t="s">
        <v>125</v>
      </c>
      <c r="B35" s="130" t="s">
        <v>126</v>
      </c>
      <c r="C35" s="130" t="s">
        <v>127</v>
      </c>
      <c r="D35" s="131" t="s">
        <v>128</v>
      </c>
      <c r="E35" s="130" t="s">
        <v>288</v>
      </c>
      <c r="F35" s="130" t="s">
        <v>130</v>
      </c>
      <c r="G35" s="130" t="s">
        <v>289</v>
      </c>
      <c r="H35" s="131" t="str">
        <f t="shared" si="0"/>
        <v>Commodity Charge</v>
      </c>
      <c r="I35" s="130" t="s">
        <v>132</v>
      </c>
      <c r="J35" s="130" t="s">
        <v>133</v>
      </c>
      <c r="K35" s="130" t="s">
        <v>133</v>
      </c>
      <c r="L35" s="130" t="s">
        <v>132</v>
      </c>
      <c r="M35" s="130" t="s">
        <v>158</v>
      </c>
      <c r="N35" s="130" t="s">
        <v>271</v>
      </c>
      <c r="O35" s="130" t="s">
        <v>132</v>
      </c>
      <c r="P35" s="130" t="s">
        <v>133</v>
      </c>
      <c r="Q35" s="130" t="s">
        <v>133</v>
      </c>
      <c r="R35" s="130" t="s">
        <v>161</v>
      </c>
      <c r="S35" s="131" t="str">
        <f t="shared" si="1"/>
        <v>VVTCC</v>
      </c>
      <c r="T35" s="130" t="s">
        <v>132</v>
      </c>
      <c r="U35" s="130" t="s">
        <v>25</v>
      </c>
      <c r="V35" s="130" t="s">
        <v>132</v>
      </c>
      <c r="W35" s="130" t="s">
        <v>132</v>
      </c>
      <c r="Y35" t="s">
        <v>290</v>
      </c>
      <c r="Z35" t="s">
        <v>147</v>
      </c>
      <c r="AB35" t="s">
        <v>291</v>
      </c>
      <c r="AC35" t="s">
        <v>292</v>
      </c>
    </row>
    <row r="36" spans="1:29" hidden="1" x14ac:dyDescent="0.2">
      <c r="A36" s="130" t="s">
        <v>125</v>
      </c>
      <c r="B36" s="130" t="s">
        <v>126</v>
      </c>
      <c r="C36" s="130" t="s">
        <v>127</v>
      </c>
      <c r="D36" s="131" t="s">
        <v>128</v>
      </c>
      <c r="E36" s="130" t="s">
        <v>293</v>
      </c>
      <c r="F36" s="130" t="s">
        <v>130</v>
      </c>
      <c r="G36" s="130" t="s">
        <v>141</v>
      </c>
      <c r="H36" s="131" t="str">
        <f t="shared" si="0"/>
        <v>Commodity Charge-NM</v>
      </c>
      <c r="I36" s="130" t="s">
        <v>132</v>
      </c>
      <c r="J36" s="130" t="s">
        <v>133</v>
      </c>
      <c r="K36" s="130" t="s">
        <v>133</v>
      </c>
      <c r="L36" s="130" t="s">
        <v>132</v>
      </c>
      <c r="M36" s="130" t="s">
        <v>158</v>
      </c>
      <c r="N36" s="130" t="s">
        <v>271</v>
      </c>
      <c r="O36" s="130" t="s">
        <v>132</v>
      </c>
      <c r="P36" s="130" t="s">
        <v>133</v>
      </c>
      <c r="Q36" s="130" t="s">
        <v>133</v>
      </c>
      <c r="R36" s="130" t="s">
        <v>161</v>
      </c>
      <c r="S36" s="131" t="str">
        <f t="shared" si="1"/>
        <v>VVCCN</v>
      </c>
      <c r="T36" s="130" t="s">
        <v>132</v>
      </c>
      <c r="U36" s="130" t="s">
        <v>25</v>
      </c>
      <c r="V36" s="130" t="s">
        <v>132</v>
      </c>
      <c r="W36" s="130" t="s">
        <v>132</v>
      </c>
      <c r="Y36" t="s">
        <v>294</v>
      </c>
      <c r="Z36" t="s">
        <v>280</v>
      </c>
      <c r="AB36" t="s">
        <v>295</v>
      </c>
      <c r="AC36" t="s">
        <v>296</v>
      </c>
    </row>
    <row r="37" spans="1:29" hidden="1" x14ac:dyDescent="0.2">
      <c r="A37" s="130" t="s">
        <v>125</v>
      </c>
      <c r="B37" s="130" t="s">
        <v>126</v>
      </c>
      <c r="C37" s="130" t="s">
        <v>127</v>
      </c>
      <c r="D37" s="131" t="s">
        <v>128</v>
      </c>
      <c r="E37" s="130" t="s">
        <v>297</v>
      </c>
      <c r="F37" s="130" t="s">
        <v>130</v>
      </c>
      <c r="G37" s="130" t="s">
        <v>298</v>
      </c>
      <c r="H37" s="131" t="str">
        <f t="shared" si="0"/>
        <v>Commodity Charge</v>
      </c>
      <c r="I37" s="130" t="s">
        <v>132</v>
      </c>
      <c r="J37" s="130" t="s">
        <v>133</v>
      </c>
      <c r="K37" s="130" t="s">
        <v>133</v>
      </c>
      <c r="L37" s="130" t="s">
        <v>132</v>
      </c>
      <c r="M37" s="130" t="s">
        <v>158</v>
      </c>
      <c r="N37" s="130" t="s">
        <v>271</v>
      </c>
      <c r="O37" s="130" t="s">
        <v>132</v>
      </c>
      <c r="P37" s="130" t="s">
        <v>133</v>
      </c>
      <c r="Q37" s="130" t="s">
        <v>133</v>
      </c>
      <c r="R37" s="130" t="s">
        <v>161</v>
      </c>
      <c r="S37" s="131" t="str">
        <f t="shared" si="1"/>
        <v>VVTC4</v>
      </c>
      <c r="T37" s="130" t="s">
        <v>132</v>
      </c>
      <c r="U37" s="130" t="s">
        <v>25</v>
      </c>
      <c r="V37" s="130" t="s">
        <v>132</v>
      </c>
      <c r="W37" s="130" t="s">
        <v>132</v>
      </c>
      <c r="Y37" t="s">
        <v>299</v>
      </c>
      <c r="Z37" t="s">
        <v>280</v>
      </c>
      <c r="AB37" t="s">
        <v>300</v>
      </c>
      <c r="AC37" t="s">
        <v>301</v>
      </c>
    </row>
    <row r="38" spans="1:29" hidden="1" x14ac:dyDescent="0.2">
      <c r="A38" s="130" t="s">
        <v>125</v>
      </c>
      <c r="B38" s="130" t="s">
        <v>126</v>
      </c>
      <c r="C38" s="130" t="s">
        <v>127</v>
      </c>
      <c r="D38" s="131" t="s">
        <v>128</v>
      </c>
      <c r="E38" s="130" t="s">
        <v>302</v>
      </c>
      <c r="F38" s="130" t="s">
        <v>130</v>
      </c>
      <c r="G38" s="130" t="s">
        <v>303</v>
      </c>
      <c r="H38" s="131" t="str">
        <f t="shared" si="0"/>
        <v>Tariff TTM Charge</v>
      </c>
      <c r="I38" s="130" t="s">
        <v>132</v>
      </c>
      <c r="J38" s="130" t="s">
        <v>133</v>
      </c>
      <c r="K38" s="130" t="s">
        <v>133</v>
      </c>
      <c r="L38" s="130" t="s">
        <v>132</v>
      </c>
      <c r="M38" s="130" t="s">
        <v>133</v>
      </c>
      <c r="N38" s="130" t="s">
        <v>132</v>
      </c>
      <c r="O38" s="130" t="s">
        <v>25</v>
      </c>
      <c r="P38" s="130" t="s">
        <v>133</v>
      </c>
      <c r="Q38" s="130" t="s">
        <v>133</v>
      </c>
      <c r="R38" s="130" t="s">
        <v>161</v>
      </c>
      <c r="S38" s="131" t="str">
        <f t="shared" si="1"/>
        <v>VVDCT</v>
      </c>
      <c r="T38" s="130" t="s">
        <v>132</v>
      </c>
      <c r="U38" s="130" t="s">
        <v>132</v>
      </c>
      <c r="V38" s="130" t="s">
        <v>132</v>
      </c>
      <c r="W38" s="130" t="s">
        <v>132</v>
      </c>
      <c r="Y38" t="s">
        <v>270</v>
      </c>
      <c r="Z38" t="s">
        <v>304</v>
      </c>
      <c r="AB38" t="s">
        <v>244</v>
      </c>
      <c r="AC38" t="s">
        <v>305</v>
      </c>
    </row>
    <row r="39" spans="1:29" s="133" customFormat="1" hidden="1" x14ac:dyDescent="0.2">
      <c r="A39" s="132" t="s">
        <v>125</v>
      </c>
      <c r="B39" s="132" t="s">
        <v>126</v>
      </c>
      <c r="C39" s="132" t="s">
        <v>127</v>
      </c>
      <c r="D39" s="133" t="s">
        <v>128</v>
      </c>
      <c r="E39" s="132" t="s">
        <v>306</v>
      </c>
      <c r="F39" s="132"/>
      <c r="G39" s="132" t="s">
        <v>307</v>
      </c>
      <c r="H39" s="133" t="s">
        <v>308</v>
      </c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3" t="s">
        <v>309</v>
      </c>
      <c r="T39" s="132"/>
      <c r="U39" s="132"/>
      <c r="V39" s="132"/>
      <c r="W39" s="132"/>
    </row>
    <row r="40" spans="1:29" hidden="1" x14ac:dyDescent="0.2">
      <c r="A40" s="130" t="s">
        <v>125</v>
      </c>
      <c r="B40" s="130" t="s">
        <v>126</v>
      </c>
      <c r="C40" s="130" t="s">
        <v>127</v>
      </c>
      <c r="D40" s="131" t="s">
        <v>128</v>
      </c>
      <c r="E40" s="130" t="s">
        <v>310</v>
      </c>
      <c r="F40" s="130" t="s">
        <v>130</v>
      </c>
      <c r="G40" s="130" t="s">
        <v>132</v>
      </c>
      <c r="H40" s="131" t="e">
        <f t="shared" ref="H40:H66" si="2">VLOOKUP(G40,AB:AC,2,FALSE)</f>
        <v>#N/A</v>
      </c>
      <c r="I40" s="130" t="s">
        <v>311</v>
      </c>
      <c r="J40" s="130" t="s">
        <v>133</v>
      </c>
      <c r="K40" s="130" t="s">
        <v>133</v>
      </c>
      <c r="L40" s="130" t="s">
        <v>132</v>
      </c>
      <c r="M40" s="130" t="s">
        <v>133</v>
      </c>
      <c r="N40" s="130" t="s">
        <v>312</v>
      </c>
      <c r="O40" s="130" t="s">
        <v>132</v>
      </c>
      <c r="P40" s="130" t="s">
        <v>313</v>
      </c>
      <c r="Q40" s="130" t="s">
        <v>158</v>
      </c>
      <c r="R40" s="130" t="s">
        <v>132</v>
      </c>
      <c r="S40" s="131" t="e">
        <f t="shared" ref="S40:S66" si="3">VLOOKUP(G40,Y:Z,2,FALSE)</f>
        <v>#N/A</v>
      </c>
      <c r="T40" s="130" t="s">
        <v>132</v>
      </c>
      <c r="U40" s="130" t="s">
        <v>132</v>
      </c>
      <c r="V40" s="130" t="s">
        <v>132</v>
      </c>
      <c r="W40" s="130" t="s">
        <v>132</v>
      </c>
      <c r="Y40" t="s">
        <v>157</v>
      </c>
      <c r="Z40" t="s">
        <v>304</v>
      </c>
      <c r="AB40" t="s">
        <v>248</v>
      </c>
      <c r="AC40" t="s">
        <v>264</v>
      </c>
    </row>
    <row r="41" spans="1:29" hidden="1" x14ac:dyDescent="0.2">
      <c r="A41" s="130" t="s">
        <v>125</v>
      </c>
      <c r="B41" s="130" t="s">
        <v>126</v>
      </c>
      <c r="C41" s="130" t="s">
        <v>127</v>
      </c>
      <c r="D41" s="131" t="s">
        <v>128</v>
      </c>
      <c r="E41" s="130" t="s">
        <v>314</v>
      </c>
      <c r="F41" s="130" t="s">
        <v>130</v>
      </c>
      <c r="G41" s="130" t="s">
        <v>137</v>
      </c>
      <c r="H41" s="131" t="str">
        <f t="shared" si="2"/>
        <v>Output Tax</v>
      </c>
      <c r="I41" s="130" t="s">
        <v>132</v>
      </c>
      <c r="J41" s="130" t="s">
        <v>310</v>
      </c>
      <c r="K41" s="130" t="s">
        <v>310</v>
      </c>
      <c r="L41" s="130" t="s">
        <v>132</v>
      </c>
      <c r="M41" s="130" t="s">
        <v>129</v>
      </c>
      <c r="N41" s="130" t="s">
        <v>132</v>
      </c>
      <c r="O41" s="130" t="s">
        <v>132</v>
      </c>
      <c r="P41" s="130" t="s">
        <v>133</v>
      </c>
      <c r="Q41" s="130" t="s">
        <v>315</v>
      </c>
      <c r="R41" s="130" t="s">
        <v>316</v>
      </c>
      <c r="S41" s="131" t="e">
        <f t="shared" si="3"/>
        <v>#N/A</v>
      </c>
      <c r="T41" s="130" t="s">
        <v>132</v>
      </c>
      <c r="U41" s="130" t="s">
        <v>317</v>
      </c>
      <c r="V41" s="130" t="s">
        <v>25</v>
      </c>
      <c r="W41" s="130" t="s">
        <v>132</v>
      </c>
      <c r="Y41" t="s">
        <v>252</v>
      </c>
      <c r="Z41" t="s">
        <v>147</v>
      </c>
      <c r="AB41" t="s">
        <v>254</v>
      </c>
      <c r="AC41" t="s">
        <v>318</v>
      </c>
    </row>
    <row r="42" spans="1:29" hidden="1" x14ac:dyDescent="0.2">
      <c r="A42" s="130" t="s">
        <v>125</v>
      </c>
      <c r="B42" s="130" t="s">
        <v>126</v>
      </c>
      <c r="C42" s="130" t="s">
        <v>127</v>
      </c>
      <c r="D42" s="131" t="s">
        <v>128</v>
      </c>
      <c r="E42" s="130" t="s">
        <v>319</v>
      </c>
      <c r="F42" s="130" t="s">
        <v>130</v>
      </c>
      <c r="G42" s="130" t="s">
        <v>132</v>
      </c>
      <c r="H42" s="131" t="e">
        <f t="shared" si="2"/>
        <v>#N/A</v>
      </c>
      <c r="I42" s="130" t="s">
        <v>38</v>
      </c>
      <c r="J42" s="130" t="s">
        <v>133</v>
      </c>
      <c r="K42" s="130" t="s">
        <v>133</v>
      </c>
      <c r="L42" s="130" t="s">
        <v>132</v>
      </c>
      <c r="M42" s="130" t="s">
        <v>133</v>
      </c>
      <c r="N42" s="130" t="s">
        <v>125</v>
      </c>
      <c r="O42" s="130" t="s">
        <v>132</v>
      </c>
      <c r="P42" s="130" t="s">
        <v>320</v>
      </c>
      <c r="Q42" s="130" t="s">
        <v>133</v>
      </c>
      <c r="R42" s="130" t="s">
        <v>132</v>
      </c>
      <c r="S42" s="131" t="e">
        <f t="shared" si="3"/>
        <v>#N/A</v>
      </c>
      <c r="T42" s="130" t="s">
        <v>132</v>
      </c>
      <c r="U42" s="130" t="s">
        <v>132</v>
      </c>
      <c r="V42" s="130" t="s">
        <v>132</v>
      </c>
      <c r="W42" s="130" t="s">
        <v>132</v>
      </c>
      <c r="Y42" t="s">
        <v>190</v>
      </c>
      <c r="Z42" t="s">
        <v>321</v>
      </c>
      <c r="AB42" t="s">
        <v>259</v>
      </c>
      <c r="AC42" t="s">
        <v>268</v>
      </c>
    </row>
    <row r="43" spans="1:29" hidden="1" x14ac:dyDescent="0.2">
      <c r="A43" s="130" t="s">
        <v>125</v>
      </c>
      <c r="B43" s="130" t="s">
        <v>126</v>
      </c>
      <c r="C43" s="130" t="s">
        <v>127</v>
      </c>
      <c r="D43" s="131" t="s">
        <v>128</v>
      </c>
      <c r="E43" s="130" t="s">
        <v>322</v>
      </c>
      <c r="F43" s="130" t="s">
        <v>130</v>
      </c>
      <c r="G43" s="130" t="s">
        <v>135</v>
      </c>
      <c r="H43" s="131" t="str">
        <f t="shared" si="2"/>
        <v>Cost</v>
      </c>
      <c r="I43" s="130" t="s">
        <v>132</v>
      </c>
      <c r="J43" s="130" t="s">
        <v>133</v>
      </c>
      <c r="K43" s="130" t="s">
        <v>133</v>
      </c>
      <c r="L43" s="130" t="s">
        <v>132</v>
      </c>
      <c r="M43" s="130" t="s">
        <v>320</v>
      </c>
      <c r="N43" s="130" t="s">
        <v>323</v>
      </c>
      <c r="O43" s="130" t="s">
        <v>25</v>
      </c>
      <c r="P43" s="130" t="s">
        <v>133</v>
      </c>
      <c r="Q43" s="130" t="s">
        <v>133</v>
      </c>
      <c r="R43" s="130" t="s">
        <v>132</v>
      </c>
      <c r="S43" s="131" t="str">
        <f t="shared" si="3"/>
        <v>VVCOG</v>
      </c>
      <c r="T43" s="130" t="s">
        <v>132</v>
      </c>
      <c r="U43" s="130" t="s">
        <v>132</v>
      </c>
      <c r="V43" s="130" t="s">
        <v>132</v>
      </c>
      <c r="W43" s="130" t="s">
        <v>132</v>
      </c>
      <c r="Y43" t="s">
        <v>298</v>
      </c>
      <c r="Z43" t="s">
        <v>324</v>
      </c>
      <c r="AB43" t="s">
        <v>263</v>
      </c>
      <c r="AC43" t="s">
        <v>325</v>
      </c>
    </row>
    <row r="44" spans="1:29" hidden="1" x14ac:dyDescent="0.2">
      <c r="A44" s="130" t="s">
        <v>125</v>
      </c>
      <c r="B44" s="130" t="s">
        <v>126</v>
      </c>
      <c r="C44" s="130" t="s">
        <v>127</v>
      </c>
      <c r="D44" s="131" t="s">
        <v>128</v>
      </c>
      <c r="E44" s="130" t="s">
        <v>326</v>
      </c>
      <c r="F44" s="130" t="s">
        <v>130</v>
      </c>
      <c r="G44" s="130" t="s">
        <v>132</v>
      </c>
      <c r="H44" s="131" t="e">
        <f t="shared" si="2"/>
        <v>#N/A</v>
      </c>
      <c r="I44" s="130" t="s">
        <v>327</v>
      </c>
      <c r="J44" s="130" t="s">
        <v>133</v>
      </c>
      <c r="K44" s="130" t="s">
        <v>133</v>
      </c>
      <c r="L44" s="130" t="s">
        <v>132</v>
      </c>
      <c r="M44" s="130" t="s">
        <v>133</v>
      </c>
      <c r="N44" s="130" t="s">
        <v>132</v>
      </c>
      <c r="O44" s="130" t="s">
        <v>132</v>
      </c>
      <c r="P44" s="130" t="s">
        <v>328</v>
      </c>
      <c r="Q44" s="130" t="s">
        <v>133</v>
      </c>
      <c r="R44" s="130" t="s">
        <v>132</v>
      </c>
      <c r="S44" s="131" t="e">
        <f t="shared" si="3"/>
        <v>#N/A</v>
      </c>
      <c r="T44" s="130" t="s">
        <v>132</v>
      </c>
      <c r="U44" s="130" t="s">
        <v>132</v>
      </c>
      <c r="V44" s="130" t="s">
        <v>132</v>
      </c>
      <c r="W44" s="130" t="s">
        <v>132</v>
      </c>
      <c r="Y44" t="s">
        <v>289</v>
      </c>
      <c r="Z44" t="s">
        <v>329</v>
      </c>
      <c r="AB44" t="s">
        <v>266</v>
      </c>
      <c r="AC44" t="s">
        <v>330</v>
      </c>
    </row>
    <row r="45" spans="1:29" hidden="1" x14ac:dyDescent="0.2">
      <c r="A45" s="130" t="s">
        <v>125</v>
      </c>
      <c r="B45" s="130" t="s">
        <v>126</v>
      </c>
      <c r="C45" s="130" t="s">
        <v>127</v>
      </c>
      <c r="D45" s="131" t="s">
        <v>128</v>
      </c>
      <c r="E45" s="130" t="s">
        <v>331</v>
      </c>
      <c r="F45" s="130" t="s">
        <v>130</v>
      </c>
      <c r="G45" s="130" t="s">
        <v>332</v>
      </c>
      <c r="H45" s="131" t="str">
        <f t="shared" si="2"/>
        <v>Withholding Tax</v>
      </c>
      <c r="I45" s="130" t="s">
        <v>132</v>
      </c>
      <c r="J45" s="130" t="s">
        <v>310</v>
      </c>
      <c r="K45" s="130" t="s">
        <v>310</v>
      </c>
      <c r="L45" s="130" t="s">
        <v>132</v>
      </c>
      <c r="M45" s="130" t="s">
        <v>333</v>
      </c>
      <c r="N45" s="130" t="s">
        <v>132</v>
      </c>
      <c r="O45" s="130" t="s">
        <v>25</v>
      </c>
      <c r="P45" s="130" t="s">
        <v>133</v>
      </c>
      <c r="Q45" s="130" t="s">
        <v>133</v>
      </c>
      <c r="R45" s="130" t="s">
        <v>132</v>
      </c>
      <c r="S45" s="131" t="e">
        <f t="shared" si="3"/>
        <v>#N/A</v>
      </c>
      <c r="T45" s="130" t="s">
        <v>132</v>
      </c>
      <c r="U45" s="130" t="s">
        <v>132</v>
      </c>
      <c r="V45" s="130" t="s">
        <v>132</v>
      </c>
      <c r="W45" s="130" t="s">
        <v>132</v>
      </c>
      <c r="Y45" t="s">
        <v>303</v>
      </c>
      <c r="Z45" t="s">
        <v>321</v>
      </c>
      <c r="AB45" t="s">
        <v>219</v>
      </c>
      <c r="AC45" t="s">
        <v>334</v>
      </c>
    </row>
    <row r="46" spans="1:29" x14ac:dyDescent="0.2">
      <c r="A46" s="130" t="s">
        <v>125</v>
      </c>
      <c r="B46" s="130" t="s">
        <v>126</v>
      </c>
      <c r="C46" s="130" t="s">
        <v>335</v>
      </c>
      <c r="D46" s="131" t="s">
        <v>336</v>
      </c>
      <c r="E46" s="130" t="s">
        <v>129</v>
      </c>
      <c r="F46" s="130" t="s">
        <v>130</v>
      </c>
      <c r="G46" s="130" t="s">
        <v>266</v>
      </c>
      <c r="H46" s="131" t="str">
        <f t="shared" si="2"/>
        <v>LNG Price</v>
      </c>
      <c r="I46" s="130" t="s">
        <v>132</v>
      </c>
      <c r="J46" s="130" t="s">
        <v>133</v>
      </c>
      <c r="K46" s="130" t="s">
        <v>133</v>
      </c>
      <c r="L46" s="130" t="s">
        <v>132</v>
      </c>
      <c r="M46" s="130" t="s">
        <v>158</v>
      </c>
      <c r="N46" s="130" t="s">
        <v>132</v>
      </c>
      <c r="O46" s="130" t="s">
        <v>25</v>
      </c>
      <c r="P46" s="130" t="s">
        <v>133</v>
      </c>
      <c r="Q46" s="130" t="s">
        <v>133</v>
      </c>
      <c r="R46" s="130" t="s">
        <v>132</v>
      </c>
      <c r="S46" s="131" t="str">
        <f t="shared" si="3"/>
        <v>VVPLP</v>
      </c>
      <c r="T46" s="130" t="s">
        <v>132</v>
      </c>
      <c r="U46" s="130" t="s">
        <v>132</v>
      </c>
      <c r="V46" s="130" t="s">
        <v>132</v>
      </c>
      <c r="W46" s="130" t="s">
        <v>132</v>
      </c>
      <c r="AB46" t="s">
        <v>273</v>
      </c>
      <c r="AC46" t="s">
        <v>337</v>
      </c>
    </row>
    <row r="47" spans="1:29" x14ac:dyDescent="0.2">
      <c r="A47" s="130" t="s">
        <v>125</v>
      </c>
      <c r="B47" s="130" t="s">
        <v>126</v>
      </c>
      <c r="C47" s="130" t="s">
        <v>335</v>
      </c>
      <c r="D47" s="131" t="s">
        <v>336</v>
      </c>
      <c r="E47" s="130" t="s">
        <v>139</v>
      </c>
      <c r="F47" s="130" t="s">
        <v>130</v>
      </c>
      <c r="G47" s="130" t="s">
        <v>338</v>
      </c>
      <c r="H47" s="131" t="str">
        <f t="shared" si="2"/>
        <v>GSM: NG Price</v>
      </c>
      <c r="I47" s="130" t="s">
        <v>132</v>
      </c>
      <c r="J47" s="130" t="s">
        <v>133</v>
      </c>
      <c r="K47" s="130" t="s">
        <v>133</v>
      </c>
      <c r="L47" s="130" t="s">
        <v>132</v>
      </c>
      <c r="M47" s="130" t="s">
        <v>158</v>
      </c>
      <c r="N47" s="130" t="s">
        <v>132</v>
      </c>
      <c r="O47" s="130" t="s">
        <v>25</v>
      </c>
      <c r="P47" s="130" t="s">
        <v>133</v>
      </c>
      <c r="Q47" s="130" t="s">
        <v>133</v>
      </c>
      <c r="R47" s="130" t="s">
        <v>132</v>
      </c>
      <c r="S47" s="131" t="e">
        <f t="shared" si="3"/>
        <v>#N/A</v>
      </c>
      <c r="T47" s="130" t="s">
        <v>132</v>
      </c>
      <c r="U47" s="130" t="s">
        <v>132</v>
      </c>
      <c r="V47" s="130" t="s">
        <v>132</v>
      </c>
      <c r="W47" s="130" t="s">
        <v>132</v>
      </c>
      <c r="AB47" t="s">
        <v>339</v>
      </c>
      <c r="AC47" t="s">
        <v>340</v>
      </c>
    </row>
    <row r="48" spans="1:29" x14ac:dyDescent="0.2">
      <c r="A48" s="130" t="s">
        <v>125</v>
      </c>
      <c r="B48" s="130" t="s">
        <v>126</v>
      </c>
      <c r="C48" s="130" t="s">
        <v>335</v>
      </c>
      <c r="D48" s="131" t="s">
        <v>336</v>
      </c>
      <c r="E48" s="130" t="s">
        <v>341</v>
      </c>
      <c r="F48" s="130" t="s">
        <v>130</v>
      </c>
      <c r="G48" s="130" t="s">
        <v>286</v>
      </c>
      <c r="H48" s="131" t="str">
        <f t="shared" si="2"/>
        <v>GSM: Adj. pool price</v>
      </c>
      <c r="I48" s="130" t="s">
        <v>132</v>
      </c>
      <c r="J48" s="130" t="s">
        <v>133</v>
      </c>
      <c r="K48" s="130" t="s">
        <v>133</v>
      </c>
      <c r="L48" s="130" t="s">
        <v>132</v>
      </c>
      <c r="M48" s="130" t="s">
        <v>158</v>
      </c>
      <c r="N48" s="130" t="s">
        <v>132</v>
      </c>
      <c r="O48" s="130" t="s">
        <v>25</v>
      </c>
      <c r="P48" s="130" t="s">
        <v>133</v>
      </c>
      <c r="Q48" s="130" t="s">
        <v>133</v>
      </c>
      <c r="R48" s="130" t="s">
        <v>132</v>
      </c>
      <c r="S48" s="131" t="str">
        <f t="shared" si="3"/>
        <v>VVPLP</v>
      </c>
      <c r="T48" s="130" t="s">
        <v>132</v>
      </c>
      <c r="U48" s="130" t="s">
        <v>132</v>
      </c>
      <c r="V48" s="130" t="s">
        <v>132</v>
      </c>
      <c r="W48" s="130" t="s">
        <v>132</v>
      </c>
      <c r="AB48" t="s">
        <v>242</v>
      </c>
      <c r="AC48" t="s">
        <v>342</v>
      </c>
    </row>
    <row r="49" spans="1:29" x14ac:dyDescent="0.2">
      <c r="A49" s="130" t="s">
        <v>125</v>
      </c>
      <c r="B49" s="130" t="s">
        <v>126</v>
      </c>
      <c r="C49" s="130" t="s">
        <v>335</v>
      </c>
      <c r="D49" s="131" t="s">
        <v>336</v>
      </c>
      <c r="E49" s="130" t="s">
        <v>343</v>
      </c>
      <c r="F49" s="130" t="s">
        <v>130</v>
      </c>
      <c r="G49" s="130" t="s">
        <v>132</v>
      </c>
      <c r="H49" s="131" t="e">
        <f t="shared" si="2"/>
        <v>#N/A</v>
      </c>
      <c r="I49" s="130" t="s">
        <v>344</v>
      </c>
      <c r="J49" s="130" t="s">
        <v>129</v>
      </c>
      <c r="K49" s="130" t="s">
        <v>341</v>
      </c>
      <c r="L49" s="130" t="s">
        <v>132</v>
      </c>
      <c r="M49" s="130" t="s">
        <v>133</v>
      </c>
      <c r="N49" s="130" t="s">
        <v>159</v>
      </c>
      <c r="O49" s="130" t="s">
        <v>25</v>
      </c>
      <c r="P49" s="130" t="s">
        <v>133</v>
      </c>
      <c r="Q49" s="130" t="s">
        <v>133</v>
      </c>
      <c r="R49" s="130" t="s">
        <v>132</v>
      </c>
      <c r="S49" s="131" t="e">
        <f t="shared" si="3"/>
        <v>#N/A</v>
      </c>
      <c r="T49" s="130" t="s">
        <v>132</v>
      </c>
      <c r="U49" s="130" t="s">
        <v>132</v>
      </c>
      <c r="V49" s="130" t="s">
        <v>132</v>
      </c>
      <c r="W49" s="130" t="s">
        <v>132</v>
      </c>
      <c r="AB49" t="s">
        <v>345</v>
      </c>
      <c r="AC49" t="s">
        <v>346</v>
      </c>
    </row>
    <row r="50" spans="1:29" x14ac:dyDescent="0.2">
      <c r="A50" s="130" t="s">
        <v>125</v>
      </c>
      <c r="B50" s="130" t="s">
        <v>126</v>
      </c>
      <c r="C50" s="130" t="s">
        <v>335</v>
      </c>
      <c r="D50" s="131" t="s">
        <v>336</v>
      </c>
      <c r="E50" s="130" t="s">
        <v>347</v>
      </c>
      <c r="F50" s="130" t="s">
        <v>130</v>
      </c>
      <c r="G50" s="130" t="s">
        <v>235</v>
      </c>
      <c r="H50" s="131" t="str">
        <f t="shared" si="2"/>
        <v>NG Price</v>
      </c>
      <c r="I50" s="130" t="s">
        <v>132</v>
      </c>
      <c r="J50" s="130" t="s">
        <v>343</v>
      </c>
      <c r="K50" s="130" t="s">
        <v>343</v>
      </c>
      <c r="L50" s="130" t="s">
        <v>132</v>
      </c>
      <c r="M50" s="130" t="s">
        <v>133</v>
      </c>
      <c r="N50" s="130" t="s">
        <v>312</v>
      </c>
      <c r="O50" s="130" t="s">
        <v>132</v>
      </c>
      <c r="P50" s="130" t="s">
        <v>313</v>
      </c>
      <c r="Q50" s="130" t="s">
        <v>133</v>
      </c>
      <c r="R50" s="130" t="s">
        <v>161</v>
      </c>
      <c r="S50" s="131" t="str">
        <f t="shared" si="3"/>
        <v>ERLOS</v>
      </c>
      <c r="T50" s="130" t="s">
        <v>132</v>
      </c>
      <c r="U50" s="130" t="s">
        <v>25</v>
      </c>
      <c r="V50" s="130" t="s">
        <v>132</v>
      </c>
      <c r="W50" s="130" t="s">
        <v>132</v>
      </c>
      <c r="AB50" t="s">
        <v>279</v>
      </c>
      <c r="AC50" t="s">
        <v>348</v>
      </c>
    </row>
    <row r="51" spans="1:29" x14ac:dyDescent="0.2">
      <c r="A51" s="130" t="s">
        <v>125</v>
      </c>
      <c r="B51" s="130" t="s">
        <v>126</v>
      </c>
      <c r="C51" s="130" t="s">
        <v>335</v>
      </c>
      <c r="D51" s="131" t="s">
        <v>336</v>
      </c>
      <c r="E51" s="130" t="s">
        <v>349</v>
      </c>
      <c r="F51" s="130" t="s">
        <v>130</v>
      </c>
      <c r="G51" s="130" t="s">
        <v>131</v>
      </c>
      <c r="H51" s="131" t="str">
        <f t="shared" si="2"/>
        <v>GSM:  D.Ch on MCQ Z1</v>
      </c>
      <c r="I51" s="130" t="s">
        <v>132</v>
      </c>
      <c r="J51" s="130" t="s">
        <v>133</v>
      </c>
      <c r="K51" s="130" t="s">
        <v>133</v>
      </c>
      <c r="L51" s="130" t="s">
        <v>132</v>
      </c>
      <c r="M51" s="130" t="s">
        <v>133</v>
      </c>
      <c r="N51" s="130" t="s">
        <v>132</v>
      </c>
      <c r="O51" s="130" t="s">
        <v>25</v>
      </c>
      <c r="P51" s="130" t="s">
        <v>133</v>
      </c>
      <c r="Q51" s="130" t="s">
        <v>133</v>
      </c>
      <c r="R51" s="130" t="s">
        <v>132</v>
      </c>
      <c r="S51" s="131" t="str">
        <f t="shared" si="3"/>
        <v>VVDC1</v>
      </c>
      <c r="T51" s="130" t="s">
        <v>132</v>
      </c>
      <c r="U51" s="130" t="s">
        <v>132</v>
      </c>
      <c r="V51" s="130" t="s">
        <v>132</v>
      </c>
      <c r="W51" s="130" t="s">
        <v>132</v>
      </c>
      <c r="AB51" t="s">
        <v>215</v>
      </c>
      <c r="AC51" t="s">
        <v>350</v>
      </c>
    </row>
    <row r="52" spans="1:29" x14ac:dyDescent="0.2">
      <c r="A52" s="130" t="s">
        <v>125</v>
      </c>
      <c r="B52" s="130" t="s">
        <v>126</v>
      </c>
      <c r="C52" s="130" t="s">
        <v>335</v>
      </c>
      <c r="D52" s="131" t="s">
        <v>336</v>
      </c>
      <c r="E52" s="130" t="s">
        <v>351</v>
      </c>
      <c r="F52" s="130" t="s">
        <v>130</v>
      </c>
      <c r="G52" s="130" t="s">
        <v>140</v>
      </c>
      <c r="H52" s="131" t="str">
        <f t="shared" si="2"/>
        <v>GSM:  D.Ch on MCQ Z2</v>
      </c>
      <c r="I52" s="130" t="s">
        <v>132</v>
      </c>
      <c r="J52" s="130" t="s">
        <v>133</v>
      </c>
      <c r="K52" s="130" t="s">
        <v>133</v>
      </c>
      <c r="L52" s="130" t="s">
        <v>132</v>
      </c>
      <c r="M52" s="130" t="s">
        <v>133</v>
      </c>
      <c r="N52" s="130" t="s">
        <v>132</v>
      </c>
      <c r="O52" s="130" t="s">
        <v>25</v>
      </c>
      <c r="P52" s="130" t="s">
        <v>133</v>
      </c>
      <c r="Q52" s="130" t="s">
        <v>133</v>
      </c>
      <c r="R52" s="130" t="s">
        <v>132</v>
      </c>
      <c r="S52" s="131" t="str">
        <f t="shared" si="3"/>
        <v>VVDC2</v>
      </c>
      <c r="T52" s="130" t="s">
        <v>132</v>
      </c>
      <c r="U52" s="130" t="s">
        <v>132</v>
      </c>
      <c r="V52" s="130" t="s">
        <v>132</v>
      </c>
      <c r="W52" s="130" t="s">
        <v>132</v>
      </c>
      <c r="AB52" t="s">
        <v>338</v>
      </c>
      <c r="AC52" t="s">
        <v>352</v>
      </c>
    </row>
    <row r="53" spans="1:29" x14ac:dyDescent="0.2">
      <c r="A53" s="130" t="s">
        <v>125</v>
      </c>
      <c r="B53" s="130" t="s">
        <v>126</v>
      </c>
      <c r="C53" s="130" t="s">
        <v>335</v>
      </c>
      <c r="D53" s="131" t="s">
        <v>336</v>
      </c>
      <c r="E53" s="130" t="s">
        <v>353</v>
      </c>
      <c r="F53" s="130" t="s">
        <v>130</v>
      </c>
      <c r="G53" s="130" t="s">
        <v>145</v>
      </c>
      <c r="H53" s="131" t="str">
        <f t="shared" si="2"/>
        <v>GSM:  D.Ch on MCQ Z3</v>
      </c>
      <c r="I53" s="130" t="s">
        <v>132</v>
      </c>
      <c r="J53" s="130" t="s">
        <v>133</v>
      </c>
      <c r="K53" s="130" t="s">
        <v>133</v>
      </c>
      <c r="L53" s="130" t="s">
        <v>132</v>
      </c>
      <c r="M53" s="130" t="s">
        <v>133</v>
      </c>
      <c r="N53" s="130" t="s">
        <v>132</v>
      </c>
      <c r="O53" s="130" t="s">
        <v>25</v>
      </c>
      <c r="P53" s="130" t="s">
        <v>133</v>
      </c>
      <c r="Q53" s="130" t="s">
        <v>133</v>
      </c>
      <c r="R53" s="130" t="s">
        <v>132</v>
      </c>
      <c r="S53" s="131" t="str">
        <f t="shared" si="3"/>
        <v>VVDC3</v>
      </c>
      <c r="T53" s="130" t="s">
        <v>132</v>
      </c>
      <c r="U53" s="130" t="s">
        <v>132</v>
      </c>
      <c r="V53" s="130" t="s">
        <v>132</v>
      </c>
      <c r="W53" s="130" t="s">
        <v>132</v>
      </c>
      <c r="AB53" t="s">
        <v>210</v>
      </c>
      <c r="AC53" t="s">
        <v>354</v>
      </c>
    </row>
    <row r="54" spans="1:29" x14ac:dyDescent="0.2">
      <c r="A54" s="130" t="s">
        <v>125</v>
      </c>
      <c r="B54" s="130" t="s">
        <v>126</v>
      </c>
      <c r="C54" s="130" t="s">
        <v>335</v>
      </c>
      <c r="D54" s="131" t="s">
        <v>336</v>
      </c>
      <c r="E54" s="130" t="s">
        <v>355</v>
      </c>
      <c r="F54" s="130" t="s">
        <v>130</v>
      </c>
      <c r="G54" s="130" t="s">
        <v>151</v>
      </c>
      <c r="H54" s="131" t="str">
        <f t="shared" si="2"/>
        <v>GSM:  D.Ch MCQ Jana</v>
      </c>
      <c r="I54" s="130" t="s">
        <v>132</v>
      </c>
      <c r="J54" s="130" t="s">
        <v>133</v>
      </c>
      <c r="K54" s="130" t="s">
        <v>133</v>
      </c>
      <c r="L54" s="130" t="s">
        <v>132</v>
      </c>
      <c r="M54" s="130" t="s">
        <v>133</v>
      </c>
      <c r="N54" s="130" t="s">
        <v>132</v>
      </c>
      <c r="O54" s="130" t="s">
        <v>25</v>
      </c>
      <c r="P54" s="130" t="s">
        <v>133</v>
      </c>
      <c r="Q54" s="130" t="s">
        <v>133</v>
      </c>
      <c r="R54" s="130" t="s">
        <v>132</v>
      </c>
      <c r="S54" s="131" t="str">
        <f t="shared" si="3"/>
        <v>VVDC4</v>
      </c>
      <c r="T54" s="130" t="s">
        <v>132</v>
      </c>
      <c r="U54" s="130" t="s">
        <v>132</v>
      </c>
      <c r="V54" s="130" t="s">
        <v>132</v>
      </c>
      <c r="W54" s="130" t="s">
        <v>132</v>
      </c>
      <c r="AB54" t="s">
        <v>286</v>
      </c>
      <c r="AC54" t="s">
        <v>356</v>
      </c>
    </row>
    <row r="55" spans="1:29" x14ac:dyDescent="0.2">
      <c r="A55" s="130" t="s">
        <v>125</v>
      </c>
      <c r="B55" s="130" t="s">
        <v>126</v>
      </c>
      <c r="C55" s="130" t="s">
        <v>335</v>
      </c>
      <c r="D55" s="131" t="s">
        <v>336</v>
      </c>
      <c r="E55" s="130" t="s">
        <v>357</v>
      </c>
      <c r="F55" s="130" t="s">
        <v>130</v>
      </c>
      <c r="G55" s="130" t="s">
        <v>157</v>
      </c>
      <c r="H55" s="131" t="str">
        <f t="shared" si="2"/>
        <v>Demand Charge</v>
      </c>
      <c r="I55" s="130" t="s">
        <v>132</v>
      </c>
      <c r="J55" s="130" t="s">
        <v>133</v>
      </c>
      <c r="K55" s="130" t="s">
        <v>133</v>
      </c>
      <c r="L55" s="130" t="s">
        <v>132</v>
      </c>
      <c r="M55" s="130" t="s">
        <v>158</v>
      </c>
      <c r="N55" s="130" t="s">
        <v>159</v>
      </c>
      <c r="O55" s="130" t="s">
        <v>132</v>
      </c>
      <c r="P55" s="130" t="s">
        <v>160</v>
      </c>
      <c r="Q55" s="130" t="s">
        <v>133</v>
      </c>
      <c r="R55" s="130" t="s">
        <v>161</v>
      </c>
      <c r="S55" s="131" t="str">
        <f t="shared" si="3"/>
        <v>VVTDC</v>
      </c>
      <c r="T55" s="130" t="s">
        <v>132</v>
      </c>
      <c r="U55" s="130" t="s">
        <v>25</v>
      </c>
      <c r="V55" s="130" t="s">
        <v>132</v>
      </c>
      <c r="W55" s="130" t="s">
        <v>132</v>
      </c>
      <c r="AB55" t="s">
        <v>290</v>
      </c>
      <c r="AC55" t="s">
        <v>358</v>
      </c>
    </row>
    <row r="56" spans="1:29" x14ac:dyDescent="0.2">
      <c r="A56" s="130" t="s">
        <v>125</v>
      </c>
      <c r="B56" s="130" t="s">
        <v>126</v>
      </c>
      <c r="C56" s="130" t="s">
        <v>335</v>
      </c>
      <c r="D56" s="131" t="s">
        <v>336</v>
      </c>
      <c r="E56" s="130" t="s">
        <v>359</v>
      </c>
      <c r="F56" s="130" t="s">
        <v>130</v>
      </c>
      <c r="G56" s="130" t="s">
        <v>132</v>
      </c>
      <c r="H56" s="131" t="e">
        <f t="shared" si="2"/>
        <v>#N/A</v>
      </c>
      <c r="I56" s="130" t="s">
        <v>167</v>
      </c>
      <c r="J56" s="130" t="s">
        <v>349</v>
      </c>
      <c r="K56" s="130" t="s">
        <v>355</v>
      </c>
      <c r="L56" s="130" t="s">
        <v>132</v>
      </c>
      <c r="M56" s="130" t="s">
        <v>133</v>
      </c>
      <c r="N56" s="130" t="s">
        <v>168</v>
      </c>
      <c r="O56" s="130" t="s">
        <v>25</v>
      </c>
      <c r="P56" s="130" t="s">
        <v>133</v>
      </c>
      <c r="Q56" s="130" t="s">
        <v>133</v>
      </c>
      <c r="R56" s="130" t="s">
        <v>132</v>
      </c>
      <c r="S56" s="131" t="e">
        <f t="shared" si="3"/>
        <v>#N/A</v>
      </c>
      <c r="T56" s="130" t="s">
        <v>132</v>
      </c>
      <c r="U56" s="130" t="s">
        <v>132</v>
      </c>
      <c r="V56" s="130" t="s">
        <v>132</v>
      </c>
      <c r="W56" s="130" t="s">
        <v>132</v>
      </c>
      <c r="AB56" t="s">
        <v>294</v>
      </c>
      <c r="AC56" t="s">
        <v>360</v>
      </c>
    </row>
    <row r="57" spans="1:29" x14ac:dyDescent="0.2">
      <c r="A57" s="130" t="s">
        <v>125</v>
      </c>
      <c r="B57" s="130" t="s">
        <v>126</v>
      </c>
      <c r="C57" s="130" t="s">
        <v>335</v>
      </c>
      <c r="D57" s="131" t="s">
        <v>336</v>
      </c>
      <c r="E57" s="130" t="s">
        <v>361</v>
      </c>
      <c r="F57" s="130" t="s">
        <v>130</v>
      </c>
      <c r="G57" s="130" t="s">
        <v>132</v>
      </c>
      <c r="H57" s="131" t="e">
        <f t="shared" si="2"/>
        <v>#N/A</v>
      </c>
      <c r="I57" s="130" t="s">
        <v>173</v>
      </c>
      <c r="J57" s="130" t="s">
        <v>357</v>
      </c>
      <c r="K57" s="130" t="s">
        <v>357</v>
      </c>
      <c r="L57" s="130" t="s">
        <v>132</v>
      </c>
      <c r="M57" s="130" t="s">
        <v>133</v>
      </c>
      <c r="N57" s="130" t="s">
        <v>174</v>
      </c>
      <c r="O57" s="130" t="s">
        <v>25</v>
      </c>
      <c r="P57" s="130" t="s">
        <v>133</v>
      </c>
      <c r="Q57" s="130" t="s">
        <v>133</v>
      </c>
      <c r="R57" s="130" t="s">
        <v>132</v>
      </c>
      <c r="S57" s="131" t="e">
        <f t="shared" si="3"/>
        <v>#N/A</v>
      </c>
      <c r="T57" s="130" t="s">
        <v>132</v>
      </c>
      <c r="U57" s="130" t="s">
        <v>132</v>
      </c>
      <c r="V57" s="130" t="s">
        <v>132</v>
      </c>
      <c r="W57" s="130" t="s">
        <v>132</v>
      </c>
      <c r="AB57" t="s">
        <v>299</v>
      </c>
      <c r="AC57" t="s">
        <v>362</v>
      </c>
    </row>
    <row r="58" spans="1:29" x14ac:dyDescent="0.2">
      <c r="A58" s="130" t="s">
        <v>125</v>
      </c>
      <c r="B58" s="130" t="s">
        <v>126</v>
      </c>
      <c r="C58" s="130" t="s">
        <v>335</v>
      </c>
      <c r="D58" s="131" t="s">
        <v>336</v>
      </c>
      <c r="E58" s="130" t="s">
        <v>363</v>
      </c>
      <c r="F58" s="130" t="s">
        <v>130</v>
      </c>
      <c r="G58" s="130" t="s">
        <v>178</v>
      </c>
      <c r="H58" s="131" t="str">
        <f t="shared" si="2"/>
        <v>GSM:DIFF ZST3 - ZDM</v>
      </c>
      <c r="I58" s="130" t="s">
        <v>132</v>
      </c>
      <c r="J58" s="130" t="s">
        <v>133</v>
      </c>
      <c r="K58" s="130" t="s">
        <v>133</v>
      </c>
      <c r="L58" s="130" t="s">
        <v>132</v>
      </c>
      <c r="M58" s="130" t="s">
        <v>133</v>
      </c>
      <c r="N58" s="130" t="s">
        <v>132</v>
      </c>
      <c r="O58" s="130" t="s">
        <v>25</v>
      </c>
      <c r="P58" s="130" t="s">
        <v>179</v>
      </c>
      <c r="Q58" s="130" t="s">
        <v>133</v>
      </c>
      <c r="R58" s="130" t="s">
        <v>132</v>
      </c>
      <c r="S58" s="131" t="str">
        <f t="shared" si="3"/>
        <v>VVDC3</v>
      </c>
      <c r="T58" s="130" t="s">
        <v>132</v>
      </c>
      <c r="U58" s="130" t="s">
        <v>132</v>
      </c>
      <c r="V58" s="130" t="s">
        <v>132</v>
      </c>
      <c r="W58" s="130" t="s">
        <v>132</v>
      </c>
      <c r="AB58" t="s">
        <v>233</v>
      </c>
      <c r="AC58" t="s">
        <v>364</v>
      </c>
    </row>
    <row r="59" spans="1:29" x14ac:dyDescent="0.2">
      <c r="A59" s="130" t="s">
        <v>125</v>
      </c>
      <c r="B59" s="130" t="s">
        <v>126</v>
      </c>
      <c r="C59" s="130" t="s">
        <v>335</v>
      </c>
      <c r="D59" s="131" t="s">
        <v>336</v>
      </c>
      <c r="E59" s="130" t="s">
        <v>365</v>
      </c>
      <c r="F59" s="130" t="s">
        <v>130</v>
      </c>
      <c r="G59" s="130" t="s">
        <v>184</v>
      </c>
      <c r="H59" s="131" t="str">
        <f t="shared" si="2"/>
        <v>GSM:  D.Ch MCQ TTM</v>
      </c>
      <c r="I59" s="130" t="s">
        <v>132</v>
      </c>
      <c r="J59" s="130" t="s">
        <v>133</v>
      </c>
      <c r="K59" s="130" t="s">
        <v>133</v>
      </c>
      <c r="L59" s="130" t="s">
        <v>132</v>
      </c>
      <c r="M59" s="130" t="s">
        <v>158</v>
      </c>
      <c r="N59" s="130" t="s">
        <v>132</v>
      </c>
      <c r="O59" s="130" t="s">
        <v>25</v>
      </c>
      <c r="P59" s="130" t="s">
        <v>133</v>
      </c>
      <c r="Q59" s="130" t="s">
        <v>133</v>
      </c>
      <c r="R59" s="130" t="s">
        <v>132</v>
      </c>
      <c r="S59" s="131" t="e">
        <f t="shared" si="3"/>
        <v>#N/A</v>
      </c>
      <c r="T59" s="130" t="s">
        <v>132</v>
      </c>
      <c r="U59" s="130" t="s">
        <v>132</v>
      </c>
      <c r="V59" s="130" t="s">
        <v>132</v>
      </c>
      <c r="W59" s="130" t="s">
        <v>132</v>
      </c>
      <c r="AB59" t="s">
        <v>238</v>
      </c>
      <c r="AC59" t="s">
        <v>366</v>
      </c>
    </row>
    <row r="60" spans="1:29" x14ac:dyDescent="0.2">
      <c r="A60" s="130" t="s">
        <v>125</v>
      </c>
      <c r="B60" s="130" t="s">
        <v>126</v>
      </c>
      <c r="C60" s="130" t="s">
        <v>335</v>
      </c>
      <c r="D60" s="131" t="s">
        <v>336</v>
      </c>
      <c r="E60" s="130" t="s">
        <v>150</v>
      </c>
      <c r="F60" s="130" t="s">
        <v>130</v>
      </c>
      <c r="G60" s="130" t="s">
        <v>190</v>
      </c>
      <c r="H60" s="131" t="str">
        <f t="shared" si="2"/>
        <v>Demand Charge-TTM</v>
      </c>
      <c r="I60" s="130" t="s">
        <v>132</v>
      </c>
      <c r="J60" s="130" t="s">
        <v>133</v>
      </c>
      <c r="K60" s="130" t="s">
        <v>133</v>
      </c>
      <c r="L60" s="130" t="s">
        <v>132</v>
      </c>
      <c r="M60" s="130" t="s">
        <v>158</v>
      </c>
      <c r="N60" s="130" t="s">
        <v>132</v>
      </c>
      <c r="O60" s="130" t="s">
        <v>132</v>
      </c>
      <c r="P60" s="130" t="s">
        <v>191</v>
      </c>
      <c r="Q60" s="130" t="s">
        <v>133</v>
      </c>
      <c r="R60" s="130" t="s">
        <v>161</v>
      </c>
      <c r="S60" s="131" t="str">
        <f t="shared" si="3"/>
        <v>VVDCT</v>
      </c>
      <c r="T60" s="130" t="s">
        <v>132</v>
      </c>
      <c r="U60" s="130" t="s">
        <v>25</v>
      </c>
      <c r="V60" s="130" t="s">
        <v>132</v>
      </c>
      <c r="W60" s="130" t="s">
        <v>132</v>
      </c>
      <c r="AB60" t="s">
        <v>367</v>
      </c>
      <c r="AC60" t="s">
        <v>368</v>
      </c>
    </row>
    <row r="61" spans="1:29" x14ac:dyDescent="0.2">
      <c r="A61" s="130" t="s">
        <v>125</v>
      </c>
      <c r="B61" s="130" t="s">
        <v>126</v>
      </c>
      <c r="C61" s="130" t="s">
        <v>335</v>
      </c>
      <c r="D61" s="131" t="s">
        <v>336</v>
      </c>
      <c r="E61" s="130" t="s">
        <v>156</v>
      </c>
      <c r="F61" s="130" t="s">
        <v>130</v>
      </c>
      <c r="G61" s="130" t="s">
        <v>289</v>
      </c>
      <c r="H61" s="131" t="str">
        <f t="shared" si="2"/>
        <v>Commodity Charge</v>
      </c>
      <c r="I61" s="130" t="s">
        <v>132</v>
      </c>
      <c r="J61" s="130" t="s">
        <v>133</v>
      </c>
      <c r="K61" s="130" t="s">
        <v>133</v>
      </c>
      <c r="L61" s="130" t="s">
        <v>132</v>
      </c>
      <c r="M61" s="130" t="s">
        <v>158</v>
      </c>
      <c r="N61" s="130" t="s">
        <v>271</v>
      </c>
      <c r="O61" s="130" t="s">
        <v>132</v>
      </c>
      <c r="P61" s="130" t="s">
        <v>133</v>
      </c>
      <c r="Q61" s="130" t="s">
        <v>133</v>
      </c>
      <c r="R61" s="130" t="s">
        <v>161</v>
      </c>
      <c r="S61" s="131" t="str">
        <f t="shared" si="3"/>
        <v>VVTCC</v>
      </c>
      <c r="T61" s="130" t="s">
        <v>132</v>
      </c>
      <c r="U61" s="130" t="s">
        <v>25</v>
      </c>
      <c r="V61" s="130" t="s">
        <v>132</v>
      </c>
      <c r="W61" s="130" t="s">
        <v>132</v>
      </c>
      <c r="AB61" t="s">
        <v>369</v>
      </c>
      <c r="AC61" t="s">
        <v>370</v>
      </c>
    </row>
    <row r="62" spans="1:29" x14ac:dyDescent="0.2">
      <c r="A62" s="130" t="s">
        <v>125</v>
      </c>
      <c r="B62" s="130" t="s">
        <v>126</v>
      </c>
      <c r="C62" s="130" t="s">
        <v>335</v>
      </c>
      <c r="D62" s="131" t="s">
        <v>336</v>
      </c>
      <c r="E62" s="130" t="s">
        <v>371</v>
      </c>
      <c r="F62" s="130" t="s">
        <v>130</v>
      </c>
      <c r="G62" s="130" t="s">
        <v>298</v>
      </c>
      <c r="H62" s="131" t="str">
        <f t="shared" si="2"/>
        <v>Commodity Charge</v>
      </c>
      <c r="I62" s="130" t="s">
        <v>132</v>
      </c>
      <c r="J62" s="130" t="s">
        <v>133</v>
      </c>
      <c r="K62" s="130" t="s">
        <v>133</v>
      </c>
      <c r="L62" s="130" t="s">
        <v>132</v>
      </c>
      <c r="M62" s="130" t="s">
        <v>158</v>
      </c>
      <c r="N62" s="130" t="s">
        <v>271</v>
      </c>
      <c r="O62" s="130" t="s">
        <v>132</v>
      </c>
      <c r="P62" s="130" t="s">
        <v>133</v>
      </c>
      <c r="Q62" s="130" t="s">
        <v>133</v>
      </c>
      <c r="R62" s="130" t="s">
        <v>161</v>
      </c>
      <c r="S62" s="131" t="str">
        <f t="shared" si="3"/>
        <v>VVTC4</v>
      </c>
      <c r="T62" s="130" t="s">
        <v>132</v>
      </c>
      <c r="U62" s="130" t="s">
        <v>25</v>
      </c>
      <c r="V62" s="130" t="s">
        <v>132</v>
      </c>
      <c r="W62" s="130" t="s">
        <v>132</v>
      </c>
      <c r="AB62" t="s">
        <v>372</v>
      </c>
      <c r="AC62" t="s">
        <v>373</v>
      </c>
    </row>
    <row r="63" spans="1:29" x14ac:dyDescent="0.2">
      <c r="A63" s="130" t="s">
        <v>125</v>
      </c>
      <c r="B63" s="130" t="s">
        <v>126</v>
      </c>
      <c r="C63" s="130" t="s">
        <v>335</v>
      </c>
      <c r="D63" s="131" t="s">
        <v>336</v>
      </c>
      <c r="E63" s="130" t="s">
        <v>166</v>
      </c>
      <c r="F63" s="130" t="s">
        <v>130</v>
      </c>
      <c r="G63" s="130" t="s">
        <v>263</v>
      </c>
      <c r="H63" s="131" t="str">
        <f t="shared" si="2"/>
        <v>DP Demand Charge</v>
      </c>
      <c r="I63" s="130" t="s">
        <v>132</v>
      </c>
      <c r="J63" s="130" t="s">
        <v>133</v>
      </c>
      <c r="K63" s="130" t="s">
        <v>133</v>
      </c>
      <c r="L63" s="130" t="s">
        <v>132</v>
      </c>
      <c r="M63" s="130" t="s">
        <v>158</v>
      </c>
      <c r="N63" s="130" t="s">
        <v>132</v>
      </c>
      <c r="O63" s="130" t="s">
        <v>132</v>
      </c>
      <c r="P63" s="130" t="s">
        <v>133</v>
      </c>
      <c r="Q63" s="130" t="s">
        <v>133</v>
      </c>
      <c r="R63" s="130" t="s">
        <v>161</v>
      </c>
      <c r="S63" s="131" t="str">
        <f t="shared" si="3"/>
        <v>VVDCA</v>
      </c>
      <c r="T63" s="130" t="s">
        <v>132</v>
      </c>
      <c r="U63" s="130" t="s">
        <v>25</v>
      </c>
      <c r="V63" s="130" t="s">
        <v>132</v>
      </c>
      <c r="W63" s="130" t="s">
        <v>132</v>
      </c>
      <c r="AB63" t="s">
        <v>374</v>
      </c>
      <c r="AC63" t="s">
        <v>375</v>
      </c>
    </row>
    <row r="64" spans="1:29" x14ac:dyDescent="0.2">
      <c r="A64" s="130" t="s">
        <v>125</v>
      </c>
      <c r="B64" s="130" t="s">
        <v>126</v>
      </c>
      <c r="C64" s="130" t="s">
        <v>335</v>
      </c>
      <c r="D64" s="131" t="s">
        <v>336</v>
      </c>
      <c r="E64" s="130" t="s">
        <v>376</v>
      </c>
      <c r="F64" s="130" t="s">
        <v>130</v>
      </c>
      <c r="G64" s="130" t="s">
        <v>248</v>
      </c>
      <c r="H64" s="131" t="str">
        <f t="shared" si="2"/>
        <v>Demand Charge</v>
      </c>
      <c r="I64" s="130" t="s">
        <v>132</v>
      </c>
      <c r="J64" s="130" t="s">
        <v>133</v>
      </c>
      <c r="K64" s="130" t="s">
        <v>133</v>
      </c>
      <c r="L64" s="130" t="s">
        <v>132</v>
      </c>
      <c r="M64" s="130" t="s">
        <v>158</v>
      </c>
      <c r="N64" s="130" t="s">
        <v>132</v>
      </c>
      <c r="O64" s="130" t="s">
        <v>132</v>
      </c>
      <c r="P64" s="130" t="s">
        <v>133</v>
      </c>
      <c r="Q64" s="130" t="s">
        <v>133</v>
      </c>
      <c r="R64" s="130" t="s">
        <v>161</v>
      </c>
      <c r="S64" s="131" t="str">
        <f t="shared" si="3"/>
        <v>VVDCA</v>
      </c>
      <c r="T64" s="130" t="s">
        <v>132</v>
      </c>
      <c r="U64" s="130" t="s">
        <v>25</v>
      </c>
      <c r="V64" s="130" t="s">
        <v>132</v>
      </c>
      <c r="W64" s="130" t="s">
        <v>132</v>
      </c>
      <c r="AB64" t="s">
        <v>257</v>
      </c>
      <c r="AC64" t="s">
        <v>352</v>
      </c>
    </row>
    <row r="65" spans="1:29" x14ac:dyDescent="0.2">
      <c r="A65" s="130" t="s">
        <v>125</v>
      </c>
      <c r="B65" s="130" t="s">
        <v>126</v>
      </c>
      <c r="C65" s="130" t="s">
        <v>335</v>
      </c>
      <c r="D65" s="131" t="s">
        <v>336</v>
      </c>
      <c r="E65" s="130" t="s">
        <v>183</v>
      </c>
      <c r="F65" s="130" t="s">
        <v>130</v>
      </c>
      <c r="G65" s="130" t="s">
        <v>259</v>
      </c>
      <c r="H65" s="131" t="str">
        <f t="shared" si="2"/>
        <v>Demand Charge-NMP</v>
      </c>
      <c r="I65" s="130" t="s">
        <v>132</v>
      </c>
      <c r="J65" s="130" t="s">
        <v>133</v>
      </c>
      <c r="K65" s="130" t="s">
        <v>133</v>
      </c>
      <c r="L65" s="130" t="s">
        <v>132</v>
      </c>
      <c r="M65" s="130" t="s">
        <v>158</v>
      </c>
      <c r="N65" s="130" t="s">
        <v>132</v>
      </c>
      <c r="O65" s="130" t="s">
        <v>132</v>
      </c>
      <c r="P65" s="130" t="s">
        <v>133</v>
      </c>
      <c r="Q65" s="130" t="s">
        <v>133</v>
      </c>
      <c r="R65" s="130" t="s">
        <v>161</v>
      </c>
      <c r="S65" s="131" t="str">
        <f t="shared" si="3"/>
        <v>VVDCN</v>
      </c>
      <c r="T65" s="130" t="s">
        <v>132</v>
      </c>
      <c r="U65" s="130" t="s">
        <v>25</v>
      </c>
      <c r="V65" s="130" t="s">
        <v>132</v>
      </c>
      <c r="W65" s="130" t="s">
        <v>132</v>
      </c>
      <c r="AB65" t="s">
        <v>270</v>
      </c>
      <c r="AC65" t="s">
        <v>264</v>
      </c>
    </row>
    <row r="66" spans="1:29" x14ac:dyDescent="0.2">
      <c r="A66" s="130" t="s">
        <v>125</v>
      </c>
      <c r="B66" s="130" t="s">
        <v>126</v>
      </c>
      <c r="C66" s="130" t="s">
        <v>335</v>
      </c>
      <c r="D66" s="131" t="s">
        <v>336</v>
      </c>
      <c r="E66" s="130" t="s">
        <v>189</v>
      </c>
      <c r="F66" s="130" t="s">
        <v>130</v>
      </c>
      <c r="G66" s="130" t="s">
        <v>254</v>
      </c>
      <c r="H66" s="131" t="str">
        <f t="shared" si="2"/>
        <v>Commodity Charge-NMP</v>
      </c>
      <c r="I66" s="130" t="s">
        <v>132</v>
      </c>
      <c r="J66" s="130" t="s">
        <v>133</v>
      </c>
      <c r="K66" s="130" t="s">
        <v>133</v>
      </c>
      <c r="L66" s="130" t="s">
        <v>132</v>
      </c>
      <c r="M66" s="130" t="s">
        <v>158</v>
      </c>
      <c r="N66" s="130" t="s">
        <v>132</v>
      </c>
      <c r="O66" s="130" t="s">
        <v>132</v>
      </c>
      <c r="P66" s="130" t="s">
        <v>133</v>
      </c>
      <c r="Q66" s="130" t="s">
        <v>133</v>
      </c>
      <c r="R66" s="130" t="s">
        <v>161</v>
      </c>
      <c r="S66" s="131" t="str">
        <f t="shared" si="3"/>
        <v>VVCCN</v>
      </c>
      <c r="T66" s="130" t="s">
        <v>132</v>
      </c>
      <c r="U66" s="130" t="s">
        <v>25</v>
      </c>
      <c r="V66" s="130" t="s">
        <v>132</v>
      </c>
      <c r="W66" s="130" t="s">
        <v>132</v>
      </c>
      <c r="AB66" t="s">
        <v>157</v>
      </c>
      <c r="AC66" t="s">
        <v>264</v>
      </c>
    </row>
    <row r="67" spans="1:29" s="133" customFormat="1" x14ac:dyDescent="0.2">
      <c r="A67" s="132" t="s">
        <v>125</v>
      </c>
      <c r="B67" s="132" t="s">
        <v>126</v>
      </c>
      <c r="C67" s="132" t="s">
        <v>335</v>
      </c>
      <c r="D67" s="133" t="s">
        <v>336</v>
      </c>
      <c r="E67" s="132" t="s">
        <v>306</v>
      </c>
      <c r="F67" s="132"/>
      <c r="G67" s="132" t="s">
        <v>307</v>
      </c>
      <c r="H67" s="133" t="s">
        <v>308</v>
      </c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3" t="s">
        <v>309</v>
      </c>
      <c r="T67" s="132"/>
      <c r="U67" s="132"/>
      <c r="V67" s="132"/>
      <c r="W67" s="132"/>
    </row>
    <row r="68" spans="1:29" x14ac:dyDescent="0.2">
      <c r="A68" s="130" t="s">
        <v>125</v>
      </c>
      <c r="B68" s="130" t="s">
        <v>126</v>
      </c>
      <c r="C68" s="130" t="s">
        <v>335</v>
      </c>
      <c r="D68" s="131" t="s">
        <v>336</v>
      </c>
      <c r="E68" s="130" t="s">
        <v>377</v>
      </c>
      <c r="F68" s="130" t="s">
        <v>130</v>
      </c>
      <c r="G68" s="130" t="s">
        <v>137</v>
      </c>
      <c r="H68" s="131" t="str">
        <f t="shared" ref="H68:H91" si="4">VLOOKUP(G68,AB:AC,2,FALSE)</f>
        <v>Output Tax</v>
      </c>
      <c r="I68" s="130" t="s">
        <v>132</v>
      </c>
      <c r="J68" s="130" t="s">
        <v>133</v>
      </c>
      <c r="K68" s="130" t="s">
        <v>133</v>
      </c>
      <c r="L68" s="130" t="s">
        <v>132</v>
      </c>
      <c r="M68" s="130" t="s">
        <v>129</v>
      </c>
      <c r="N68" s="130" t="s">
        <v>132</v>
      </c>
      <c r="O68" s="130" t="s">
        <v>132</v>
      </c>
      <c r="P68" s="130" t="s">
        <v>133</v>
      </c>
      <c r="Q68" s="130" t="s">
        <v>315</v>
      </c>
      <c r="R68" s="130" t="s">
        <v>316</v>
      </c>
      <c r="S68" s="131" t="e">
        <f t="shared" ref="S68:S91" si="5">VLOOKUP(G68,Y:Z,2,FALSE)</f>
        <v>#N/A</v>
      </c>
      <c r="T68" s="130" t="s">
        <v>132</v>
      </c>
      <c r="U68" s="130" t="s">
        <v>317</v>
      </c>
      <c r="V68" s="130" t="s">
        <v>25</v>
      </c>
      <c r="W68" s="130" t="s">
        <v>132</v>
      </c>
      <c r="AB68" t="s">
        <v>252</v>
      </c>
      <c r="AC68" t="s">
        <v>378</v>
      </c>
    </row>
    <row r="69" spans="1:29" x14ac:dyDescent="0.2">
      <c r="A69" s="130" t="s">
        <v>125</v>
      </c>
      <c r="B69" s="130" t="s">
        <v>126</v>
      </c>
      <c r="C69" s="130" t="s">
        <v>335</v>
      </c>
      <c r="D69" s="131" t="s">
        <v>336</v>
      </c>
      <c r="E69" s="130" t="s">
        <v>379</v>
      </c>
      <c r="F69" s="130" t="s">
        <v>130</v>
      </c>
      <c r="G69" s="130" t="s">
        <v>132</v>
      </c>
      <c r="H69" s="131" t="e">
        <f t="shared" si="4"/>
        <v>#N/A</v>
      </c>
      <c r="I69" s="130" t="s">
        <v>38</v>
      </c>
      <c r="J69" s="130" t="s">
        <v>377</v>
      </c>
      <c r="K69" s="130" t="s">
        <v>377</v>
      </c>
      <c r="L69" s="130" t="s">
        <v>132</v>
      </c>
      <c r="M69" s="130" t="s">
        <v>133</v>
      </c>
      <c r="N69" s="130" t="s">
        <v>125</v>
      </c>
      <c r="O69" s="130" t="s">
        <v>132</v>
      </c>
      <c r="P69" s="130" t="s">
        <v>320</v>
      </c>
      <c r="Q69" s="130" t="s">
        <v>133</v>
      </c>
      <c r="R69" s="130" t="s">
        <v>132</v>
      </c>
      <c r="S69" s="131" t="e">
        <f t="shared" si="5"/>
        <v>#N/A</v>
      </c>
      <c r="T69" s="130" t="s">
        <v>132</v>
      </c>
      <c r="U69" s="130" t="s">
        <v>132</v>
      </c>
      <c r="V69" s="130" t="s">
        <v>132</v>
      </c>
      <c r="W69" s="130" t="s">
        <v>132</v>
      </c>
      <c r="AB69" t="s">
        <v>190</v>
      </c>
      <c r="AC69" t="s">
        <v>380</v>
      </c>
    </row>
    <row r="70" spans="1:29" x14ac:dyDescent="0.2">
      <c r="A70" s="130" t="s">
        <v>125</v>
      </c>
      <c r="B70" s="130" t="s">
        <v>126</v>
      </c>
      <c r="C70" s="130" t="s">
        <v>335</v>
      </c>
      <c r="D70" s="131" t="s">
        <v>336</v>
      </c>
      <c r="E70" s="130" t="s">
        <v>310</v>
      </c>
      <c r="F70" s="130" t="s">
        <v>130</v>
      </c>
      <c r="G70" s="130" t="s">
        <v>135</v>
      </c>
      <c r="H70" s="131" t="str">
        <f t="shared" si="4"/>
        <v>Cost</v>
      </c>
      <c r="I70" s="130" t="s">
        <v>132</v>
      </c>
      <c r="J70" s="130" t="s">
        <v>133</v>
      </c>
      <c r="K70" s="130" t="s">
        <v>133</v>
      </c>
      <c r="L70" s="130" t="s">
        <v>132</v>
      </c>
      <c r="M70" s="130" t="s">
        <v>320</v>
      </c>
      <c r="N70" s="130" t="s">
        <v>323</v>
      </c>
      <c r="O70" s="130" t="s">
        <v>25</v>
      </c>
      <c r="P70" s="130" t="s">
        <v>133</v>
      </c>
      <c r="Q70" s="130" t="s">
        <v>133</v>
      </c>
      <c r="R70" s="130" t="s">
        <v>132</v>
      </c>
      <c r="S70" s="131" t="str">
        <f t="shared" si="5"/>
        <v>VVCOG</v>
      </c>
      <c r="T70" s="130" t="s">
        <v>132</v>
      </c>
      <c r="U70" s="130" t="s">
        <v>132</v>
      </c>
      <c r="V70" s="130" t="s">
        <v>132</v>
      </c>
      <c r="W70" s="130" t="s">
        <v>132</v>
      </c>
      <c r="AB70" t="s">
        <v>298</v>
      </c>
      <c r="AC70" t="s">
        <v>381</v>
      </c>
    </row>
    <row r="71" spans="1:29" x14ac:dyDescent="0.2">
      <c r="A71" s="130" t="s">
        <v>125</v>
      </c>
      <c r="B71" s="130" t="s">
        <v>126</v>
      </c>
      <c r="C71" s="130" t="s">
        <v>335</v>
      </c>
      <c r="D71" s="131" t="s">
        <v>336</v>
      </c>
      <c r="E71" s="130" t="s">
        <v>319</v>
      </c>
      <c r="F71" s="130" t="s">
        <v>130</v>
      </c>
      <c r="G71" s="130" t="s">
        <v>132</v>
      </c>
      <c r="H71" s="131" t="e">
        <f t="shared" si="4"/>
        <v>#N/A</v>
      </c>
      <c r="I71" s="130" t="s">
        <v>327</v>
      </c>
      <c r="J71" s="130" t="s">
        <v>133</v>
      </c>
      <c r="K71" s="130" t="s">
        <v>133</v>
      </c>
      <c r="L71" s="130" t="s">
        <v>132</v>
      </c>
      <c r="M71" s="130" t="s">
        <v>133</v>
      </c>
      <c r="N71" s="130" t="s">
        <v>132</v>
      </c>
      <c r="O71" s="130" t="s">
        <v>132</v>
      </c>
      <c r="P71" s="130" t="s">
        <v>328</v>
      </c>
      <c r="Q71" s="130" t="s">
        <v>133</v>
      </c>
      <c r="R71" s="130" t="s">
        <v>132</v>
      </c>
      <c r="S71" s="131" t="e">
        <f t="shared" si="5"/>
        <v>#N/A</v>
      </c>
      <c r="T71" s="130" t="s">
        <v>132</v>
      </c>
      <c r="U71" s="130" t="s">
        <v>132</v>
      </c>
      <c r="V71" s="130" t="s">
        <v>132</v>
      </c>
      <c r="W71" s="130" t="s">
        <v>132</v>
      </c>
      <c r="AB71" t="s">
        <v>289</v>
      </c>
      <c r="AC71" t="s">
        <v>381</v>
      </c>
    </row>
    <row r="72" spans="1:29" hidden="1" x14ac:dyDescent="0.2">
      <c r="A72" s="130" t="s">
        <v>125</v>
      </c>
      <c r="B72" s="130" t="s">
        <v>126</v>
      </c>
      <c r="C72" s="130" t="s">
        <v>382</v>
      </c>
      <c r="D72" s="131" t="s">
        <v>383</v>
      </c>
      <c r="E72" s="130" t="s">
        <v>384</v>
      </c>
      <c r="F72" s="130" t="s">
        <v>130</v>
      </c>
      <c r="G72" s="130" t="s">
        <v>291</v>
      </c>
      <c r="H72" s="131" t="str">
        <f t="shared" si="4"/>
        <v>NGR: SFO * FX</v>
      </c>
      <c r="I72" s="130" t="s">
        <v>132</v>
      </c>
      <c r="J72" s="130" t="s">
        <v>133</v>
      </c>
      <c r="K72" s="130" t="s">
        <v>133</v>
      </c>
      <c r="L72" s="130" t="s">
        <v>132</v>
      </c>
      <c r="M72" s="130" t="s">
        <v>158</v>
      </c>
      <c r="N72" s="130" t="s">
        <v>132</v>
      </c>
      <c r="O72" s="130" t="s">
        <v>25</v>
      </c>
      <c r="P72" s="130" t="s">
        <v>133</v>
      </c>
      <c r="Q72" s="130" t="s">
        <v>133</v>
      </c>
      <c r="R72" s="130" t="s">
        <v>132</v>
      </c>
      <c r="S72" s="131" t="e">
        <f t="shared" si="5"/>
        <v>#N/A</v>
      </c>
      <c r="T72" s="130" t="s">
        <v>132</v>
      </c>
      <c r="U72" s="130" t="s">
        <v>132</v>
      </c>
      <c r="V72" s="130" t="s">
        <v>132</v>
      </c>
      <c r="W72" s="130" t="s">
        <v>132</v>
      </c>
      <c r="AB72" t="s">
        <v>385</v>
      </c>
      <c r="AC72" t="s">
        <v>386</v>
      </c>
    </row>
    <row r="73" spans="1:29" hidden="1" x14ac:dyDescent="0.2">
      <c r="A73" s="130" t="s">
        <v>125</v>
      </c>
      <c r="B73" s="130" t="s">
        <v>126</v>
      </c>
      <c r="C73" s="130" t="s">
        <v>382</v>
      </c>
      <c r="D73" s="131" t="s">
        <v>383</v>
      </c>
      <c r="E73" s="130" t="s">
        <v>129</v>
      </c>
      <c r="F73" s="130" t="s">
        <v>130</v>
      </c>
      <c r="G73" s="130" t="s">
        <v>295</v>
      </c>
      <c r="H73" s="131" t="str">
        <f t="shared" si="4"/>
        <v>NGR: ZIN0 * E * X</v>
      </c>
      <c r="I73" s="130" t="s">
        <v>132</v>
      </c>
      <c r="J73" s="130" t="s">
        <v>133</v>
      </c>
      <c r="K73" s="130" t="s">
        <v>133</v>
      </c>
      <c r="L73" s="130" t="s">
        <v>132</v>
      </c>
      <c r="M73" s="130" t="s">
        <v>158</v>
      </c>
      <c r="N73" s="130" t="s">
        <v>132</v>
      </c>
      <c r="O73" s="130" t="s">
        <v>25</v>
      </c>
      <c r="P73" s="130" t="s">
        <v>387</v>
      </c>
      <c r="Q73" s="130" t="s">
        <v>133</v>
      </c>
      <c r="R73" s="130" t="s">
        <v>132</v>
      </c>
      <c r="S73" s="131" t="e">
        <f t="shared" si="5"/>
        <v>#N/A</v>
      </c>
      <c r="T73" s="130" t="s">
        <v>132</v>
      </c>
      <c r="U73" s="130" t="s">
        <v>132</v>
      </c>
      <c r="V73" s="130" t="s">
        <v>25</v>
      </c>
      <c r="W73" s="130" t="s">
        <v>132</v>
      </c>
      <c r="AB73" t="s">
        <v>303</v>
      </c>
      <c r="AC73" t="s">
        <v>388</v>
      </c>
    </row>
    <row r="74" spans="1:29" hidden="1" x14ac:dyDescent="0.2">
      <c r="A74" s="130" t="s">
        <v>125</v>
      </c>
      <c r="B74" s="130" t="s">
        <v>126</v>
      </c>
      <c r="C74" s="130" t="s">
        <v>382</v>
      </c>
      <c r="D74" s="131" t="s">
        <v>383</v>
      </c>
      <c r="E74" s="130" t="s">
        <v>139</v>
      </c>
      <c r="F74" s="130" t="s">
        <v>130</v>
      </c>
      <c r="G74" s="130" t="s">
        <v>300</v>
      </c>
      <c r="H74" s="131" t="str">
        <f t="shared" si="4"/>
        <v>D*(.5+.5*PIn-1/PI43)</v>
      </c>
      <c r="I74" s="130" t="s">
        <v>132</v>
      </c>
      <c r="J74" s="130" t="s">
        <v>133</v>
      </c>
      <c r="K74" s="130" t="s">
        <v>133</v>
      </c>
      <c r="L74" s="130" t="s">
        <v>132</v>
      </c>
      <c r="M74" s="130" t="s">
        <v>158</v>
      </c>
      <c r="N74" s="130" t="s">
        <v>132</v>
      </c>
      <c r="O74" s="130" t="s">
        <v>25</v>
      </c>
      <c r="P74" s="130" t="s">
        <v>389</v>
      </c>
      <c r="Q74" s="130" t="s">
        <v>133</v>
      </c>
      <c r="R74" s="130" t="s">
        <v>132</v>
      </c>
      <c r="S74" s="131" t="e">
        <f t="shared" si="5"/>
        <v>#N/A</v>
      </c>
      <c r="T74" s="130" t="s">
        <v>132</v>
      </c>
      <c r="U74" s="130" t="s">
        <v>132</v>
      </c>
      <c r="V74" s="130" t="s">
        <v>25</v>
      </c>
      <c r="W74" s="130" t="s">
        <v>132</v>
      </c>
      <c r="AB74" t="s">
        <v>332</v>
      </c>
      <c r="AC74" t="s">
        <v>390</v>
      </c>
    </row>
    <row r="75" spans="1:29" hidden="1" x14ac:dyDescent="0.2">
      <c r="A75" s="130" t="s">
        <v>125</v>
      </c>
      <c r="B75" s="130" t="s">
        <v>126</v>
      </c>
      <c r="C75" s="130" t="s">
        <v>382</v>
      </c>
      <c r="D75" s="131" t="s">
        <v>383</v>
      </c>
      <c r="E75" s="130" t="s">
        <v>144</v>
      </c>
      <c r="F75" s="130" t="s">
        <v>130</v>
      </c>
      <c r="G75" s="130" t="s">
        <v>244</v>
      </c>
      <c r="H75" s="131" t="str">
        <f t="shared" si="4"/>
        <v>NGR: ZIN1 + ZIN2</v>
      </c>
      <c r="I75" s="130" t="s">
        <v>132</v>
      </c>
      <c r="J75" s="130" t="s">
        <v>133</v>
      </c>
      <c r="K75" s="130" t="s">
        <v>133</v>
      </c>
      <c r="L75" s="130" t="s">
        <v>132</v>
      </c>
      <c r="M75" s="130" t="s">
        <v>158</v>
      </c>
      <c r="N75" s="130" t="s">
        <v>132</v>
      </c>
      <c r="O75" s="130" t="s">
        <v>132</v>
      </c>
      <c r="P75" s="130" t="s">
        <v>391</v>
      </c>
      <c r="Q75" s="130" t="s">
        <v>133</v>
      </c>
      <c r="R75" s="130" t="s">
        <v>161</v>
      </c>
      <c r="S75" s="131" t="str">
        <f t="shared" si="5"/>
        <v>ERLOS</v>
      </c>
      <c r="T75" s="130" t="s">
        <v>132</v>
      </c>
      <c r="U75" s="130" t="s">
        <v>132</v>
      </c>
      <c r="V75" s="130" t="s">
        <v>25</v>
      </c>
      <c r="W75" s="130" t="s">
        <v>132</v>
      </c>
    </row>
    <row r="76" spans="1:29" hidden="1" x14ac:dyDescent="0.2">
      <c r="A76" s="130" t="s">
        <v>125</v>
      </c>
      <c r="B76" s="130" t="s">
        <v>126</v>
      </c>
      <c r="C76" s="130" t="s">
        <v>382</v>
      </c>
      <c r="D76" s="131" t="s">
        <v>383</v>
      </c>
      <c r="E76" s="130" t="s">
        <v>150</v>
      </c>
      <c r="F76" s="130" t="s">
        <v>130</v>
      </c>
      <c r="G76" s="130" t="s">
        <v>230</v>
      </c>
      <c r="H76" s="131" t="str">
        <f t="shared" si="4"/>
        <v>NGR: Fixed Price</v>
      </c>
      <c r="I76" s="130" t="s">
        <v>132</v>
      </c>
      <c r="J76" s="130" t="s">
        <v>133</v>
      </c>
      <c r="K76" s="130" t="s">
        <v>133</v>
      </c>
      <c r="L76" s="130" t="s">
        <v>132</v>
      </c>
      <c r="M76" s="130" t="s">
        <v>158</v>
      </c>
      <c r="N76" s="130" t="s">
        <v>132</v>
      </c>
      <c r="O76" s="130" t="s">
        <v>132</v>
      </c>
      <c r="P76" s="130" t="s">
        <v>392</v>
      </c>
      <c r="Q76" s="130" t="s">
        <v>133</v>
      </c>
      <c r="R76" s="130" t="s">
        <v>161</v>
      </c>
      <c r="S76" s="131" t="str">
        <f t="shared" si="5"/>
        <v>ERLOS</v>
      </c>
      <c r="T76" s="130" t="s">
        <v>132</v>
      </c>
      <c r="U76" s="130" t="s">
        <v>132</v>
      </c>
      <c r="V76" s="130" t="s">
        <v>132</v>
      </c>
      <c r="W76" s="130" t="s">
        <v>132</v>
      </c>
    </row>
    <row r="77" spans="1:29" hidden="1" x14ac:dyDescent="0.2">
      <c r="A77" s="130" t="s">
        <v>125</v>
      </c>
      <c r="B77" s="130" t="s">
        <v>126</v>
      </c>
      <c r="C77" s="130" t="s">
        <v>382</v>
      </c>
      <c r="D77" s="131" t="s">
        <v>383</v>
      </c>
      <c r="E77" s="130" t="s">
        <v>202</v>
      </c>
      <c r="F77" s="130" t="s">
        <v>130</v>
      </c>
      <c r="G77" s="130" t="s">
        <v>132</v>
      </c>
      <c r="H77" s="131" t="e">
        <f t="shared" si="4"/>
        <v>#N/A</v>
      </c>
      <c r="I77" s="130" t="s">
        <v>393</v>
      </c>
      <c r="J77" s="130" t="s">
        <v>144</v>
      </c>
      <c r="K77" s="130" t="s">
        <v>150</v>
      </c>
      <c r="L77" s="130" t="s">
        <v>132</v>
      </c>
      <c r="M77" s="130" t="s">
        <v>133</v>
      </c>
      <c r="N77" s="130" t="s">
        <v>394</v>
      </c>
      <c r="O77" s="130" t="s">
        <v>132</v>
      </c>
      <c r="P77" s="130" t="s">
        <v>158</v>
      </c>
      <c r="Q77" s="130" t="s">
        <v>133</v>
      </c>
      <c r="R77" s="130" t="s">
        <v>132</v>
      </c>
      <c r="S77" s="131" t="e">
        <f t="shared" si="5"/>
        <v>#N/A</v>
      </c>
      <c r="T77" s="130" t="s">
        <v>132</v>
      </c>
      <c r="U77" s="130" t="s">
        <v>132</v>
      </c>
      <c r="V77" s="130" t="s">
        <v>132</v>
      </c>
      <c r="W77" s="130" t="s">
        <v>132</v>
      </c>
    </row>
    <row r="78" spans="1:29" hidden="1" x14ac:dyDescent="0.2">
      <c r="A78" s="130" t="s">
        <v>125</v>
      </c>
      <c r="B78" s="130" t="s">
        <v>126</v>
      </c>
      <c r="C78" s="130" t="s">
        <v>382</v>
      </c>
      <c r="D78" s="131" t="s">
        <v>383</v>
      </c>
      <c r="E78" s="130" t="s">
        <v>206</v>
      </c>
      <c r="F78" s="130" t="s">
        <v>130</v>
      </c>
      <c r="G78" s="130" t="s">
        <v>279</v>
      </c>
      <c r="H78" s="131" t="str">
        <f t="shared" si="4"/>
        <v>NGR: P/L Cont. Charg</v>
      </c>
      <c r="I78" s="130" t="s">
        <v>132</v>
      </c>
      <c r="J78" s="130" t="s">
        <v>133</v>
      </c>
      <c r="K78" s="130" t="s">
        <v>133</v>
      </c>
      <c r="L78" s="130" t="s">
        <v>132</v>
      </c>
      <c r="M78" s="130" t="s">
        <v>158</v>
      </c>
      <c r="N78" s="130" t="s">
        <v>132</v>
      </c>
      <c r="O78" s="130" t="s">
        <v>132</v>
      </c>
      <c r="P78" s="130" t="s">
        <v>133</v>
      </c>
      <c r="Q78" s="130" t="s">
        <v>133</v>
      </c>
      <c r="R78" s="130" t="s">
        <v>161</v>
      </c>
      <c r="S78" s="131" t="str">
        <f t="shared" si="5"/>
        <v>VVDS1</v>
      </c>
      <c r="T78" s="130" t="s">
        <v>132</v>
      </c>
      <c r="U78" s="130" t="s">
        <v>132</v>
      </c>
      <c r="V78" s="130" t="s">
        <v>132</v>
      </c>
      <c r="W78" s="130" t="s">
        <v>132</v>
      </c>
    </row>
    <row r="79" spans="1:29" hidden="1" x14ac:dyDescent="0.2">
      <c r="A79" s="130" t="s">
        <v>125</v>
      </c>
      <c r="B79" s="130" t="s">
        <v>126</v>
      </c>
      <c r="C79" s="130" t="s">
        <v>382</v>
      </c>
      <c r="D79" s="131" t="s">
        <v>383</v>
      </c>
      <c r="E79" s="130" t="s">
        <v>214</v>
      </c>
      <c r="F79" s="130" t="s">
        <v>130</v>
      </c>
      <c r="G79" s="130" t="s">
        <v>132</v>
      </c>
      <c r="H79" s="131" t="e">
        <f t="shared" si="4"/>
        <v>#N/A</v>
      </c>
      <c r="I79" s="130" t="s">
        <v>395</v>
      </c>
      <c r="J79" s="130" t="s">
        <v>133</v>
      </c>
      <c r="K79" s="130" t="s">
        <v>133</v>
      </c>
      <c r="L79" s="130" t="s">
        <v>132</v>
      </c>
      <c r="M79" s="130" t="s">
        <v>133</v>
      </c>
      <c r="N79" s="130" t="s">
        <v>132</v>
      </c>
      <c r="O79" s="130" t="s">
        <v>132</v>
      </c>
      <c r="P79" s="130" t="s">
        <v>133</v>
      </c>
      <c r="Q79" s="130" t="s">
        <v>133</v>
      </c>
      <c r="R79" s="130" t="s">
        <v>132</v>
      </c>
      <c r="S79" s="131" t="e">
        <f t="shared" si="5"/>
        <v>#N/A</v>
      </c>
      <c r="T79" s="130" t="s">
        <v>132</v>
      </c>
      <c r="U79" s="130" t="s">
        <v>132</v>
      </c>
      <c r="V79" s="130" t="s">
        <v>132</v>
      </c>
      <c r="W79" s="130" t="s">
        <v>132</v>
      </c>
    </row>
    <row r="80" spans="1:29" hidden="1" x14ac:dyDescent="0.2">
      <c r="A80" s="130" t="s">
        <v>125</v>
      </c>
      <c r="B80" s="130" t="s">
        <v>126</v>
      </c>
      <c r="C80" s="130" t="s">
        <v>382</v>
      </c>
      <c r="D80" s="131" t="s">
        <v>383</v>
      </c>
      <c r="E80" s="130" t="s">
        <v>218</v>
      </c>
      <c r="F80" s="130" t="s">
        <v>130</v>
      </c>
      <c r="G80" s="130" t="s">
        <v>162</v>
      </c>
      <c r="H80" s="131" t="str">
        <f t="shared" si="4"/>
        <v>GAS:Discount</v>
      </c>
      <c r="I80" s="130" t="s">
        <v>132</v>
      </c>
      <c r="J80" s="130" t="s">
        <v>133</v>
      </c>
      <c r="K80" s="130" t="s">
        <v>133</v>
      </c>
      <c r="L80" s="130" t="s">
        <v>132</v>
      </c>
      <c r="M80" s="130" t="s">
        <v>158</v>
      </c>
      <c r="N80" s="130" t="s">
        <v>132</v>
      </c>
      <c r="O80" s="130" t="s">
        <v>132</v>
      </c>
      <c r="P80" s="130" t="s">
        <v>133</v>
      </c>
      <c r="Q80" s="130" t="s">
        <v>133</v>
      </c>
      <c r="R80" s="130" t="s">
        <v>161</v>
      </c>
      <c r="S80" s="131" t="str">
        <f t="shared" si="5"/>
        <v>VVDD2</v>
      </c>
      <c r="T80" s="130" t="s">
        <v>132</v>
      </c>
      <c r="U80" s="130" t="s">
        <v>132</v>
      </c>
      <c r="V80" s="130" t="s">
        <v>132</v>
      </c>
      <c r="W80" s="130" t="s">
        <v>132</v>
      </c>
    </row>
    <row r="81" spans="1:23" hidden="1" x14ac:dyDescent="0.2">
      <c r="A81" s="130" t="s">
        <v>125</v>
      </c>
      <c r="B81" s="130" t="s">
        <v>126</v>
      </c>
      <c r="C81" s="130" t="s">
        <v>382</v>
      </c>
      <c r="D81" s="131" t="s">
        <v>383</v>
      </c>
      <c r="E81" s="130" t="s">
        <v>241</v>
      </c>
      <c r="F81" s="130" t="s">
        <v>130</v>
      </c>
      <c r="G81" s="130" t="s">
        <v>169</v>
      </c>
      <c r="H81" s="131" t="str">
        <f t="shared" si="4"/>
        <v>NGR: Discount 2 Acc.</v>
      </c>
      <c r="I81" s="130" t="s">
        <v>132</v>
      </c>
      <c r="J81" s="130" t="s">
        <v>133</v>
      </c>
      <c r="K81" s="130" t="s">
        <v>133</v>
      </c>
      <c r="L81" s="130" t="s">
        <v>132</v>
      </c>
      <c r="M81" s="130" t="s">
        <v>158</v>
      </c>
      <c r="N81" s="130" t="s">
        <v>132</v>
      </c>
      <c r="O81" s="130" t="s">
        <v>132</v>
      </c>
      <c r="P81" s="130" t="s">
        <v>133</v>
      </c>
      <c r="Q81" s="130" t="s">
        <v>133</v>
      </c>
      <c r="R81" s="130" t="s">
        <v>161</v>
      </c>
      <c r="S81" s="131" t="str">
        <f t="shared" si="5"/>
        <v>VVDD2</v>
      </c>
      <c r="T81" s="130" t="s">
        <v>132</v>
      </c>
      <c r="U81" s="130" t="s">
        <v>132</v>
      </c>
      <c r="V81" s="130" t="s">
        <v>132</v>
      </c>
      <c r="W81" s="130" t="s">
        <v>132</v>
      </c>
    </row>
    <row r="82" spans="1:23" hidden="1" x14ac:dyDescent="0.2">
      <c r="A82" s="130" t="s">
        <v>125</v>
      </c>
      <c r="B82" s="130" t="s">
        <v>126</v>
      </c>
      <c r="C82" s="130" t="s">
        <v>382</v>
      </c>
      <c r="D82" s="131" t="s">
        <v>383</v>
      </c>
      <c r="E82" s="130" t="s">
        <v>246</v>
      </c>
      <c r="F82" s="130" t="s">
        <v>130</v>
      </c>
      <c r="G82" s="130" t="s">
        <v>175</v>
      </c>
      <c r="H82" s="131" t="str">
        <f t="shared" si="4"/>
        <v>NGR: Discount 4 Acc.</v>
      </c>
      <c r="I82" s="130" t="s">
        <v>132</v>
      </c>
      <c r="J82" s="130" t="s">
        <v>133</v>
      </c>
      <c r="K82" s="130" t="s">
        <v>133</v>
      </c>
      <c r="L82" s="130" t="s">
        <v>132</v>
      </c>
      <c r="M82" s="130" t="s">
        <v>158</v>
      </c>
      <c r="N82" s="130" t="s">
        <v>132</v>
      </c>
      <c r="O82" s="130" t="s">
        <v>132</v>
      </c>
      <c r="P82" s="130" t="s">
        <v>396</v>
      </c>
      <c r="Q82" s="130" t="s">
        <v>133</v>
      </c>
      <c r="R82" s="130" t="s">
        <v>161</v>
      </c>
      <c r="S82" s="131" t="str">
        <f t="shared" si="5"/>
        <v>VVDD2</v>
      </c>
      <c r="T82" s="130" t="s">
        <v>132</v>
      </c>
      <c r="U82" s="130" t="s">
        <v>132</v>
      </c>
      <c r="V82" s="130" t="s">
        <v>132</v>
      </c>
      <c r="W82" s="130" t="s">
        <v>132</v>
      </c>
    </row>
    <row r="83" spans="1:23" hidden="1" x14ac:dyDescent="0.2">
      <c r="A83" s="130" t="s">
        <v>125</v>
      </c>
      <c r="B83" s="130" t="s">
        <v>126</v>
      </c>
      <c r="C83" s="130" t="s">
        <v>382</v>
      </c>
      <c r="D83" s="131" t="s">
        <v>383</v>
      </c>
      <c r="E83" s="130" t="s">
        <v>377</v>
      </c>
      <c r="F83" s="130" t="s">
        <v>130</v>
      </c>
      <c r="G83" s="130" t="s">
        <v>132</v>
      </c>
      <c r="H83" s="131" t="e">
        <f t="shared" si="4"/>
        <v>#N/A</v>
      </c>
      <c r="I83" s="130" t="s">
        <v>397</v>
      </c>
      <c r="J83" s="130" t="s">
        <v>398</v>
      </c>
      <c r="K83" s="130" t="s">
        <v>399</v>
      </c>
      <c r="L83" s="130" t="s">
        <v>132</v>
      </c>
      <c r="M83" s="130" t="s">
        <v>133</v>
      </c>
      <c r="N83" s="130" t="s">
        <v>132</v>
      </c>
      <c r="O83" s="130" t="s">
        <v>132</v>
      </c>
      <c r="P83" s="130" t="s">
        <v>133</v>
      </c>
      <c r="Q83" s="130" t="s">
        <v>133</v>
      </c>
      <c r="R83" s="130" t="s">
        <v>132</v>
      </c>
      <c r="S83" s="131" t="e">
        <f t="shared" si="5"/>
        <v>#N/A</v>
      </c>
      <c r="T83" s="130" t="s">
        <v>132</v>
      </c>
      <c r="U83" s="130" t="s">
        <v>132</v>
      </c>
      <c r="V83" s="130" t="s">
        <v>132</v>
      </c>
      <c r="W83" s="130" t="s">
        <v>132</v>
      </c>
    </row>
    <row r="84" spans="1:23" hidden="1" x14ac:dyDescent="0.2">
      <c r="A84" s="130" t="s">
        <v>125</v>
      </c>
      <c r="B84" s="130" t="s">
        <v>126</v>
      </c>
      <c r="C84" s="130" t="s">
        <v>382</v>
      </c>
      <c r="D84" s="131" t="s">
        <v>383</v>
      </c>
      <c r="E84" s="130" t="s">
        <v>256</v>
      </c>
      <c r="F84" s="130" t="s">
        <v>130</v>
      </c>
      <c r="G84" s="130" t="s">
        <v>294</v>
      </c>
      <c r="H84" s="131" t="str">
        <f t="shared" si="4"/>
        <v>GAS:Surcharge</v>
      </c>
      <c r="I84" s="130" t="s">
        <v>132</v>
      </c>
      <c r="J84" s="130" t="s">
        <v>133</v>
      </c>
      <c r="K84" s="130" t="s">
        <v>133</v>
      </c>
      <c r="L84" s="130" t="s">
        <v>132</v>
      </c>
      <c r="M84" s="130" t="s">
        <v>158</v>
      </c>
      <c r="N84" s="130" t="s">
        <v>132</v>
      </c>
      <c r="O84" s="130" t="s">
        <v>132</v>
      </c>
      <c r="P84" s="130" t="s">
        <v>133</v>
      </c>
      <c r="Q84" s="130" t="s">
        <v>133</v>
      </c>
      <c r="R84" s="130" t="s">
        <v>161</v>
      </c>
      <c r="S84" s="131" t="str">
        <f t="shared" si="5"/>
        <v>VVDS1</v>
      </c>
      <c r="T84" s="130" t="s">
        <v>132</v>
      </c>
      <c r="U84" s="130" t="s">
        <v>132</v>
      </c>
      <c r="V84" s="130" t="s">
        <v>132</v>
      </c>
      <c r="W84" s="130" t="s">
        <v>132</v>
      </c>
    </row>
    <row r="85" spans="1:23" hidden="1" x14ac:dyDescent="0.2">
      <c r="A85" s="130" t="s">
        <v>125</v>
      </c>
      <c r="B85" s="130" t="s">
        <v>126</v>
      </c>
      <c r="C85" s="130" t="s">
        <v>382</v>
      </c>
      <c r="D85" s="131" t="s">
        <v>383</v>
      </c>
      <c r="E85" s="130" t="s">
        <v>288</v>
      </c>
      <c r="F85" s="130" t="s">
        <v>130</v>
      </c>
      <c r="G85" s="130" t="s">
        <v>299</v>
      </c>
      <c r="H85" s="131" t="str">
        <f t="shared" si="4"/>
        <v>GAS:Surcharge 2</v>
      </c>
      <c r="I85" s="130" t="s">
        <v>132</v>
      </c>
      <c r="J85" s="130" t="s">
        <v>133</v>
      </c>
      <c r="K85" s="130" t="s">
        <v>133</v>
      </c>
      <c r="L85" s="130" t="s">
        <v>132</v>
      </c>
      <c r="M85" s="130" t="s">
        <v>158</v>
      </c>
      <c r="N85" s="130" t="s">
        <v>132</v>
      </c>
      <c r="O85" s="130" t="s">
        <v>132</v>
      </c>
      <c r="P85" s="130" t="s">
        <v>133</v>
      </c>
      <c r="Q85" s="130" t="s">
        <v>133</v>
      </c>
      <c r="R85" s="130" t="s">
        <v>161</v>
      </c>
      <c r="S85" s="131" t="str">
        <f t="shared" si="5"/>
        <v>VVDS1</v>
      </c>
      <c r="T85" s="130" t="s">
        <v>132</v>
      </c>
      <c r="U85" s="130" t="s">
        <v>132</v>
      </c>
      <c r="V85" s="130" t="s">
        <v>132</v>
      </c>
      <c r="W85" s="130" t="s">
        <v>132</v>
      </c>
    </row>
    <row r="86" spans="1:23" hidden="1" x14ac:dyDescent="0.2">
      <c r="A86" s="130" t="s">
        <v>125</v>
      </c>
      <c r="B86" s="130" t="s">
        <v>126</v>
      </c>
      <c r="C86" s="130" t="s">
        <v>382</v>
      </c>
      <c r="D86" s="131" t="s">
        <v>383</v>
      </c>
      <c r="E86" s="130" t="s">
        <v>379</v>
      </c>
      <c r="F86" s="130" t="s">
        <v>130</v>
      </c>
      <c r="G86" s="130" t="s">
        <v>132</v>
      </c>
      <c r="H86" s="131" t="e">
        <f t="shared" si="4"/>
        <v>#N/A</v>
      </c>
      <c r="I86" s="130" t="s">
        <v>400</v>
      </c>
      <c r="J86" s="130" t="s">
        <v>401</v>
      </c>
      <c r="K86" s="130" t="s">
        <v>402</v>
      </c>
      <c r="L86" s="130" t="s">
        <v>132</v>
      </c>
      <c r="M86" s="130" t="s">
        <v>133</v>
      </c>
      <c r="N86" s="130" t="s">
        <v>132</v>
      </c>
      <c r="O86" s="130" t="s">
        <v>132</v>
      </c>
      <c r="P86" s="130" t="s">
        <v>133</v>
      </c>
      <c r="Q86" s="130" t="s">
        <v>133</v>
      </c>
      <c r="R86" s="130" t="s">
        <v>132</v>
      </c>
      <c r="S86" s="131" t="e">
        <f t="shared" si="5"/>
        <v>#N/A</v>
      </c>
      <c r="T86" s="130" t="s">
        <v>132</v>
      </c>
      <c r="U86" s="130" t="s">
        <v>132</v>
      </c>
      <c r="V86" s="130" t="s">
        <v>132</v>
      </c>
      <c r="W86" s="130" t="s">
        <v>132</v>
      </c>
    </row>
    <row r="87" spans="1:23" hidden="1" x14ac:dyDescent="0.2">
      <c r="A87" s="130" t="s">
        <v>125</v>
      </c>
      <c r="B87" s="130" t="s">
        <v>126</v>
      </c>
      <c r="C87" s="130" t="s">
        <v>382</v>
      </c>
      <c r="D87" s="131" t="s">
        <v>383</v>
      </c>
      <c r="E87" s="130" t="s">
        <v>403</v>
      </c>
      <c r="F87" s="130" t="s">
        <v>130</v>
      </c>
      <c r="G87" s="130" t="s">
        <v>345</v>
      </c>
      <c r="H87" s="131" t="str">
        <f t="shared" si="4"/>
        <v>GAS: Net Price</v>
      </c>
      <c r="I87" s="130" t="s">
        <v>132</v>
      </c>
      <c r="J87" s="130" t="s">
        <v>133</v>
      </c>
      <c r="K87" s="130" t="s">
        <v>133</v>
      </c>
      <c r="L87" s="130" t="s">
        <v>132</v>
      </c>
      <c r="M87" s="130" t="s">
        <v>158</v>
      </c>
      <c r="N87" s="130" t="s">
        <v>278</v>
      </c>
      <c r="O87" s="130" t="s">
        <v>25</v>
      </c>
      <c r="P87" s="130" t="s">
        <v>404</v>
      </c>
      <c r="Q87" s="130" t="s">
        <v>133</v>
      </c>
      <c r="R87" s="130" t="s">
        <v>132</v>
      </c>
      <c r="S87" s="131" t="e">
        <f t="shared" si="5"/>
        <v>#N/A</v>
      </c>
      <c r="T87" s="130" t="s">
        <v>132</v>
      </c>
      <c r="U87" s="130" t="s">
        <v>25</v>
      </c>
      <c r="V87" s="130" t="s">
        <v>132</v>
      </c>
      <c r="W87" s="130" t="s">
        <v>132</v>
      </c>
    </row>
    <row r="88" spans="1:23" hidden="1" x14ac:dyDescent="0.2">
      <c r="A88" s="130" t="s">
        <v>125</v>
      </c>
      <c r="B88" s="130" t="s">
        <v>126</v>
      </c>
      <c r="C88" s="130" t="s">
        <v>382</v>
      </c>
      <c r="D88" s="131" t="s">
        <v>383</v>
      </c>
      <c r="E88" s="130" t="s">
        <v>405</v>
      </c>
      <c r="F88" s="130" t="s">
        <v>130</v>
      </c>
      <c r="G88" s="130" t="s">
        <v>132</v>
      </c>
      <c r="H88" s="131" t="e">
        <f t="shared" si="4"/>
        <v>#N/A</v>
      </c>
      <c r="I88" s="130" t="s">
        <v>311</v>
      </c>
      <c r="J88" s="130" t="s">
        <v>403</v>
      </c>
      <c r="K88" s="130" t="s">
        <v>403</v>
      </c>
      <c r="L88" s="130" t="s">
        <v>132</v>
      </c>
      <c r="M88" s="130" t="s">
        <v>133</v>
      </c>
      <c r="N88" s="130" t="s">
        <v>132</v>
      </c>
      <c r="O88" s="130" t="s">
        <v>132</v>
      </c>
      <c r="P88" s="130" t="s">
        <v>158</v>
      </c>
      <c r="Q88" s="130" t="s">
        <v>133</v>
      </c>
      <c r="R88" s="130" t="s">
        <v>132</v>
      </c>
      <c r="S88" s="131" t="e">
        <f t="shared" si="5"/>
        <v>#N/A</v>
      </c>
      <c r="T88" s="130" t="s">
        <v>132</v>
      </c>
      <c r="U88" s="130" t="s">
        <v>132</v>
      </c>
      <c r="V88" s="130" t="s">
        <v>132</v>
      </c>
      <c r="W88" s="130" t="s">
        <v>132</v>
      </c>
    </row>
    <row r="89" spans="1:23" hidden="1" x14ac:dyDescent="0.2">
      <c r="A89" s="130" t="s">
        <v>125</v>
      </c>
      <c r="B89" s="130" t="s">
        <v>126</v>
      </c>
      <c r="C89" s="130" t="s">
        <v>382</v>
      </c>
      <c r="D89" s="131" t="s">
        <v>383</v>
      </c>
      <c r="E89" s="130" t="s">
        <v>406</v>
      </c>
      <c r="F89" s="130" t="s">
        <v>130</v>
      </c>
      <c r="G89" s="130" t="s">
        <v>212</v>
      </c>
      <c r="H89" s="131" t="str">
        <f t="shared" si="4"/>
        <v>NGR:Ind DC Constant</v>
      </c>
      <c r="I89" s="130" t="s">
        <v>132</v>
      </c>
      <c r="J89" s="130" t="s">
        <v>133</v>
      </c>
      <c r="K89" s="130" t="s">
        <v>133</v>
      </c>
      <c r="L89" s="130" t="s">
        <v>132</v>
      </c>
      <c r="M89" s="130" t="s">
        <v>158</v>
      </c>
      <c r="N89" s="130" t="s">
        <v>132</v>
      </c>
      <c r="O89" s="130" t="s">
        <v>25</v>
      </c>
      <c r="P89" s="130" t="s">
        <v>133</v>
      </c>
      <c r="Q89" s="130" t="s">
        <v>133</v>
      </c>
      <c r="R89" s="130" t="s">
        <v>132</v>
      </c>
      <c r="S89" s="131" t="e">
        <f t="shared" si="5"/>
        <v>#N/A</v>
      </c>
      <c r="T89" s="130" t="s">
        <v>132</v>
      </c>
      <c r="U89" s="130" t="s">
        <v>132</v>
      </c>
      <c r="V89" s="130" t="s">
        <v>132</v>
      </c>
      <c r="W89" s="130" t="s">
        <v>132</v>
      </c>
    </row>
    <row r="90" spans="1:23" hidden="1" x14ac:dyDescent="0.2">
      <c r="A90" s="130" t="s">
        <v>125</v>
      </c>
      <c r="B90" s="130" t="s">
        <v>126</v>
      </c>
      <c r="C90" s="130" t="s">
        <v>382</v>
      </c>
      <c r="D90" s="131" t="s">
        <v>383</v>
      </c>
      <c r="E90" s="130" t="s">
        <v>407</v>
      </c>
      <c r="F90" s="130" t="s">
        <v>130</v>
      </c>
      <c r="G90" s="130" t="s">
        <v>239</v>
      </c>
      <c r="H90" s="131" t="str">
        <f t="shared" si="4"/>
        <v>NGR:Demand Charge</v>
      </c>
      <c r="I90" s="130" t="s">
        <v>132</v>
      </c>
      <c r="J90" s="130" t="s">
        <v>133</v>
      </c>
      <c r="K90" s="130" t="s">
        <v>133</v>
      </c>
      <c r="L90" s="130" t="s">
        <v>132</v>
      </c>
      <c r="M90" s="130" t="s">
        <v>158</v>
      </c>
      <c r="N90" s="130" t="s">
        <v>132</v>
      </c>
      <c r="O90" s="130" t="s">
        <v>132</v>
      </c>
      <c r="P90" s="130" t="s">
        <v>408</v>
      </c>
      <c r="Q90" s="130" t="s">
        <v>133</v>
      </c>
      <c r="R90" s="130" t="s">
        <v>161</v>
      </c>
      <c r="S90" s="131" t="str">
        <f t="shared" si="5"/>
        <v>ERLOS</v>
      </c>
      <c r="T90" s="130" t="s">
        <v>132</v>
      </c>
      <c r="U90" s="130" t="s">
        <v>25</v>
      </c>
      <c r="V90" s="130" t="s">
        <v>132</v>
      </c>
      <c r="W90" s="130" t="s">
        <v>132</v>
      </c>
    </row>
    <row r="91" spans="1:23" hidden="1" x14ac:dyDescent="0.2">
      <c r="A91" s="130" t="s">
        <v>125</v>
      </c>
      <c r="B91" s="130" t="s">
        <v>126</v>
      </c>
      <c r="C91" s="130" t="s">
        <v>382</v>
      </c>
      <c r="D91" s="131" t="s">
        <v>383</v>
      </c>
      <c r="E91" s="130" t="s">
        <v>409</v>
      </c>
      <c r="F91" s="130" t="s">
        <v>130</v>
      </c>
      <c r="G91" s="130" t="s">
        <v>132</v>
      </c>
      <c r="H91" s="131" t="e">
        <f t="shared" si="4"/>
        <v>#N/A</v>
      </c>
      <c r="I91" s="130" t="s">
        <v>410</v>
      </c>
      <c r="J91" s="130" t="s">
        <v>133</v>
      </c>
      <c r="K91" s="130" t="s">
        <v>133</v>
      </c>
      <c r="L91" s="130" t="s">
        <v>132</v>
      </c>
      <c r="M91" s="130" t="s">
        <v>133</v>
      </c>
      <c r="N91" s="130" t="s">
        <v>411</v>
      </c>
      <c r="O91" s="130" t="s">
        <v>132</v>
      </c>
      <c r="P91" s="130" t="s">
        <v>158</v>
      </c>
      <c r="Q91" s="130" t="s">
        <v>133</v>
      </c>
      <c r="R91" s="130" t="s">
        <v>132</v>
      </c>
      <c r="S91" s="131" t="e">
        <f t="shared" si="5"/>
        <v>#N/A</v>
      </c>
      <c r="T91" s="130" t="s">
        <v>132</v>
      </c>
      <c r="U91" s="130" t="s">
        <v>132</v>
      </c>
      <c r="V91" s="130" t="s">
        <v>132</v>
      </c>
      <c r="W91" s="130" t="s">
        <v>132</v>
      </c>
    </row>
    <row r="92" spans="1:23" s="133" customFormat="1" hidden="1" x14ac:dyDescent="0.2">
      <c r="A92" s="132" t="s">
        <v>125</v>
      </c>
      <c r="B92" s="132" t="s">
        <v>126</v>
      </c>
      <c r="C92" s="132" t="s">
        <v>382</v>
      </c>
      <c r="D92" s="133" t="s">
        <v>383</v>
      </c>
      <c r="E92" s="132" t="s">
        <v>306</v>
      </c>
      <c r="F92" s="132"/>
      <c r="G92" s="132" t="s">
        <v>307</v>
      </c>
      <c r="H92" s="133" t="s">
        <v>308</v>
      </c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3" t="s">
        <v>309</v>
      </c>
      <c r="T92" s="132"/>
      <c r="U92" s="132"/>
      <c r="V92" s="132"/>
      <c r="W92" s="132"/>
    </row>
    <row r="93" spans="1:23" hidden="1" x14ac:dyDescent="0.2">
      <c r="A93" s="130" t="s">
        <v>125</v>
      </c>
      <c r="B93" s="130" t="s">
        <v>126</v>
      </c>
      <c r="C93" s="130" t="s">
        <v>382</v>
      </c>
      <c r="D93" s="131" t="s">
        <v>383</v>
      </c>
      <c r="E93" s="130" t="s">
        <v>412</v>
      </c>
      <c r="F93" s="130" t="s">
        <v>130</v>
      </c>
      <c r="G93" s="130" t="s">
        <v>137</v>
      </c>
      <c r="H93" s="131" t="str">
        <f t="shared" ref="H93:H113" si="6">VLOOKUP(G93,AB:AC,2,FALSE)</f>
        <v>Output Tax</v>
      </c>
      <c r="I93" s="130" t="s">
        <v>132</v>
      </c>
      <c r="J93" s="130" t="s">
        <v>409</v>
      </c>
      <c r="K93" s="130" t="s">
        <v>409</v>
      </c>
      <c r="L93" s="130" t="s">
        <v>132</v>
      </c>
      <c r="M93" s="130" t="s">
        <v>129</v>
      </c>
      <c r="N93" s="130" t="s">
        <v>132</v>
      </c>
      <c r="O93" s="130" t="s">
        <v>132</v>
      </c>
      <c r="P93" s="130" t="s">
        <v>133</v>
      </c>
      <c r="Q93" s="130" t="s">
        <v>315</v>
      </c>
      <c r="R93" s="130" t="s">
        <v>316</v>
      </c>
      <c r="S93" s="131" t="e">
        <f t="shared" ref="S93:S113" si="7">VLOOKUP(G93,Y:Z,2,FALSE)</f>
        <v>#N/A</v>
      </c>
      <c r="T93" s="130" t="s">
        <v>132</v>
      </c>
      <c r="U93" s="130" t="s">
        <v>132</v>
      </c>
      <c r="V93" s="130" t="s">
        <v>25</v>
      </c>
      <c r="W93" s="130" t="s">
        <v>132</v>
      </c>
    </row>
    <row r="94" spans="1:23" hidden="1" x14ac:dyDescent="0.2">
      <c r="A94" s="130" t="s">
        <v>125</v>
      </c>
      <c r="B94" s="130" t="s">
        <v>126</v>
      </c>
      <c r="C94" s="130" t="s">
        <v>382</v>
      </c>
      <c r="D94" s="131" t="s">
        <v>383</v>
      </c>
      <c r="E94" s="130" t="s">
        <v>413</v>
      </c>
      <c r="F94" s="130" t="s">
        <v>130</v>
      </c>
      <c r="G94" s="130" t="s">
        <v>132</v>
      </c>
      <c r="H94" s="131" t="e">
        <f t="shared" si="6"/>
        <v>#N/A</v>
      </c>
      <c r="I94" s="130" t="s">
        <v>414</v>
      </c>
      <c r="J94" s="130" t="s">
        <v>133</v>
      </c>
      <c r="K94" s="130" t="s">
        <v>133</v>
      </c>
      <c r="L94" s="130" t="s">
        <v>132</v>
      </c>
      <c r="M94" s="130" t="s">
        <v>133</v>
      </c>
      <c r="N94" s="130" t="s">
        <v>125</v>
      </c>
      <c r="O94" s="130" t="s">
        <v>132</v>
      </c>
      <c r="P94" s="130" t="s">
        <v>320</v>
      </c>
      <c r="Q94" s="130" t="s">
        <v>133</v>
      </c>
      <c r="R94" s="130" t="s">
        <v>132</v>
      </c>
      <c r="S94" s="131" t="e">
        <f t="shared" si="7"/>
        <v>#N/A</v>
      </c>
      <c r="T94" s="130" t="s">
        <v>132</v>
      </c>
      <c r="U94" s="130" t="s">
        <v>132</v>
      </c>
      <c r="V94" s="130" t="s">
        <v>132</v>
      </c>
      <c r="W94" s="130" t="s">
        <v>132</v>
      </c>
    </row>
    <row r="95" spans="1:23" hidden="1" x14ac:dyDescent="0.2">
      <c r="A95" s="130" t="s">
        <v>125</v>
      </c>
      <c r="B95" s="130" t="s">
        <v>126</v>
      </c>
      <c r="C95" s="130" t="s">
        <v>382</v>
      </c>
      <c r="D95" s="131" t="s">
        <v>383</v>
      </c>
      <c r="E95" s="130" t="s">
        <v>415</v>
      </c>
      <c r="F95" s="130" t="s">
        <v>130</v>
      </c>
      <c r="G95" s="130" t="s">
        <v>135</v>
      </c>
      <c r="H95" s="131" t="str">
        <f t="shared" si="6"/>
        <v>Cost</v>
      </c>
      <c r="I95" s="130" t="s">
        <v>132</v>
      </c>
      <c r="J95" s="130" t="s">
        <v>133</v>
      </c>
      <c r="K95" s="130" t="s">
        <v>133</v>
      </c>
      <c r="L95" s="130" t="s">
        <v>132</v>
      </c>
      <c r="M95" s="130" t="s">
        <v>320</v>
      </c>
      <c r="N95" s="130" t="s">
        <v>323</v>
      </c>
      <c r="O95" s="130" t="s">
        <v>25</v>
      </c>
      <c r="P95" s="130" t="s">
        <v>133</v>
      </c>
      <c r="Q95" s="130" t="s">
        <v>133</v>
      </c>
      <c r="R95" s="130" t="s">
        <v>132</v>
      </c>
      <c r="S95" s="131" t="str">
        <f t="shared" si="7"/>
        <v>VVCOG</v>
      </c>
      <c r="T95" s="130" t="s">
        <v>132</v>
      </c>
      <c r="U95" s="130" t="s">
        <v>132</v>
      </c>
      <c r="V95" s="130" t="s">
        <v>132</v>
      </c>
      <c r="W95" s="130" t="s">
        <v>132</v>
      </c>
    </row>
    <row r="96" spans="1:23" hidden="1" x14ac:dyDescent="0.2">
      <c r="A96" s="130" t="s">
        <v>125</v>
      </c>
      <c r="B96" s="130" t="s">
        <v>126</v>
      </c>
      <c r="C96" s="130" t="s">
        <v>382</v>
      </c>
      <c r="D96" s="131" t="s">
        <v>383</v>
      </c>
      <c r="E96" s="130" t="s">
        <v>416</v>
      </c>
      <c r="F96" s="130" t="s">
        <v>130</v>
      </c>
      <c r="G96" s="130" t="s">
        <v>132</v>
      </c>
      <c r="H96" s="131" t="e">
        <f t="shared" si="6"/>
        <v>#N/A</v>
      </c>
      <c r="I96" s="130" t="s">
        <v>327</v>
      </c>
      <c r="J96" s="130" t="s">
        <v>133</v>
      </c>
      <c r="K96" s="130" t="s">
        <v>133</v>
      </c>
      <c r="L96" s="130" t="s">
        <v>132</v>
      </c>
      <c r="M96" s="130" t="s">
        <v>133</v>
      </c>
      <c r="N96" s="130" t="s">
        <v>132</v>
      </c>
      <c r="O96" s="130" t="s">
        <v>132</v>
      </c>
      <c r="P96" s="130" t="s">
        <v>328</v>
      </c>
      <c r="Q96" s="130" t="s">
        <v>133</v>
      </c>
      <c r="R96" s="130" t="s">
        <v>132</v>
      </c>
      <c r="S96" s="131" t="e">
        <f t="shared" si="7"/>
        <v>#N/A</v>
      </c>
      <c r="T96" s="130" t="s">
        <v>132</v>
      </c>
      <c r="U96" s="130" t="s">
        <v>132</v>
      </c>
      <c r="V96" s="130" t="s">
        <v>132</v>
      </c>
      <c r="W96" s="130" t="s">
        <v>132</v>
      </c>
    </row>
    <row r="97" spans="1:23" hidden="1" x14ac:dyDescent="0.2">
      <c r="A97" s="130" t="s">
        <v>125</v>
      </c>
      <c r="B97" s="130" t="s">
        <v>126</v>
      </c>
      <c r="C97" s="130" t="s">
        <v>417</v>
      </c>
      <c r="D97" s="131" t="s">
        <v>418</v>
      </c>
      <c r="E97" s="130" t="s">
        <v>384</v>
      </c>
      <c r="F97" s="130" t="s">
        <v>130</v>
      </c>
      <c r="G97" s="130" t="s">
        <v>339</v>
      </c>
      <c r="H97" s="131" t="str">
        <f t="shared" si="6"/>
        <v>NGR:MIN.MDCQ(IND-COG</v>
      </c>
      <c r="I97" s="130" t="s">
        <v>132</v>
      </c>
      <c r="J97" s="130" t="s">
        <v>133</v>
      </c>
      <c r="K97" s="130" t="s">
        <v>133</v>
      </c>
      <c r="L97" s="130" t="s">
        <v>132</v>
      </c>
      <c r="M97" s="130" t="s">
        <v>158</v>
      </c>
      <c r="N97" s="130" t="s">
        <v>132</v>
      </c>
      <c r="O97" s="130" t="s">
        <v>25</v>
      </c>
      <c r="P97" s="130" t="s">
        <v>133</v>
      </c>
      <c r="Q97" s="130" t="s">
        <v>133</v>
      </c>
      <c r="R97" s="130" t="s">
        <v>132</v>
      </c>
      <c r="S97" s="131" t="e">
        <f t="shared" si="7"/>
        <v>#N/A</v>
      </c>
      <c r="T97" s="130" t="s">
        <v>132</v>
      </c>
      <c r="U97" s="130" t="s">
        <v>132</v>
      </c>
      <c r="V97" s="130" t="s">
        <v>132</v>
      </c>
      <c r="W97" s="130" t="s">
        <v>132</v>
      </c>
    </row>
    <row r="98" spans="1:23" hidden="1" x14ac:dyDescent="0.2">
      <c r="A98" s="130" t="s">
        <v>125</v>
      </c>
      <c r="B98" s="130" t="s">
        <v>126</v>
      </c>
      <c r="C98" s="130" t="s">
        <v>417</v>
      </c>
      <c r="D98" s="131" t="s">
        <v>418</v>
      </c>
      <c r="E98" s="130" t="s">
        <v>129</v>
      </c>
      <c r="F98" s="130" t="s">
        <v>130</v>
      </c>
      <c r="G98" s="130" t="s">
        <v>274</v>
      </c>
      <c r="H98" s="131" t="str">
        <f t="shared" si="6"/>
        <v>NGR: EGAT price(n+1)</v>
      </c>
      <c r="I98" s="130" t="s">
        <v>132</v>
      </c>
      <c r="J98" s="130" t="s">
        <v>133</v>
      </c>
      <c r="K98" s="130" t="s">
        <v>133</v>
      </c>
      <c r="L98" s="130" t="s">
        <v>132</v>
      </c>
      <c r="M98" s="130" t="s">
        <v>158</v>
      </c>
      <c r="N98" s="130" t="s">
        <v>132</v>
      </c>
      <c r="O98" s="130" t="s">
        <v>25</v>
      </c>
      <c r="P98" s="130" t="s">
        <v>133</v>
      </c>
      <c r="Q98" s="130" t="s">
        <v>133</v>
      </c>
      <c r="R98" s="130" t="s">
        <v>132</v>
      </c>
      <c r="S98" s="131" t="e">
        <f t="shared" si="7"/>
        <v>#N/A</v>
      </c>
      <c r="T98" s="130" t="s">
        <v>132</v>
      </c>
      <c r="U98" s="130" t="s">
        <v>132</v>
      </c>
      <c r="V98" s="130" t="s">
        <v>25</v>
      </c>
      <c r="W98" s="130" t="s">
        <v>132</v>
      </c>
    </row>
    <row r="99" spans="1:23" hidden="1" x14ac:dyDescent="0.2">
      <c r="A99" s="130" t="s">
        <v>125</v>
      </c>
      <c r="B99" s="130" t="s">
        <v>126</v>
      </c>
      <c r="C99" s="130" t="s">
        <v>417</v>
      </c>
      <c r="D99" s="131" t="s">
        <v>418</v>
      </c>
      <c r="E99" s="130" t="s">
        <v>166</v>
      </c>
      <c r="F99" s="130" t="s">
        <v>130</v>
      </c>
      <c r="G99" s="130" t="s">
        <v>181</v>
      </c>
      <c r="H99" s="131" t="str">
        <f t="shared" si="6"/>
        <v>NGR: ZCOX*(PAy/PA0)</v>
      </c>
      <c r="I99" s="130" t="s">
        <v>132</v>
      </c>
      <c r="J99" s="130" t="s">
        <v>133</v>
      </c>
      <c r="K99" s="130" t="s">
        <v>133</v>
      </c>
      <c r="L99" s="130" t="s">
        <v>132</v>
      </c>
      <c r="M99" s="130" t="s">
        <v>158</v>
      </c>
      <c r="N99" s="130" t="s">
        <v>132</v>
      </c>
      <c r="O99" s="130" t="s">
        <v>25</v>
      </c>
      <c r="P99" s="130" t="s">
        <v>419</v>
      </c>
      <c r="Q99" s="130" t="s">
        <v>133</v>
      </c>
      <c r="R99" s="130" t="s">
        <v>132</v>
      </c>
      <c r="S99" s="131" t="e">
        <f t="shared" si="7"/>
        <v>#N/A</v>
      </c>
      <c r="T99" s="130" t="s">
        <v>132</v>
      </c>
      <c r="U99" s="130" t="s">
        <v>132</v>
      </c>
      <c r="V99" s="130" t="s">
        <v>25</v>
      </c>
      <c r="W99" s="130" t="s">
        <v>132</v>
      </c>
    </row>
    <row r="100" spans="1:23" hidden="1" x14ac:dyDescent="0.2">
      <c r="A100" s="130" t="s">
        <v>125</v>
      </c>
      <c r="B100" s="130" t="s">
        <v>126</v>
      </c>
      <c r="C100" s="130" t="s">
        <v>417</v>
      </c>
      <c r="D100" s="131" t="s">
        <v>418</v>
      </c>
      <c r="E100" s="130" t="s">
        <v>183</v>
      </c>
      <c r="F100" s="130" t="s">
        <v>130</v>
      </c>
      <c r="G100" s="130" t="s">
        <v>146</v>
      </c>
      <c r="H100" s="131" t="str">
        <f t="shared" si="6"/>
        <v>NGR: ZEGP+ZCOF</v>
      </c>
      <c r="I100" s="130" t="s">
        <v>132</v>
      </c>
      <c r="J100" s="130" t="s">
        <v>133</v>
      </c>
      <c r="K100" s="130" t="s">
        <v>133</v>
      </c>
      <c r="L100" s="130" t="s">
        <v>132</v>
      </c>
      <c r="M100" s="130" t="s">
        <v>158</v>
      </c>
      <c r="N100" s="130" t="s">
        <v>132</v>
      </c>
      <c r="O100" s="130" t="s">
        <v>132</v>
      </c>
      <c r="P100" s="130" t="s">
        <v>420</v>
      </c>
      <c r="Q100" s="130" t="s">
        <v>133</v>
      </c>
      <c r="R100" s="130" t="s">
        <v>161</v>
      </c>
      <c r="S100" s="131" t="str">
        <f t="shared" si="7"/>
        <v>ERLOS</v>
      </c>
      <c r="T100" s="130" t="s">
        <v>132</v>
      </c>
      <c r="U100" s="130" t="s">
        <v>25</v>
      </c>
      <c r="V100" s="130" t="s">
        <v>25</v>
      </c>
      <c r="W100" s="130" t="s">
        <v>132</v>
      </c>
    </row>
    <row r="101" spans="1:23" hidden="1" x14ac:dyDescent="0.2">
      <c r="A101" s="130" t="s">
        <v>125</v>
      </c>
      <c r="B101" s="130" t="s">
        <v>126</v>
      </c>
      <c r="C101" s="130" t="s">
        <v>417</v>
      </c>
      <c r="D101" s="131" t="s">
        <v>418</v>
      </c>
      <c r="E101" s="130" t="s">
        <v>202</v>
      </c>
      <c r="F101" s="130" t="s">
        <v>130</v>
      </c>
      <c r="G101" s="130" t="s">
        <v>132</v>
      </c>
      <c r="H101" s="131" t="e">
        <f t="shared" si="6"/>
        <v>#N/A</v>
      </c>
      <c r="I101" s="130" t="s">
        <v>393</v>
      </c>
      <c r="J101" s="130" t="s">
        <v>183</v>
      </c>
      <c r="K101" s="130" t="s">
        <v>183</v>
      </c>
      <c r="L101" s="130" t="s">
        <v>132</v>
      </c>
      <c r="M101" s="130" t="s">
        <v>133</v>
      </c>
      <c r="N101" s="130" t="s">
        <v>394</v>
      </c>
      <c r="O101" s="130" t="s">
        <v>132</v>
      </c>
      <c r="P101" s="130" t="s">
        <v>158</v>
      </c>
      <c r="Q101" s="130" t="s">
        <v>133</v>
      </c>
      <c r="R101" s="130" t="s">
        <v>132</v>
      </c>
      <c r="S101" s="131" t="e">
        <f t="shared" si="7"/>
        <v>#N/A</v>
      </c>
      <c r="T101" s="130" t="s">
        <v>132</v>
      </c>
      <c r="U101" s="130" t="s">
        <v>132</v>
      </c>
      <c r="V101" s="130" t="s">
        <v>132</v>
      </c>
      <c r="W101" s="130" t="s">
        <v>132</v>
      </c>
    </row>
    <row r="102" spans="1:23" hidden="1" x14ac:dyDescent="0.2">
      <c r="A102" s="130" t="s">
        <v>125</v>
      </c>
      <c r="B102" s="130" t="s">
        <v>126</v>
      </c>
      <c r="C102" s="130" t="s">
        <v>417</v>
      </c>
      <c r="D102" s="131" t="s">
        <v>418</v>
      </c>
      <c r="E102" s="130" t="s">
        <v>206</v>
      </c>
      <c r="F102" s="130" t="s">
        <v>130</v>
      </c>
      <c r="G102" s="130" t="s">
        <v>279</v>
      </c>
      <c r="H102" s="131" t="str">
        <f t="shared" si="6"/>
        <v>NGR: P/L Cont. Charg</v>
      </c>
      <c r="I102" s="130" t="s">
        <v>132</v>
      </c>
      <c r="J102" s="130" t="s">
        <v>133</v>
      </c>
      <c r="K102" s="130" t="s">
        <v>133</v>
      </c>
      <c r="L102" s="130" t="s">
        <v>132</v>
      </c>
      <c r="M102" s="130" t="s">
        <v>158</v>
      </c>
      <c r="N102" s="130" t="s">
        <v>132</v>
      </c>
      <c r="O102" s="130" t="s">
        <v>132</v>
      </c>
      <c r="P102" s="130" t="s">
        <v>158</v>
      </c>
      <c r="Q102" s="130" t="s">
        <v>133</v>
      </c>
      <c r="R102" s="130" t="s">
        <v>161</v>
      </c>
      <c r="S102" s="131" t="str">
        <f t="shared" si="7"/>
        <v>VVDS1</v>
      </c>
      <c r="T102" s="130" t="s">
        <v>132</v>
      </c>
      <c r="U102" s="130" t="s">
        <v>132</v>
      </c>
      <c r="V102" s="130" t="s">
        <v>132</v>
      </c>
      <c r="W102" s="130" t="s">
        <v>132</v>
      </c>
    </row>
    <row r="103" spans="1:23" hidden="1" x14ac:dyDescent="0.2">
      <c r="A103" s="130" t="s">
        <v>125</v>
      </c>
      <c r="B103" s="130" t="s">
        <v>126</v>
      </c>
      <c r="C103" s="130" t="s">
        <v>417</v>
      </c>
      <c r="D103" s="131" t="s">
        <v>418</v>
      </c>
      <c r="E103" s="130" t="s">
        <v>214</v>
      </c>
      <c r="F103" s="130" t="s">
        <v>130</v>
      </c>
      <c r="G103" s="130" t="s">
        <v>132</v>
      </c>
      <c r="H103" s="131" t="e">
        <f t="shared" si="6"/>
        <v>#N/A</v>
      </c>
      <c r="I103" s="130" t="s">
        <v>395</v>
      </c>
      <c r="J103" s="130" t="s">
        <v>202</v>
      </c>
      <c r="K103" s="130" t="s">
        <v>421</v>
      </c>
      <c r="L103" s="130" t="s">
        <v>132</v>
      </c>
      <c r="M103" s="130" t="s">
        <v>133</v>
      </c>
      <c r="N103" s="130" t="s">
        <v>132</v>
      </c>
      <c r="O103" s="130" t="s">
        <v>132</v>
      </c>
      <c r="P103" s="130" t="s">
        <v>133</v>
      </c>
      <c r="Q103" s="130" t="s">
        <v>133</v>
      </c>
      <c r="R103" s="130" t="s">
        <v>132</v>
      </c>
      <c r="S103" s="131" t="e">
        <f t="shared" si="7"/>
        <v>#N/A</v>
      </c>
      <c r="T103" s="130" t="s">
        <v>132</v>
      </c>
      <c r="U103" s="130" t="s">
        <v>132</v>
      </c>
      <c r="V103" s="130" t="s">
        <v>132</v>
      </c>
      <c r="W103" s="130" t="s">
        <v>132</v>
      </c>
    </row>
    <row r="104" spans="1:23" hidden="1" x14ac:dyDescent="0.2">
      <c r="A104" s="130" t="s">
        <v>125</v>
      </c>
      <c r="B104" s="130" t="s">
        <v>126</v>
      </c>
      <c r="C104" s="130" t="s">
        <v>417</v>
      </c>
      <c r="D104" s="131" t="s">
        <v>418</v>
      </c>
      <c r="E104" s="130" t="s">
        <v>218</v>
      </c>
      <c r="F104" s="130" t="s">
        <v>130</v>
      </c>
      <c r="G104" s="130" t="s">
        <v>162</v>
      </c>
      <c r="H104" s="131" t="str">
        <f t="shared" si="6"/>
        <v>GAS:Discount</v>
      </c>
      <c r="I104" s="130" t="s">
        <v>132</v>
      </c>
      <c r="J104" s="130" t="s">
        <v>133</v>
      </c>
      <c r="K104" s="130" t="s">
        <v>133</v>
      </c>
      <c r="L104" s="130" t="s">
        <v>132</v>
      </c>
      <c r="M104" s="130" t="s">
        <v>158</v>
      </c>
      <c r="N104" s="130" t="s">
        <v>132</v>
      </c>
      <c r="O104" s="130" t="s">
        <v>132</v>
      </c>
      <c r="P104" s="130" t="s">
        <v>133</v>
      </c>
      <c r="Q104" s="130" t="s">
        <v>133</v>
      </c>
      <c r="R104" s="130" t="s">
        <v>161</v>
      </c>
      <c r="S104" s="131" t="str">
        <f t="shared" si="7"/>
        <v>VVDD2</v>
      </c>
      <c r="T104" s="130" t="s">
        <v>132</v>
      </c>
      <c r="U104" s="130" t="s">
        <v>25</v>
      </c>
      <c r="V104" s="130" t="s">
        <v>132</v>
      </c>
      <c r="W104" s="130" t="s">
        <v>132</v>
      </c>
    </row>
    <row r="105" spans="1:23" hidden="1" x14ac:dyDescent="0.2">
      <c r="A105" s="130" t="s">
        <v>125</v>
      </c>
      <c r="B105" s="130" t="s">
        <v>126</v>
      </c>
      <c r="C105" s="130" t="s">
        <v>417</v>
      </c>
      <c r="D105" s="131" t="s">
        <v>418</v>
      </c>
      <c r="E105" s="130" t="s">
        <v>241</v>
      </c>
      <c r="F105" s="130" t="s">
        <v>130</v>
      </c>
      <c r="G105" s="130" t="s">
        <v>169</v>
      </c>
      <c r="H105" s="131" t="str">
        <f t="shared" si="6"/>
        <v>NGR: Discount 2 Acc.</v>
      </c>
      <c r="I105" s="130" t="s">
        <v>132</v>
      </c>
      <c r="J105" s="130" t="s">
        <v>133</v>
      </c>
      <c r="K105" s="130" t="s">
        <v>133</v>
      </c>
      <c r="L105" s="130" t="s">
        <v>132</v>
      </c>
      <c r="M105" s="130" t="s">
        <v>158</v>
      </c>
      <c r="N105" s="130" t="s">
        <v>132</v>
      </c>
      <c r="O105" s="130" t="s">
        <v>132</v>
      </c>
      <c r="P105" s="130" t="s">
        <v>133</v>
      </c>
      <c r="Q105" s="130" t="s">
        <v>133</v>
      </c>
      <c r="R105" s="130" t="s">
        <v>161</v>
      </c>
      <c r="S105" s="131" t="str">
        <f t="shared" si="7"/>
        <v>VVDD2</v>
      </c>
      <c r="T105" s="130" t="s">
        <v>132</v>
      </c>
      <c r="U105" s="130" t="s">
        <v>25</v>
      </c>
      <c r="V105" s="130" t="s">
        <v>132</v>
      </c>
      <c r="W105" s="130" t="s">
        <v>132</v>
      </c>
    </row>
    <row r="106" spans="1:23" hidden="1" x14ac:dyDescent="0.2">
      <c r="A106" s="130" t="s">
        <v>125</v>
      </c>
      <c r="B106" s="130" t="s">
        <v>126</v>
      </c>
      <c r="C106" s="130" t="s">
        <v>417</v>
      </c>
      <c r="D106" s="131" t="s">
        <v>418</v>
      </c>
      <c r="E106" s="130" t="s">
        <v>377</v>
      </c>
      <c r="F106" s="130" t="s">
        <v>130</v>
      </c>
      <c r="G106" s="130" t="s">
        <v>132</v>
      </c>
      <c r="H106" s="131" t="e">
        <f t="shared" si="6"/>
        <v>#N/A</v>
      </c>
      <c r="I106" s="130" t="s">
        <v>397</v>
      </c>
      <c r="J106" s="130" t="s">
        <v>398</v>
      </c>
      <c r="K106" s="130" t="s">
        <v>399</v>
      </c>
      <c r="L106" s="130" t="s">
        <v>132</v>
      </c>
      <c r="M106" s="130" t="s">
        <v>133</v>
      </c>
      <c r="N106" s="130" t="s">
        <v>132</v>
      </c>
      <c r="O106" s="130" t="s">
        <v>132</v>
      </c>
      <c r="P106" s="130" t="s">
        <v>133</v>
      </c>
      <c r="Q106" s="130" t="s">
        <v>133</v>
      </c>
      <c r="R106" s="130" t="s">
        <v>132</v>
      </c>
      <c r="S106" s="131" t="e">
        <f t="shared" si="7"/>
        <v>#N/A</v>
      </c>
      <c r="T106" s="130" t="s">
        <v>132</v>
      </c>
      <c r="U106" s="130" t="s">
        <v>132</v>
      </c>
      <c r="V106" s="130" t="s">
        <v>132</v>
      </c>
      <c r="W106" s="130" t="s">
        <v>132</v>
      </c>
    </row>
    <row r="107" spans="1:23" hidden="1" x14ac:dyDescent="0.2">
      <c r="A107" s="130" t="s">
        <v>125</v>
      </c>
      <c r="B107" s="130" t="s">
        <v>126</v>
      </c>
      <c r="C107" s="130" t="s">
        <v>417</v>
      </c>
      <c r="D107" s="131" t="s">
        <v>418</v>
      </c>
      <c r="E107" s="130" t="s">
        <v>256</v>
      </c>
      <c r="F107" s="130" t="s">
        <v>130</v>
      </c>
      <c r="G107" s="130" t="s">
        <v>294</v>
      </c>
      <c r="H107" s="131" t="str">
        <f t="shared" si="6"/>
        <v>GAS:Surcharge</v>
      </c>
      <c r="I107" s="130" t="s">
        <v>132</v>
      </c>
      <c r="J107" s="130" t="s">
        <v>133</v>
      </c>
      <c r="K107" s="130" t="s">
        <v>133</v>
      </c>
      <c r="L107" s="130" t="s">
        <v>132</v>
      </c>
      <c r="M107" s="130" t="s">
        <v>158</v>
      </c>
      <c r="N107" s="130" t="s">
        <v>132</v>
      </c>
      <c r="O107" s="130" t="s">
        <v>132</v>
      </c>
      <c r="P107" s="130" t="s">
        <v>133</v>
      </c>
      <c r="Q107" s="130" t="s">
        <v>133</v>
      </c>
      <c r="R107" s="130" t="s">
        <v>161</v>
      </c>
      <c r="S107" s="131" t="str">
        <f t="shared" si="7"/>
        <v>VVDS1</v>
      </c>
      <c r="T107" s="130" t="s">
        <v>132</v>
      </c>
      <c r="U107" s="130" t="s">
        <v>25</v>
      </c>
      <c r="V107" s="130" t="s">
        <v>132</v>
      </c>
      <c r="W107" s="130" t="s">
        <v>132</v>
      </c>
    </row>
    <row r="108" spans="1:23" hidden="1" x14ac:dyDescent="0.2">
      <c r="A108" s="130" t="s">
        <v>125</v>
      </c>
      <c r="B108" s="130" t="s">
        <v>126</v>
      </c>
      <c r="C108" s="130" t="s">
        <v>417</v>
      </c>
      <c r="D108" s="131" t="s">
        <v>418</v>
      </c>
      <c r="E108" s="130" t="s">
        <v>288</v>
      </c>
      <c r="F108" s="130" t="s">
        <v>130</v>
      </c>
      <c r="G108" s="130" t="s">
        <v>299</v>
      </c>
      <c r="H108" s="131" t="str">
        <f t="shared" si="6"/>
        <v>GAS:Surcharge 2</v>
      </c>
      <c r="I108" s="130" t="s">
        <v>132</v>
      </c>
      <c r="J108" s="130" t="s">
        <v>133</v>
      </c>
      <c r="K108" s="130" t="s">
        <v>133</v>
      </c>
      <c r="L108" s="130" t="s">
        <v>132</v>
      </c>
      <c r="M108" s="130" t="s">
        <v>158</v>
      </c>
      <c r="N108" s="130" t="s">
        <v>132</v>
      </c>
      <c r="O108" s="130" t="s">
        <v>132</v>
      </c>
      <c r="P108" s="130" t="s">
        <v>133</v>
      </c>
      <c r="Q108" s="130" t="s">
        <v>133</v>
      </c>
      <c r="R108" s="130" t="s">
        <v>161</v>
      </c>
      <c r="S108" s="131" t="str">
        <f t="shared" si="7"/>
        <v>VVDS1</v>
      </c>
      <c r="T108" s="130" t="s">
        <v>132</v>
      </c>
      <c r="U108" s="130" t="s">
        <v>25</v>
      </c>
      <c r="V108" s="130" t="s">
        <v>132</v>
      </c>
      <c r="W108" s="130" t="s">
        <v>132</v>
      </c>
    </row>
    <row r="109" spans="1:23" hidden="1" x14ac:dyDescent="0.2">
      <c r="A109" s="130" t="s">
        <v>125</v>
      </c>
      <c r="B109" s="130" t="s">
        <v>126</v>
      </c>
      <c r="C109" s="130" t="s">
        <v>417</v>
      </c>
      <c r="D109" s="131" t="s">
        <v>418</v>
      </c>
      <c r="E109" s="130" t="s">
        <v>379</v>
      </c>
      <c r="F109" s="130" t="s">
        <v>130</v>
      </c>
      <c r="G109" s="130" t="s">
        <v>132</v>
      </c>
      <c r="H109" s="131" t="e">
        <f t="shared" si="6"/>
        <v>#N/A</v>
      </c>
      <c r="I109" s="130" t="s">
        <v>400</v>
      </c>
      <c r="J109" s="130" t="s">
        <v>401</v>
      </c>
      <c r="K109" s="130" t="s">
        <v>402</v>
      </c>
      <c r="L109" s="130" t="s">
        <v>132</v>
      </c>
      <c r="M109" s="130" t="s">
        <v>158</v>
      </c>
      <c r="N109" s="130" t="s">
        <v>132</v>
      </c>
      <c r="O109" s="130" t="s">
        <v>132</v>
      </c>
      <c r="P109" s="130" t="s">
        <v>133</v>
      </c>
      <c r="Q109" s="130" t="s">
        <v>133</v>
      </c>
      <c r="R109" s="130" t="s">
        <v>132</v>
      </c>
      <c r="S109" s="131" t="e">
        <f t="shared" si="7"/>
        <v>#N/A</v>
      </c>
      <c r="T109" s="130" t="s">
        <v>132</v>
      </c>
      <c r="U109" s="130" t="s">
        <v>132</v>
      </c>
      <c r="V109" s="130" t="s">
        <v>132</v>
      </c>
      <c r="W109" s="130" t="s">
        <v>132</v>
      </c>
    </row>
    <row r="110" spans="1:23" hidden="1" x14ac:dyDescent="0.2">
      <c r="A110" s="130" t="s">
        <v>125</v>
      </c>
      <c r="B110" s="130" t="s">
        <v>126</v>
      </c>
      <c r="C110" s="130" t="s">
        <v>417</v>
      </c>
      <c r="D110" s="131" t="s">
        <v>418</v>
      </c>
      <c r="E110" s="130" t="s">
        <v>403</v>
      </c>
      <c r="F110" s="130" t="s">
        <v>130</v>
      </c>
      <c r="G110" s="130" t="s">
        <v>345</v>
      </c>
      <c r="H110" s="131" t="str">
        <f t="shared" si="6"/>
        <v>GAS: Net Price</v>
      </c>
      <c r="I110" s="130" t="s">
        <v>132</v>
      </c>
      <c r="J110" s="130" t="s">
        <v>133</v>
      </c>
      <c r="K110" s="130" t="s">
        <v>133</v>
      </c>
      <c r="L110" s="130" t="s">
        <v>132</v>
      </c>
      <c r="M110" s="130" t="s">
        <v>158</v>
      </c>
      <c r="N110" s="130" t="s">
        <v>278</v>
      </c>
      <c r="O110" s="130" t="s">
        <v>25</v>
      </c>
      <c r="P110" s="130" t="s">
        <v>422</v>
      </c>
      <c r="Q110" s="130" t="s">
        <v>133</v>
      </c>
      <c r="R110" s="130" t="s">
        <v>132</v>
      </c>
      <c r="S110" s="131" t="e">
        <f t="shared" si="7"/>
        <v>#N/A</v>
      </c>
      <c r="T110" s="130" t="s">
        <v>132</v>
      </c>
      <c r="U110" s="130" t="s">
        <v>132</v>
      </c>
      <c r="V110" s="130" t="s">
        <v>132</v>
      </c>
      <c r="W110" s="130" t="s">
        <v>132</v>
      </c>
    </row>
    <row r="111" spans="1:23" hidden="1" x14ac:dyDescent="0.2">
      <c r="A111" s="130" t="s">
        <v>125</v>
      </c>
      <c r="B111" s="130" t="s">
        <v>126</v>
      </c>
      <c r="C111" s="130" t="s">
        <v>417</v>
      </c>
      <c r="D111" s="131" t="s">
        <v>418</v>
      </c>
      <c r="E111" s="130" t="s">
        <v>405</v>
      </c>
      <c r="F111" s="130" t="s">
        <v>130</v>
      </c>
      <c r="G111" s="130" t="s">
        <v>132</v>
      </c>
      <c r="H111" s="131" t="e">
        <f t="shared" si="6"/>
        <v>#N/A</v>
      </c>
      <c r="I111" s="130" t="s">
        <v>311</v>
      </c>
      <c r="J111" s="130" t="s">
        <v>403</v>
      </c>
      <c r="K111" s="130" t="s">
        <v>403</v>
      </c>
      <c r="L111" s="130" t="s">
        <v>132</v>
      </c>
      <c r="M111" s="130" t="s">
        <v>133</v>
      </c>
      <c r="N111" s="130" t="s">
        <v>132</v>
      </c>
      <c r="O111" s="130" t="s">
        <v>132</v>
      </c>
      <c r="P111" s="130" t="s">
        <v>158</v>
      </c>
      <c r="Q111" s="130" t="s">
        <v>133</v>
      </c>
      <c r="R111" s="130" t="s">
        <v>132</v>
      </c>
      <c r="S111" s="131" t="e">
        <f t="shared" si="7"/>
        <v>#N/A</v>
      </c>
      <c r="T111" s="130" t="s">
        <v>132</v>
      </c>
      <c r="U111" s="130" t="s">
        <v>132</v>
      </c>
      <c r="V111" s="130" t="s">
        <v>132</v>
      </c>
      <c r="W111" s="130" t="s">
        <v>132</v>
      </c>
    </row>
    <row r="112" spans="1:23" hidden="1" x14ac:dyDescent="0.2">
      <c r="A112" s="130" t="s">
        <v>125</v>
      </c>
      <c r="B112" s="130" t="s">
        <v>126</v>
      </c>
      <c r="C112" s="130" t="s">
        <v>417</v>
      </c>
      <c r="D112" s="131" t="s">
        <v>418</v>
      </c>
      <c r="E112" s="130" t="s">
        <v>423</v>
      </c>
      <c r="F112" s="130" t="s">
        <v>130</v>
      </c>
      <c r="G112" s="130" t="s">
        <v>212</v>
      </c>
      <c r="H112" s="131" t="str">
        <f t="shared" si="6"/>
        <v>NGR:Ind DC Constant</v>
      </c>
      <c r="I112" s="130" t="s">
        <v>132</v>
      </c>
      <c r="J112" s="130" t="s">
        <v>133</v>
      </c>
      <c r="K112" s="130" t="s">
        <v>133</v>
      </c>
      <c r="L112" s="130" t="s">
        <v>132</v>
      </c>
      <c r="M112" s="130" t="s">
        <v>158</v>
      </c>
      <c r="N112" s="130" t="s">
        <v>132</v>
      </c>
      <c r="O112" s="130" t="s">
        <v>25</v>
      </c>
      <c r="P112" s="130" t="s">
        <v>133</v>
      </c>
      <c r="Q112" s="130" t="s">
        <v>133</v>
      </c>
      <c r="R112" s="130" t="s">
        <v>132</v>
      </c>
      <c r="S112" s="131" t="e">
        <f t="shared" si="7"/>
        <v>#N/A</v>
      </c>
      <c r="T112" s="130" t="s">
        <v>132</v>
      </c>
      <c r="U112" s="130" t="s">
        <v>132</v>
      </c>
      <c r="V112" s="130" t="s">
        <v>132</v>
      </c>
      <c r="W112" s="130" t="s">
        <v>132</v>
      </c>
    </row>
    <row r="113" spans="1:23" hidden="1" x14ac:dyDescent="0.2">
      <c r="A113" s="130" t="s">
        <v>125</v>
      </c>
      <c r="B113" s="130" t="s">
        <v>126</v>
      </c>
      <c r="C113" s="130" t="s">
        <v>417</v>
      </c>
      <c r="D113" s="131" t="s">
        <v>418</v>
      </c>
      <c r="E113" s="130" t="s">
        <v>424</v>
      </c>
      <c r="F113" s="130" t="s">
        <v>130</v>
      </c>
      <c r="G113" s="130" t="s">
        <v>239</v>
      </c>
      <c r="H113" s="131" t="str">
        <f t="shared" si="6"/>
        <v>NGR:Demand Charge</v>
      </c>
      <c r="I113" s="130" t="s">
        <v>132</v>
      </c>
      <c r="J113" s="130" t="s">
        <v>133</v>
      </c>
      <c r="K113" s="130" t="s">
        <v>133</v>
      </c>
      <c r="L113" s="130" t="s">
        <v>132</v>
      </c>
      <c r="M113" s="130" t="s">
        <v>158</v>
      </c>
      <c r="N113" s="130" t="s">
        <v>278</v>
      </c>
      <c r="O113" s="130" t="s">
        <v>132</v>
      </c>
      <c r="P113" s="130" t="s">
        <v>408</v>
      </c>
      <c r="Q113" s="130" t="s">
        <v>425</v>
      </c>
      <c r="R113" s="130" t="s">
        <v>161</v>
      </c>
      <c r="S113" s="131" t="str">
        <f t="shared" si="7"/>
        <v>ERLOS</v>
      </c>
      <c r="T113" s="130" t="s">
        <v>132</v>
      </c>
      <c r="U113" s="130" t="s">
        <v>25</v>
      </c>
      <c r="V113" s="130" t="s">
        <v>132</v>
      </c>
      <c r="W113" s="130" t="s">
        <v>132</v>
      </c>
    </row>
    <row r="114" spans="1:23" s="133" customFormat="1" hidden="1" x14ac:dyDescent="0.2">
      <c r="A114" s="132" t="s">
        <v>125</v>
      </c>
      <c r="B114" s="132" t="s">
        <v>126</v>
      </c>
      <c r="C114" s="132" t="s">
        <v>417</v>
      </c>
      <c r="D114" s="133" t="s">
        <v>418</v>
      </c>
      <c r="E114" s="132" t="s">
        <v>306</v>
      </c>
      <c r="F114" s="132"/>
      <c r="G114" s="132" t="s">
        <v>307</v>
      </c>
      <c r="H114" s="133" t="s">
        <v>308</v>
      </c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3" t="s">
        <v>309</v>
      </c>
      <c r="T114" s="132"/>
      <c r="U114" s="132"/>
      <c r="V114" s="132"/>
      <c r="W114" s="132"/>
    </row>
    <row r="115" spans="1:23" hidden="1" x14ac:dyDescent="0.2">
      <c r="A115" s="130" t="s">
        <v>125</v>
      </c>
      <c r="B115" s="130" t="s">
        <v>126</v>
      </c>
      <c r="C115" s="130" t="s">
        <v>417</v>
      </c>
      <c r="D115" s="131" t="s">
        <v>418</v>
      </c>
      <c r="E115" s="130" t="s">
        <v>406</v>
      </c>
      <c r="F115" s="130" t="s">
        <v>130</v>
      </c>
      <c r="G115" s="130" t="s">
        <v>385</v>
      </c>
      <c r="H115" s="131" t="str">
        <f t="shared" ref="H115:H134" si="8">VLOOKUP(G115,AB:AC,2,FALSE)</f>
        <v>NGR: Take or Pay</v>
      </c>
      <c r="I115" s="130" t="s">
        <v>132</v>
      </c>
      <c r="J115" s="130" t="s">
        <v>133</v>
      </c>
      <c r="K115" s="130" t="s">
        <v>133</v>
      </c>
      <c r="L115" s="130" t="s">
        <v>132</v>
      </c>
      <c r="M115" s="130" t="s">
        <v>158</v>
      </c>
      <c r="N115" s="130" t="s">
        <v>278</v>
      </c>
      <c r="O115" s="130" t="s">
        <v>132</v>
      </c>
      <c r="P115" s="130" t="s">
        <v>426</v>
      </c>
      <c r="Q115" s="130" t="s">
        <v>133</v>
      </c>
      <c r="R115" s="130" t="s">
        <v>161</v>
      </c>
      <c r="S115" s="131" t="e">
        <f t="shared" ref="S115:S134" si="9">VLOOKUP(G115,Y:Z,2,FALSE)</f>
        <v>#N/A</v>
      </c>
      <c r="T115" s="130" t="s">
        <v>132</v>
      </c>
      <c r="U115" s="130" t="s">
        <v>25</v>
      </c>
      <c r="V115" s="130" t="s">
        <v>132</v>
      </c>
      <c r="W115" s="130" t="s">
        <v>132</v>
      </c>
    </row>
    <row r="116" spans="1:23" hidden="1" x14ac:dyDescent="0.2">
      <c r="A116" s="130" t="s">
        <v>125</v>
      </c>
      <c r="B116" s="130" t="s">
        <v>126</v>
      </c>
      <c r="C116" s="130" t="s">
        <v>417</v>
      </c>
      <c r="D116" s="131" t="s">
        <v>418</v>
      </c>
      <c r="E116" s="130" t="s">
        <v>407</v>
      </c>
      <c r="F116" s="130" t="s">
        <v>130</v>
      </c>
      <c r="G116" s="130" t="s">
        <v>273</v>
      </c>
      <c r="H116" s="131" t="str">
        <f t="shared" si="8"/>
        <v>Make up right</v>
      </c>
      <c r="I116" s="130" t="s">
        <v>132</v>
      </c>
      <c r="J116" s="130" t="s">
        <v>133</v>
      </c>
      <c r="K116" s="130" t="s">
        <v>133</v>
      </c>
      <c r="L116" s="130" t="s">
        <v>132</v>
      </c>
      <c r="M116" s="130" t="s">
        <v>158</v>
      </c>
      <c r="N116" s="130" t="s">
        <v>278</v>
      </c>
      <c r="O116" s="130" t="s">
        <v>132</v>
      </c>
      <c r="P116" s="130" t="s">
        <v>426</v>
      </c>
      <c r="Q116" s="130" t="s">
        <v>133</v>
      </c>
      <c r="R116" s="130" t="s">
        <v>427</v>
      </c>
      <c r="S116" s="131" t="str">
        <f t="shared" si="9"/>
        <v>ERLOS</v>
      </c>
      <c r="T116" s="130" t="s">
        <v>132</v>
      </c>
      <c r="U116" s="130" t="s">
        <v>25</v>
      </c>
      <c r="V116" s="130" t="s">
        <v>132</v>
      </c>
      <c r="W116" s="130" t="s">
        <v>132</v>
      </c>
    </row>
    <row r="117" spans="1:23" hidden="1" x14ac:dyDescent="0.2">
      <c r="A117" s="130" t="s">
        <v>125</v>
      </c>
      <c r="B117" s="130" t="s">
        <v>126</v>
      </c>
      <c r="C117" s="130" t="s">
        <v>417</v>
      </c>
      <c r="D117" s="131" t="s">
        <v>418</v>
      </c>
      <c r="E117" s="130" t="s">
        <v>428</v>
      </c>
      <c r="F117" s="130" t="s">
        <v>130</v>
      </c>
      <c r="G117" s="130" t="s">
        <v>132</v>
      </c>
      <c r="H117" s="131" t="e">
        <f t="shared" si="8"/>
        <v>#N/A</v>
      </c>
      <c r="I117" s="130" t="s">
        <v>429</v>
      </c>
      <c r="J117" s="130" t="s">
        <v>133</v>
      </c>
      <c r="K117" s="130" t="s">
        <v>133</v>
      </c>
      <c r="L117" s="130" t="s">
        <v>132</v>
      </c>
      <c r="M117" s="130" t="s">
        <v>133</v>
      </c>
      <c r="N117" s="130" t="s">
        <v>411</v>
      </c>
      <c r="O117" s="130" t="s">
        <v>132</v>
      </c>
      <c r="P117" s="130" t="s">
        <v>158</v>
      </c>
      <c r="Q117" s="130" t="s">
        <v>133</v>
      </c>
      <c r="R117" s="130" t="s">
        <v>132</v>
      </c>
      <c r="S117" s="131" t="e">
        <f t="shared" si="9"/>
        <v>#N/A</v>
      </c>
      <c r="T117" s="130" t="s">
        <v>132</v>
      </c>
      <c r="U117" s="130" t="s">
        <v>132</v>
      </c>
      <c r="V117" s="130" t="s">
        <v>132</v>
      </c>
      <c r="W117" s="130" t="s">
        <v>132</v>
      </c>
    </row>
    <row r="118" spans="1:23" hidden="1" x14ac:dyDescent="0.2">
      <c r="A118" s="130" t="s">
        <v>125</v>
      </c>
      <c r="B118" s="130" t="s">
        <v>126</v>
      </c>
      <c r="C118" s="130" t="s">
        <v>417</v>
      </c>
      <c r="D118" s="131" t="s">
        <v>418</v>
      </c>
      <c r="E118" s="130" t="s">
        <v>412</v>
      </c>
      <c r="F118" s="130" t="s">
        <v>130</v>
      </c>
      <c r="G118" s="130" t="s">
        <v>137</v>
      </c>
      <c r="H118" s="131" t="str">
        <f t="shared" si="8"/>
        <v>Output Tax</v>
      </c>
      <c r="I118" s="130" t="s">
        <v>132</v>
      </c>
      <c r="J118" s="130" t="s">
        <v>428</v>
      </c>
      <c r="K118" s="130" t="s">
        <v>428</v>
      </c>
      <c r="L118" s="130" t="s">
        <v>132</v>
      </c>
      <c r="M118" s="130" t="s">
        <v>129</v>
      </c>
      <c r="N118" s="130" t="s">
        <v>132</v>
      </c>
      <c r="O118" s="130" t="s">
        <v>132</v>
      </c>
      <c r="P118" s="130" t="s">
        <v>133</v>
      </c>
      <c r="Q118" s="130" t="s">
        <v>315</v>
      </c>
      <c r="R118" s="130" t="s">
        <v>316</v>
      </c>
      <c r="S118" s="131" t="e">
        <f t="shared" si="9"/>
        <v>#N/A</v>
      </c>
      <c r="T118" s="130" t="s">
        <v>132</v>
      </c>
      <c r="U118" s="130" t="s">
        <v>132</v>
      </c>
      <c r="V118" s="130" t="s">
        <v>132</v>
      </c>
      <c r="W118" s="130" t="s">
        <v>132</v>
      </c>
    </row>
    <row r="119" spans="1:23" hidden="1" x14ac:dyDescent="0.2">
      <c r="A119" s="130" t="s">
        <v>125</v>
      </c>
      <c r="B119" s="130" t="s">
        <v>126</v>
      </c>
      <c r="C119" s="130" t="s">
        <v>417</v>
      </c>
      <c r="D119" s="131" t="s">
        <v>418</v>
      </c>
      <c r="E119" s="130" t="s">
        <v>413</v>
      </c>
      <c r="F119" s="130" t="s">
        <v>130</v>
      </c>
      <c r="G119" s="130" t="s">
        <v>132</v>
      </c>
      <c r="H119" s="131" t="e">
        <f t="shared" si="8"/>
        <v>#N/A</v>
      </c>
      <c r="I119" s="130" t="s">
        <v>414</v>
      </c>
      <c r="J119" s="130" t="s">
        <v>133</v>
      </c>
      <c r="K119" s="130" t="s">
        <v>133</v>
      </c>
      <c r="L119" s="130" t="s">
        <v>132</v>
      </c>
      <c r="M119" s="130" t="s">
        <v>133</v>
      </c>
      <c r="N119" s="130" t="s">
        <v>125</v>
      </c>
      <c r="O119" s="130" t="s">
        <v>132</v>
      </c>
      <c r="P119" s="130" t="s">
        <v>320</v>
      </c>
      <c r="Q119" s="130" t="s">
        <v>133</v>
      </c>
      <c r="R119" s="130" t="s">
        <v>132</v>
      </c>
      <c r="S119" s="131" t="e">
        <f t="shared" si="9"/>
        <v>#N/A</v>
      </c>
      <c r="T119" s="130" t="s">
        <v>132</v>
      </c>
      <c r="U119" s="130" t="s">
        <v>132</v>
      </c>
      <c r="V119" s="130" t="s">
        <v>132</v>
      </c>
      <c r="W119" s="130" t="s">
        <v>132</v>
      </c>
    </row>
    <row r="120" spans="1:23" hidden="1" x14ac:dyDescent="0.2">
      <c r="A120" s="130" t="s">
        <v>125</v>
      </c>
      <c r="B120" s="130" t="s">
        <v>126</v>
      </c>
      <c r="C120" s="130" t="s">
        <v>417</v>
      </c>
      <c r="D120" s="131" t="s">
        <v>418</v>
      </c>
      <c r="E120" s="130" t="s">
        <v>415</v>
      </c>
      <c r="F120" s="130" t="s">
        <v>130</v>
      </c>
      <c r="G120" s="130" t="s">
        <v>135</v>
      </c>
      <c r="H120" s="131" t="str">
        <f t="shared" si="8"/>
        <v>Cost</v>
      </c>
      <c r="I120" s="130" t="s">
        <v>132</v>
      </c>
      <c r="J120" s="130" t="s">
        <v>133</v>
      </c>
      <c r="K120" s="130" t="s">
        <v>133</v>
      </c>
      <c r="L120" s="130" t="s">
        <v>132</v>
      </c>
      <c r="M120" s="130" t="s">
        <v>320</v>
      </c>
      <c r="N120" s="130" t="s">
        <v>323</v>
      </c>
      <c r="O120" s="130" t="s">
        <v>25</v>
      </c>
      <c r="P120" s="130" t="s">
        <v>133</v>
      </c>
      <c r="Q120" s="130" t="s">
        <v>133</v>
      </c>
      <c r="R120" s="130" t="s">
        <v>132</v>
      </c>
      <c r="S120" s="131" t="str">
        <f t="shared" si="9"/>
        <v>VVCOG</v>
      </c>
      <c r="T120" s="130" t="s">
        <v>132</v>
      </c>
      <c r="U120" s="130" t="s">
        <v>132</v>
      </c>
      <c r="V120" s="130" t="s">
        <v>132</v>
      </c>
      <c r="W120" s="130" t="s">
        <v>132</v>
      </c>
    </row>
    <row r="121" spans="1:23" hidden="1" x14ac:dyDescent="0.2">
      <c r="A121" s="130" t="s">
        <v>125</v>
      </c>
      <c r="B121" s="130" t="s">
        <v>126</v>
      </c>
      <c r="C121" s="130" t="s">
        <v>417</v>
      </c>
      <c r="D121" s="131" t="s">
        <v>418</v>
      </c>
      <c r="E121" s="130" t="s">
        <v>416</v>
      </c>
      <c r="F121" s="130" t="s">
        <v>130</v>
      </c>
      <c r="G121" s="130" t="s">
        <v>132</v>
      </c>
      <c r="H121" s="131" t="e">
        <f t="shared" si="8"/>
        <v>#N/A</v>
      </c>
      <c r="I121" s="130" t="s">
        <v>327</v>
      </c>
      <c r="J121" s="130" t="s">
        <v>133</v>
      </c>
      <c r="K121" s="130" t="s">
        <v>133</v>
      </c>
      <c r="L121" s="130" t="s">
        <v>132</v>
      </c>
      <c r="M121" s="130" t="s">
        <v>133</v>
      </c>
      <c r="N121" s="130" t="s">
        <v>132</v>
      </c>
      <c r="O121" s="130" t="s">
        <v>132</v>
      </c>
      <c r="P121" s="130" t="s">
        <v>328</v>
      </c>
      <c r="Q121" s="130" t="s">
        <v>133</v>
      </c>
      <c r="R121" s="130" t="s">
        <v>132</v>
      </c>
      <c r="S121" s="131" t="e">
        <f t="shared" si="9"/>
        <v>#N/A</v>
      </c>
      <c r="T121" s="130" t="s">
        <v>132</v>
      </c>
      <c r="U121" s="130" t="s">
        <v>132</v>
      </c>
      <c r="V121" s="130" t="s">
        <v>132</v>
      </c>
      <c r="W121" s="130" t="s">
        <v>132</v>
      </c>
    </row>
    <row r="122" spans="1:23" hidden="1" x14ac:dyDescent="0.2">
      <c r="A122" s="130" t="s">
        <v>125</v>
      </c>
      <c r="B122" s="130" t="s">
        <v>126</v>
      </c>
      <c r="C122" s="130" t="s">
        <v>430</v>
      </c>
      <c r="D122" s="131" t="s">
        <v>431</v>
      </c>
      <c r="E122" s="130" t="s">
        <v>129</v>
      </c>
      <c r="F122" s="130" t="s">
        <v>130</v>
      </c>
      <c r="G122" s="130" t="s">
        <v>290</v>
      </c>
      <c r="H122" s="131" t="str">
        <f t="shared" si="8"/>
        <v>GAS:Manual price</v>
      </c>
      <c r="I122" s="130" t="s">
        <v>132</v>
      </c>
      <c r="J122" s="130" t="s">
        <v>133</v>
      </c>
      <c r="K122" s="130" t="s">
        <v>133</v>
      </c>
      <c r="L122" s="130" t="s">
        <v>132</v>
      </c>
      <c r="M122" s="130" t="s">
        <v>158</v>
      </c>
      <c r="N122" s="130" t="s">
        <v>132</v>
      </c>
      <c r="O122" s="130" t="s">
        <v>132</v>
      </c>
      <c r="P122" s="130" t="s">
        <v>133</v>
      </c>
      <c r="Q122" s="130" t="s">
        <v>133</v>
      </c>
      <c r="R122" s="130" t="s">
        <v>161</v>
      </c>
      <c r="S122" s="131" t="str">
        <f t="shared" si="9"/>
        <v>ERLOS</v>
      </c>
      <c r="T122" s="130" t="s">
        <v>132</v>
      </c>
      <c r="U122" s="130" t="s">
        <v>25</v>
      </c>
      <c r="V122" s="130" t="s">
        <v>132</v>
      </c>
      <c r="W122" s="130" t="s">
        <v>132</v>
      </c>
    </row>
    <row r="123" spans="1:23" hidden="1" x14ac:dyDescent="0.2">
      <c r="A123" s="130" t="s">
        <v>125</v>
      </c>
      <c r="B123" s="130" t="s">
        <v>126</v>
      </c>
      <c r="C123" s="130" t="s">
        <v>430</v>
      </c>
      <c r="D123" s="131" t="s">
        <v>431</v>
      </c>
      <c r="E123" s="130" t="s">
        <v>432</v>
      </c>
      <c r="F123" s="130" t="s">
        <v>130</v>
      </c>
      <c r="G123" s="130" t="s">
        <v>369</v>
      </c>
      <c r="H123" s="131" t="str">
        <f t="shared" si="8"/>
        <v>NGR:Service Mainten.</v>
      </c>
      <c r="I123" s="130" t="s">
        <v>132</v>
      </c>
      <c r="J123" s="130" t="s">
        <v>133</v>
      </c>
      <c r="K123" s="130" t="s">
        <v>133</v>
      </c>
      <c r="L123" s="130" t="s">
        <v>132</v>
      </c>
      <c r="M123" s="130" t="s">
        <v>158</v>
      </c>
      <c r="N123" s="130" t="s">
        <v>132</v>
      </c>
      <c r="O123" s="130" t="s">
        <v>132</v>
      </c>
      <c r="P123" s="130" t="s">
        <v>133</v>
      </c>
      <c r="Q123" s="130" t="s">
        <v>133</v>
      </c>
      <c r="R123" s="130" t="s">
        <v>161</v>
      </c>
      <c r="S123" s="131" t="e">
        <f t="shared" si="9"/>
        <v>#N/A</v>
      </c>
      <c r="T123" s="130" t="s">
        <v>132</v>
      </c>
      <c r="U123" s="130" t="s">
        <v>25</v>
      </c>
      <c r="V123" s="130" t="s">
        <v>132</v>
      </c>
      <c r="W123" s="130" t="s">
        <v>132</v>
      </c>
    </row>
    <row r="124" spans="1:23" hidden="1" x14ac:dyDescent="0.2">
      <c r="A124" s="130" t="s">
        <v>125</v>
      </c>
      <c r="B124" s="130" t="s">
        <v>126</v>
      </c>
      <c r="C124" s="130" t="s">
        <v>430</v>
      </c>
      <c r="D124" s="131" t="s">
        <v>431</v>
      </c>
      <c r="E124" s="130" t="s">
        <v>433</v>
      </c>
      <c r="F124" s="130" t="s">
        <v>130</v>
      </c>
      <c r="G124" s="130" t="s">
        <v>374</v>
      </c>
      <c r="H124" s="131" t="str">
        <f t="shared" si="8"/>
        <v>NGR:Pipe rack</v>
      </c>
      <c r="I124" s="130" t="s">
        <v>132</v>
      </c>
      <c r="J124" s="130" t="s">
        <v>133</v>
      </c>
      <c r="K124" s="130" t="s">
        <v>133</v>
      </c>
      <c r="L124" s="130" t="s">
        <v>132</v>
      </c>
      <c r="M124" s="130" t="s">
        <v>158</v>
      </c>
      <c r="N124" s="130" t="s">
        <v>132</v>
      </c>
      <c r="O124" s="130" t="s">
        <v>132</v>
      </c>
      <c r="P124" s="130" t="s">
        <v>133</v>
      </c>
      <c r="Q124" s="130" t="s">
        <v>133</v>
      </c>
      <c r="R124" s="130" t="s">
        <v>161</v>
      </c>
      <c r="S124" s="131" t="e">
        <f t="shared" si="9"/>
        <v>#N/A</v>
      </c>
      <c r="T124" s="130" t="s">
        <v>132</v>
      </c>
      <c r="U124" s="130" t="s">
        <v>25</v>
      </c>
      <c r="V124" s="130" t="s">
        <v>132</v>
      </c>
      <c r="W124" s="130" t="s">
        <v>132</v>
      </c>
    </row>
    <row r="125" spans="1:23" hidden="1" x14ac:dyDescent="0.2">
      <c r="A125" s="130" t="s">
        <v>125</v>
      </c>
      <c r="B125" s="130" t="s">
        <v>126</v>
      </c>
      <c r="C125" s="130" t="s">
        <v>430</v>
      </c>
      <c r="D125" s="131" t="s">
        <v>431</v>
      </c>
      <c r="E125" s="130" t="s">
        <v>139</v>
      </c>
      <c r="F125" s="130" t="s">
        <v>130</v>
      </c>
      <c r="G125" s="130" t="s">
        <v>385</v>
      </c>
      <c r="H125" s="131" t="str">
        <f t="shared" si="8"/>
        <v>NGR: Take or Pay</v>
      </c>
      <c r="I125" s="130" t="s">
        <v>132</v>
      </c>
      <c r="J125" s="130" t="s">
        <v>133</v>
      </c>
      <c r="K125" s="130" t="s">
        <v>133</v>
      </c>
      <c r="L125" s="130" t="s">
        <v>132</v>
      </c>
      <c r="M125" s="130" t="s">
        <v>158</v>
      </c>
      <c r="N125" s="130" t="s">
        <v>132</v>
      </c>
      <c r="O125" s="130" t="s">
        <v>132</v>
      </c>
      <c r="P125" s="130" t="s">
        <v>133</v>
      </c>
      <c r="Q125" s="130" t="s">
        <v>133</v>
      </c>
      <c r="R125" s="130" t="s">
        <v>161</v>
      </c>
      <c r="S125" s="131" t="e">
        <f t="shared" si="9"/>
        <v>#N/A</v>
      </c>
      <c r="T125" s="130" t="s">
        <v>132</v>
      </c>
      <c r="U125" s="130" t="s">
        <v>25</v>
      </c>
      <c r="V125" s="130" t="s">
        <v>132</v>
      </c>
      <c r="W125" s="130" t="s">
        <v>132</v>
      </c>
    </row>
    <row r="126" spans="1:23" hidden="1" x14ac:dyDescent="0.2">
      <c r="A126" s="130" t="s">
        <v>125</v>
      </c>
      <c r="B126" s="130" t="s">
        <v>126</v>
      </c>
      <c r="C126" s="130" t="s">
        <v>430</v>
      </c>
      <c r="D126" s="131" t="s">
        <v>431</v>
      </c>
      <c r="E126" s="130" t="s">
        <v>144</v>
      </c>
      <c r="F126" s="130" t="s">
        <v>130</v>
      </c>
      <c r="G126" s="130" t="s">
        <v>273</v>
      </c>
      <c r="H126" s="131" t="str">
        <f t="shared" si="8"/>
        <v>Make up right</v>
      </c>
      <c r="I126" s="130" t="s">
        <v>132</v>
      </c>
      <c r="J126" s="130" t="s">
        <v>133</v>
      </c>
      <c r="K126" s="130" t="s">
        <v>133</v>
      </c>
      <c r="L126" s="130" t="s">
        <v>132</v>
      </c>
      <c r="M126" s="130" t="s">
        <v>158</v>
      </c>
      <c r="N126" s="130" t="s">
        <v>132</v>
      </c>
      <c r="O126" s="130" t="s">
        <v>132</v>
      </c>
      <c r="P126" s="130" t="s">
        <v>133</v>
      </c>
      <c r="Q126" s="130" t="s">
        <v>133</v>
      </c>
      <c r="R126" s="130" t="s">
        <v>427</v>
      </c>
      <c r="S126" s="131" t="str">
        <f t="shared" si="9"/>
        <v>ERLOS</v>
      </c>
      <c r="T126" s="130" t="s">
        <v>132</v>
      </c>
      <c r="U126" s="130" t="s">
        <v>25</v>
      </c>
      <c r="V126" s="130" t="s">
        <v>132</v>
      </c>
      <c r="W126" s="130" t="s">
        <v>132</v>
      </c>
    </row>
    <row r="127" spans="1:23" hidden="1" x14ac:dyDescent="0.2">
      <c r="A127" s="130" t="s">
        <v>125</v>
      </c>
      <c r="B127" s="130" t="s">
        <v>126</v>
      </c>
      <c r="C127" s="130" t="s">
        <v>430</v>
      </c>
      <c r="D127" s="131" t="s">
        <v>431</v>
      </c>
      <c r="E127" s="130" t="s">
        <v>206</v>
      </c>
      <c r="F127" s="130" t="s">
        <v>130</v>
      </c>
      <c r="G127" s="130" t="s">
        <v>132</v>
      </c>
      <c r="H127" s="131" t="e">
        <f t="shared" si="8"/>
        <v>#N/A</v>
      </c>
      <c r="I127" s="130" t="s">
        <v>393</v>
      </c>
      <c r="J127" s="130" t="s">
        <v>133</v>
      </c>
      <c r="K127" s="130" t="s">
        <v>133</v>
      </c>
      <c r="L127" s="130" t="s">
        <v>132</v>
      </c>
      <c r="M127" s="130" t="s">
        <v>133</v>
      </c>
      <c r="N127" s="130" t="s">
        <v>132</v>
      </c>
      <c r="O127" s="130" t="s">
        <v>132</v>
      </c>
      <c r="P127" s="130" t="s">
        <v>158</v>
      </c>
      <c r="Q127" s="130" t="s">
        <v>133</v>
      </c>
      <c r="R127" s="130" t="s">
        <v>132</v>
      </c>
      <c r="S127" s="131" t="e">
        <f t="shared" si="9"/>
        <v>#N/A</v>
      </c>
      <c r="T127" s="130" t="s">
        <v>132</v>
      </c>
      <c r="U127" s="130" t="s">
        <v>132</v>
      </c>
      <c r="V127" s="130" t="s">
        <v>132</v>
      </c>
      <c r="W127" s="130" t="s">
        <v>132</v>
      </c>
    </row>
    <row r="128" spans="1:23" hidden="1" x14ac:dyDescent="0.2">
      <c r="A128" s="130" t="s">
        <v>125</v>
      </c>
      <c r="B128" s="130" t="s">
        <v>126</v>
      </c>
      <c r="C128" s="130" t="s">
        <v>430</v>
      </c>
      <c r="D128" s="131" t="s">
        <v>431</v>
      </c>
      <c r="E128" s="130" t="s">
        <v>214</v>
      </c>
      <c r="F128" s="130" t="s">
        <v>130</v>
      </c>
      <c r="G128" s="130" t="s">
        <v>367</v>
      </c>
      <c r="H128" s="131" t="str">
        <f t="shared" si="8"/>
        <v>NGR:Service Price-MM</v>
      </c>
      <c r="I128" s="130" t="s">
        <v>132</v>
      </c>
      <c r="J128" s="130" t="s">
        <v>133</v>
      </c>
      <c r="K128" s="130" t="s">
        <v>133</v>
      </c>
      <c r="L128" s="130" t="s">
        <v>132</v>
      </c>
      <c r="M128" s="130" t="s">
        <v>158</v>
      </c>
      <c r="N128" s="130" t="s">
        <v>174</v>
      </c>
      <c r="O128" s="130" t="s">
        <v>25</v>
      </c>
      <c r="P128" s="130" t="s">
        <v>133</v>
      </c>
      <c r="Q128" s="130" t="s">
        <v>133</v>
      </c>
      <c r="R128" s="130" t="s">
        <v>132</v>
      </c>
      <c r="S128" s="131" t="e">
        <f t="shared" si="9"/>
        <v>#N/A</v>
      </c>
      <c r="T128" s="130" t="s">
        <v>132</v>
      </c>
      <c r="U128" s="130" t="s">
        <v>25</v>
      </c>
      <c r="V128" s="130" t="s">
        <v>132</v>
      </c>
      <c r="W128" s="130" t="s">
        <v>132</v>
      </c>
    </row>
    <row r="129" spans="1:23" hidden="1" x14ac:dyDescent="0.2">
      <c r="A129" s="130" t="s">
        <v>125</v>
      </c>
      <c r="B129" s="130" t="s">
        <v>126</v>
      </c>
      <c r="C129" s="130" t="s">
        <v>430</v>
      </c>
      <c r="D129" s="131" t="s">
        <v>431</v>
      </c>
      <c r="E129" s="130" t="s">
        <v>434</v>
      </c>
      <c r="F129" s="130" t="s">
        <v>130</v>
      </c>
      <c r="G129" s="130" t="s">
        <v>187</v>
      </c>
      <c r="H129" s="131" t="str">
        <f t="shared" si="8"/>
        <v>NGR: Commercial tax</v>
      </c>
      <c r="I129" s="130" t="s">
        <v>132</v>
      </c>
      <c r="J129" s="130" t="s">
        <v>214</v>
      </c>
      <c r="K129" s="130" t="s">
        <v>214</v>
      </c>
      <c r="L129" s="130" t="s">
        <v>132</v>
      </c>
      <c r="M129" s="130" t="s">
        <v>158</v>
      </c>
      <c r="N129" s="130" t="s">
        <v>168</v>
      </c>
      <c r="O129" s="130" t="s">
        <v>132</v>
      </c>
      <c r="P129" s="130" t="s">
        <v>133</v>
      </c>
      <c r="Q129" s="130" t="s">
        <v>133</v>
      </c>
      <c r="R129" s="130" t="s">
        <v>435</v>
      </c>
      <c r="S129" s="131" t="e">
        <f t="shared" si="9"/>
        <v>#N/A</v>
      </c>
      <c r="T129" s="130" t="s">
        <v>132</v>
      </c>
      <c r="U129" s="130" t="s">
        <v>132</v>
      </c>
      <c r="V129" s="130" t="s">
        <v>132</v>
      </c>
      <c r="W129" s="130" t="s">
        <v>132</v>
      </c>
    </row>
    <row r="130" spans="1:23" hidden="1" x14ac:dyDescent="0.2">
      <c r="A130" s="130" t="s">
        <v>125</v>
      </c>
      <c r="B130" s="130" t="s">
        <v>126</v>
      </c>
      <c r="C130" s="130" t="s">
        <v>430</v>
      </c>
      <c r="D130" s="131" t="s">
        <v>431</v>
      </c>
      <c r="E130" s="130" t="s">
        <v>218</v>
      </c>
      <c r="F130" s="130" t="s">
        <v>130</v>
      </c>
      <c r="G130" s="130" t="s">
        <v>372</v>
      </c>
      <c r="H130" s="131" t="str">
        <f t="shared" si="8"/>
        <v>NGR:NET ServPrice-MM</v>
      </c>
      <c r="I130" s="130" t="s">
        <v>132</v>
      </c>
      <c r="J130" s="130" t="s">
        <v>133</v>
      </c>
      <c r="K130" s="130" t="s">
        <v>133</v>
      </c>
      <c r="L130" s="130" t="s">
        <v>132</v>
      </c>
      <c r="M130" s="130" t="s">
        <v>158</v>
      </c>
      <c r="N130" s="130" t="s">
        <v>132</v>
      </c>
      <c r="O130" s="130" t="s">
        <v>132</v>
      </c>
      <c r="P130" s="130" t="s">
        <v>179</v>
      </c>
      <c r="Q130" s="130" t="s">
        <v>133</v>
      </c>
      <c r="R130" s="130" t="s">
        <v>161</v>
      </c>
      <c r="S130" s="131" t="e">
        <f t="shared" si="9"/>
        <v>#N/A</v>
      </c>
      <c r="T130" s="130" t="s">
        <v>132</v>
      </c>
      <c r="U130" s="130" t="s">
        <v>132</v>
      </c>
      <c r="V130" s="130" t="s">
        <v>132</v>
      </c>
      <c r="W130" s="130" t="s">
        <v>132</v>
      </c>
    </row>
    <row r="131" spans="1:23" hidden="1" x14ac:dyDescent="0.2">
      <c r="A131" s="130" t="s">
        <v>125</v>
      </c>
      <c r="B131" s="130" t="s">
        <v>126</v>
      </c>
      <c r="C131" s="130" t="s">
        <v>430</v>
      </c>
      <c r="D131" s="131" t="s">
        <v>431</v>
      </c>
      <c r="E131" s="130" t="s">
        <v>377</v>
      </c>
      <c r="F131" s="130" t="s">
        <v>130</v>
      </c>
      <c r="G131" s="130" t="s">
        <v>132</v>
      </c>
      <c r="H131" s="131" t="e">
        <f t="shared" si="8"/>
        <v>#N/A</v>
      </c>
      <c r="I131" s="130" t="s">
        <v>436</v>
      </c>
      <c r="J131" s="130" t="s">
        <v>206</v>
      </c>
      <c r="K131" s="130" t="s">
        <v>206</v>
      </c>
      <c r="L131" s="130" t="s">
        <v>132</v>
      </c>
      <c r="M131" s="130" t="s">
        <v>133</v>
      </c>
      <c r="N131" s="130" t="s">
        <v>132</v>
      </c>
      <c r="O131" s="130" t="s">
        <v>132</v>
      </c>
      <c r="P131" s="130" t="s">
        <v>133</v>
      </c>
      <c r="Q131" s="130" t="s">
        <v>133</v>
      </c>
      <c r="R131" s="130" t="s">
        <v>132</v>
      </c>
      <c r="S131" s="131" t="e">
        <f t="shared" si="9"/>
        <v>#N/A</v>
      </c>
      <c r="T131" s="130" t="s">
        <v>132</v>
      </c>
      <c r="U131" s="130" t="s">
        <v>132</v>
      </c>
      <c r="V131" s="130" t="s">
        <v>132</v>
      </c>
      <c r="W131" s="130" t="s">
        <v>132</v>
      </c>
    </row>
    <row r="132" spans="1:23" hidden="1" x14ac:dyDescent="0.2">
      <c r="A132" s="130" t="s">
        <v>125</v>
      </c>
      <c r="B132" s="130" t="s">
        <v>126</v>
      </c>
      <c r="C132" s="130" t="s">
        <v>430</v>
      </c>
      <c r="D132" s="131" t="s">
        <v>431</v>
      </c>
      <c r="E132" s="130" t="s">
        <v>256</v>
      </c>
      <c r="F132" s="130" t="s">
        <v>130</v>
      </c>
      <c r="G132" s="130" t="s">
        <v>132</v>
      </c>
      <c r="H132" s="131" t="e">
        <f t="shared" si="8"/>
        <v>#N/A</v>
      </c>
      <c r="I132" s="130" t="s">
        <v>373</v>
      </c>
      <c r="J132" s="130" t="s">
        <v>218</v>
      </c>
      <c r="K132" s="130" t="s">
        <v>218</v>
      </c>
      <c r="L132" s="130" t="s">
        <v>132</v>
      </c>
      <c r="M132" s="130" t="s">
        <v>133</v>
      </c>
      <c r="N132" s="130" t="s">
        <v>132</v>
      </c>
      <c r="O132" s="130" t="s">
        <v>132</v>
      </c>
      <c r="P132" s="130" t="s">
        <v>133</v>
      </c>
      <c r="Q132" s="130" t="s">
        <v>133</v>
      </c>
      <c r="R132" s="130" t="s">
        <v>132</v>
      </c>
      <c r="S132" s="131" t="e">
        <f t="shared" si="9"/>
        <v>#N/A</v>
      </c>
      <c r="T132" s="130" t="s">
        <v>132</v>
      </c>
      <c r="U132" s="130" t="s">
        <v>132</v>
      </c>
      <c r="V132" s="130" t="s">
        <v>132</v>
      </c>
      <c r="W132" s="130" t="s">
        <v>132</v>
      </c>
    </row>
    <row r="133" spans="1:23" hidden="1" x14ac:dyDescent="0.2">
      <c r="A133" s="130" t="s">
        <v>125</v>
      </c>
      <c r="B133" s="130" t="s">
        <v>126</v>
      </c>
      <c r="C133" s="130" t="s">
        <v>430</v>
      </c>
      <c r="D133" s="131" t="s">
        <v>431</v>
      </c>
      <c r="E133" s="130" t="s">
        <v>405</v>
      </c>
      <c r="F133" s="130" t="s">
        <v>130</v>
      </c>
      <c r="G133" s="130" t="s">
        <v>132</v>
      </c>
      <c r="H133" s="131" t="e">
        <f t="shared" si="8"/>
        <v>#N/A</v>
      </c>
      <c r="I133" s="130" t="s">
        <v>437</v>
      </c>
      <c r="J133" s="130" t="s">
        <v>377</v>
      </c>
      <c r="K133" s="130" t="s">
        <v>256</v>
      </c>
      <c r="L133" s="130" t="s">
        <v>132</v>
      </c>
      <c r="M133" s="130" t="s">
        <v>133</v>
      </c>
      <c r="N133" s="130" t="s">
        <v>132</v>
      </c>
      <c r="O133" s="130" t="s">
        <v>132</v>
      </c>
      <c r="P133" s="130" t="s">
        <v>133</v>
      </c>
      <c r="Q133" s="130" t="s">
        <v>133</v>
      </c>
      <c r="R133" s="130" t="s">
        <v>132</v>
      </c>
      <c r="S133" s="131" t="e">
        <f t="shared" si="9"/>
        <v>#N/A</v>
      </c>
      <c r="T133" s="130" t="s">
        <v>132</v>
      </c>
      <c r="U133" s="130" t="s">
        <v>132</v>
      </c>
      <c r="V133" s="130" t="s">
        <v>132</v>
      </c>
      <c r="W133" s="130" t="s">
        <v>132</v>
      </c>
    </row>
    <row r="134" spans="1:23" hidden="1" x14ac:dyDescent="0.2">
      <c r="A134" s="130" t="s">
        <v>125</v>
      </c>
      <c r="B134" s="130" t="s">
        <v>126</v>
      </c>
      <c r="C134" s="130" t="s">
        <v>430</v>
      </c>
      <c r="D134" s="131" t="s">
        <v>431</v>
      </c>
      <c r="E134" s="130" t="s">
        <v>406</v>
      </c>
      <c r="F134" s="130" t="s">
        <v>130</v>
      </c>
      <c r="G134" s="130" t="s">
        <v>180</v>
      </c>
      <c r="H134" s="131" t="str">
        <f t="shared" si="8"/>
        <v>NGR: Demand Charge</v>
      </c>
      <c r="I134" s="130" t="s">
        <v>132</v>
      </c>
      <c r="J134" s="130" t="s">
        <v>133</v>
      </c>
      <c r="K134" s="130" t="s">
        <v>133</v>
      </c>
      <c r="L134" s="130" t="s">
        <v>25</v>
      </c>
      <c r="M134" s="130" t="s">
        <v>158</v>
      </c>
      <c r="N134" s="130" t="s">
        <v>132</v>
      </c>
      <c r="O134" s="130" t="s">
        <v>132</v>
      </c>
      <c r="P134" s="130" t="s">
        <v>133</v>
      </c>
      <c r="Q134" s="130" t="s">
        <v>133</v>
      </c>
      <c r="R134" s="130" t="s">
        <v>161</v>
      </c>
      <c r="S134" s="131" t="str">
        <f t="shared" si="9"/>
        <v>ERLOS</v>
      </c>
      <c r="T134" s="130" t="s">
        <v>132</v>
      </c>
      <c r="U134" s="130" t="s">
        <v>25</v>
      </c>
      <c r="V134" s="130" t="s">
        <v>132</v>
      </c>
      <c r="W134" s="130" t="s">
        <v>132</v>
      </c>
    </row>
    <row r="135" spans="1:23" s="133" customFormat="1" hidden="1" x14ac:dyDescent="0.2">
      <c r="A135" s="132" t="s">
        <v>125</v>
      </c>
      <c r="B135" s="132" t="s">
        <v>126</v>
      </c>
      <c r="C135" s="132" t="s">
        <v>430</v>
      </c>
      <c r="D135" s="133" t="s">
        <v>431</v>
      </c>
      <c r="E135" s="132" t="s">
        <v>306</v>
      </c>
      <c r="F135" s="132"/>
      <c r="G135" s="132" t="s">
        <v>307</v>
      </c>
      <c r="H135" s="133" t="s">
        <v>308</v>
      </c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3" t="s">
        <v>309</v>
      </c>
      <c r="T135" s="132"/>
      <c r="U135" s="132"/>
      <c r="V135" s="132"/>
      <c r="W135" s="132"/>
    </row>
    <row r="136" spans="1:23" hidden="1" x14ac:dyDescent="0.2">
      <c r="A136" s="130" t="s">
        <v>125</v>
      </c>
      <c r="B136" s="130" t="s">
        <v>126</v>
      </c>
      <c r="C136" s="130" t="s">
        <v>430</v>
      </c>
      <c r="D136" s="131" t="s">
        <v>431</v>
      </c>
      <c r="E136" s="130" t="s">
        <v>409</v>
      </c>
      <c r="F136" s="130" t="s">
        <v>130</v>
      </c>
      <c r="G136" s="130" t="s">
        <v>132</v>
      </c>
      <c r="H136" s="131" t="e">
        <f t="shared" ref="H136:H141" si="10">VLOOKUP(G136,AB:AC,2,FALSE)</f>
        <v>#N/A</v>
      </c>
      <c r="I136" s="130" t="s">
        <v>410</v>
      </c>
      <c r="J136" s="130" t="s">
        <v>405</v>
      </c>
      <c r="K136" s="130" t="s">
        <v>438</v>
      </c>
      <c r="L136" s="130" t="s">
        <v>132</v>
      </c>
      <c r="M136" s="130" t="s">
        <v>133</v>
      </c>
      <c r="N136" s="130" t="s">
        <v>394</v>
      </c>
      <c r="O136" s="130" t="s">
        <v>132</v>
      </c>
      <c r="P136" s="130" t="s">
        <v>133</v>
      </c>
      <c r="Q136" s="130" t="s">
        <v>133</v>
      </c>
      <c r="R136" s="130" t="s">
        <v>132</v>
      </c>
      <c r="S136" s="131" t="e">
        <f t="shared" ref="S136:S141" si="11">VLOOKUP(G136,Y:Z,2,FALSE)</f>
        <v>#N/A</v>
      </c>
      <c r="T136" s="130" t="s">
        <v>132</v>
      </c>
      <c r="U136" s="130" t="s">
        <v>132</v>
      </c>
      <c r="V136" s="130" t="s">
        <v>132</v>
      </c>
      <c r="W136" s="130" t="s">
        <v>132</v>
      </c>
    </row>
    <row r="137" spans="1:23" hidden="1" x14ac:dyDescent="0.2">
      <c r="A137" s="130" t="s">
        <v>125</v>
      </c>
      <c r="B137" s="130" t="s">
        <v>126</v>
      </c>
      <c r="C137" s="130" t="s">
        <v>430</v>
      </c>
      <c r="D137" s="131" t="s">
        <v>431</v>
      </c>
      <c r="E137" s="130" t="s">
        <v>412</v>
      </c>
      <c r="F137" s="130" t="s">
        <v>130</v>
      </c>
      <c r="G137" s="130" t="s">
        <v>137</v>
      </c>
      <c r="H137" s="131" t="str">
        <f t="shared" si="10"/>
        <v>Output Tax</v>
      </c>
      <c r="I137" s="130" t="s">
        <v>132</v>
      </c>
      <c r="J137" s="130" t="s">
        <v>409</v>
      </c>
      <c r="K137" s="130" t="s">
        <v>409</v>
      </c>
      <c r="L137" s="130" t="s">
        <v>132</v>
      </c>
      <c r="M137" s="130" t="s">
        <v>129</v>
      </c>
      <c r="N137" s="130" t="s">
        <v>132</v>
      </c>
      <c r="O137" s="130" t="s">
        <v>132</v>
      </c>
      <c r="P137" s="130" t="s">
        <v>133</v>
      </c>
      <c r="Q137" s="130" t="s">
        <v>439</v>
      </c>
      <c r="R137" s="130" t="s">
        <v>316</v>
      </c>
      <c r="S137" s="131" t="e">
        <f t="shared" si="11"/>
        <v>#N/A</v>
      </c>
      <c r="T137" s="130" t="s">
        <v>132</v>
      </c>
      <c r="U137" s="130" t="s">
        <v>132</v>
      </c>
      <c r="V137" s="130" t="s">
        <v>25</v>
      </c>
      <c r="W137" s="130" t="s">
        <v>132</v>
      </c>
    </row>
    <row r="138" spans="1:23" hidden="1" x14ac:dyDescent="0.2">
      <c r="A138" s="130" t="s">
        <v>125</v>
      </c>
      <c r="B138" s="130" t="s">
        <v>126</v>
      </c>
      <c r="C138" s="130" t="s">
        <v>430</v>
      </c>
      <c r="D138" s="131" t="s">
        <v>431</v>
      </c>
      <c r="E138" s="130" t="s">
        <v>413</v>
      </c>
      <c r="F138" s="130" t="s">
        <v>130</v>
      </c>
      <c r="G138" s="130" t="s">
        <v>132</v>
      </c>
      <c r="H138" s="131" t="e">
        <f t="shared" si="10"/>
        <v>#N/A</v>
      </c>
      <c r="I138" s="130" t="s">
        <v>414</v>
      </c>
      <c r="J138" s="130" t="s">
        <v>133</v>
      </c>
      <c r="K138" s="130" t="s">
        <v>133</v>
      </c>
      <c r="L138" s="130" t="s">
        <v>132</v>
      </c>
      <c r="M138" s="130" t="s">
        <v>133</v>
      </c>
      <c r="N138" s="130" t="s">
        <v>125</v>
      </c>
      <c r="O138" s="130" t="s">
        <v>132</v>
      </c>
      <c r="P138" s="130" t="s">
        <v>320</v>
      </c>
      <c r="Q138" s="130" t="s">
        <v>133</v>
      </c>
      <c r="R138" s="130" t="s">
        <v>132</v>
      </c>
      <c r="S138" s="131" t="e">
        <f t="shared" si="11"/>
        <v>#N/A</v>
      </c>
      <c r="T138" s="130" t="s">
        <v>132</v>
      </c>
      <c r="U138" s="130" t="s">
        <v>132</v>
      </c>
      <c r="V138" s="130" t="s">
        <v>132</v>
      </c>
      <c r="W138" s="130" t="s">
        <v>132</v>
      </c>
    </row>
    <row r="139" spans="1:23" hidden="1" x14ac:dyDescent="0.2">
      <c r="A139" s="130" t="s">
        <v>125</v>
      </c>
      <c r="B139" s="130" t="s">
        <v>126</v>
      </c>
      <c r="C139" s="130" t="s">
        <v>430</v>
      </c>
      <c r="D139" s="131" t="s">
        <v>431</v>
      </c>
      <c r="E139" s="130" t="s">
        <v>415</v>
      </c>
      <c r="F139" s="130" t="s">
        <v>130</v>
      </c>
      <c r="G139" s="130" t="s">
        <v>135</v>
      </c>
      <c r="H139" s="131" t="str">
        <f t="shared" si="10"/>
        <v>Cost</v>
      </c>
      <c r="I139" s="130" t="s">
        <v>132</v>
      </c>
      <c r="J139" s="130" t="s">
        <v>133</v>
      </c>
      <c r="K139" s="130" t="s">
        <v>133</v>
      </c>
      <c r="L139" s="130" t="s">
        <v>132</v>
      </c>
      <c r="M139" s="130" t="s">
        <v>320</v>
      </c>
      <c r="N139" s="130" t="s">
        <v>323</v>
      </c>
      <c r="O139" s="130" t="s">
        <v>25</v>
      </c>
      <c r="P139" s="130" t="s">
        <v>133</v>
      </c>
      <c r="Q139" s="130" t="s">
        <v>133</v>
      </c>
      <c r="R139" s="130" t="s">
        <v>132</v>
      </c>
      <c r="S139" s="131" t="str">
        <f t="shared" si="11"/>
        <v>VVCOG</v>
      </c>
      <c r="T139" s="130" t="s">
        <v>132</v>
      </c>
      <c r="U139" s="130" t="s">
        <v>132</v>
      </c>
      <c r="V139" s="130" t="s">
        <v>132</v>
      </c>
      <c r="W139" s="130" t="s">
        <v>132</v>
      </c>
    </row>
    <row r="140" spans="1:23" hidden="1" x14ac:dyDescent="0.2">
      <c r="A140" s="130" t="s">
        <v>125</v>
      </c>
      <c r="B140" s="130" t="s">
        <v>126</v>
      </c>
      <c r="C140" s="130" t="s">
        <v>430</v>
      </c>
      <c r="D140" s="131" t="s">
        <v>431</v>
      </c>
      <c r="E140" s="130" t="s">
        <v>416</v>
      </c>
      <c r="F140" s="130" t="s">
        <v>130</v>
      </c>
      <c r="G140" s="130" t="s">
        <v>132</v>
      </c>
      <c r="H140" s="131" t="e">
        <f t="shared" si="10"/>
        <v>#N/A</v>
      </c>
      <c r="I140" s="130" t="s">
        <v>327</v>
      </c>
      <c r="J140" s="130" t="s">
        <v>133</v>
      </c>
      <c r="K140" s="130" t="s">
        <v>133</v>
      </c>
      <c r="L140" s="130" t="s">
        <v>132</v>
      </c>
      <c r="M140" s="130" t="s">
        <v>133</v>
      </c>
      <c r="N140" s="130" t="s">
        <v>132</v>
      </c>
      <c r="O140" s="130" t="s">
        <v>132</v>
      </c>
      <c r="P140" s="130" t="s">
        <v>328</v>
      </c>
      <c r="Q140" s="130" t="s">
        <v>133</v>
      </c>
      <c r="R140" s="130" t="s">
        <v>132</v>
      </c>
      <c r="S140" s="131" t="e">
        <f t="shared" si="11"/>
        <v>#N/A</v>
      </c>
      <c r="T140" s="130" t="s">
        <v>132</v>
      </c>
      <c r="U140" s="130" t="s">
        <v>132</v>
      </c>
      <c r="V140" s="130" t="s">
        <v>132</v>
      </c>
      <c r="W140" s="130" t="s">
        <v>132</v>
      </c>
    </row>
    <row r="141" spans="1:23" hidden="1" x14ac:dyDescent="0.2">
      <c r="A141" s="130" t="s">
        <v>125</v>
      </c>
      <c r="B141" s="130" t="s">
        <v>126</v>
      </c>
      <c r="C141" s="130" t="s">
        <v>430</v>
      </c>
      <c r="D141" s="131" t="s">
        <v>431</v>
      </c>
      <c r="E141" s="130" t="s">
        <v>440</v>
      </c>
      <c r="F141" s="130" t="s">
        <v>130</v>
      </c>
      <c r="G141" s="130" t="s">
        <v>332</v>
      </c>
      <c r="H141" s="131" t="str">
        <f t="shared" si="10"/>
        <v>Withholding Tax</v>
      </c>
      <c r="I141" s="130" t="s">
        <v>132</v>
      </c>
      <c r="J141" s="130" t="s">
        <v>405</v>
      </c>
      <c r="K141" s="130" t="s">
        <v>405</v>
      </c>
      <c r="L141" s="130" t="s">
        <v>132</v>
      </c>
      <c r="M141" s="130" t="s">
        <v>333</v>
      </c>
      <c r="N141" s="130" t="s">
        <v>132</v>
      </c>
      <c r="O141" s="130" t="s">
        <v>25</v>
      </c>
      <c r="P141" s="130" t="s">
        <v>133</v>
      </c>
      <c r="Q141" s="130" t="s">
        <v>133</v>
      </c>
      <c r="R141" s="130" t="s">
        <v>132</v>
      </c>
      <c r="S141" s="131" t="e">
        <f t="shared" si="11"/>
        <v>#N/A</v>
      </c>
      <c r="T141" s="130" t="s">
        <v>132</v>
      </c>
      <c r="U141" s="130" t="s">
        <v>132</v>
      </c>
      <c r="V141" s="130" t="s">
        <v>132</v>
      </c>
      <c r="W141" s="130" t="s">
        <v>132</v>
      </c>
    </row>
  </sheetData>
  <autoFilter ref="A1:AC141" xr:uid="{00000000-0009-0000-0000-000003000000}">
    <filterColumn colId="2">
      <filters>
        <filter val="ZGSM0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69"/>
  <sheetViews>
    <sheetView workbookViewId="0"/>
  </sheetViews>
  <sheetFormatPr baseColWidth="10" defaultColWidth="8.6640625" defaultRowHeight="15" x14ac:dyDescent="0.2"/>
  <cols>
    <col min="2" max="2" width="7.1640625" bestFit="1" customWidth="1"/>
    <col min="3" max="3" width="3.6640625" bestFit="1" customWidth="1"/>
    <col min="5" max="5" width="8" bestFit="1" customWidth="1"/>
    <col min="11" max="11" width="5.1640625" bestFit="1" customWidth="1"/>
    <col min="12" max="12" width="2" bestFit="1" customWidth="1"/>
    <col min="13" max="13" width="5.1640625" bestFit="1" customWidth="1"/>
    <col min="14" max="14" width="6.6640625" bestFit="1" customWidth="1"/>
  </cols>
  <sheetData>
    <row r="1" spans="2:15" x14ac:dyDescent="0.2">
      <c r="B1" t="s">
        <v>441</v>
      </c>
      <c r="C1" t="s">
        <v>108</v>
      </c>
      <c r="E1" t="s">
        <v>442</v>
      </c>
      <c r="F1" t="s">
        <v>120</v>
      </c>
    </row>
    <row r="2" spans="2:15" x14ac:dyDescent="0.2">
      <c r="B2" t="s">
        <v>127</v>
      </c>
      <c r="C2">
        <v>10</v>
      </c>
      <c r="E2" t="s">
        <v>131</v>
      </c>
      <c r="F2" t="str">
        <f>VLOOKUP(E2,M:N,2,FALSE)</f>
        <v>VVDC1</v>
      </c>
      <c r="K2" t="s">
        <v>443</v>
      </c>
      <c r="L2" t="s">
        <v>126</v>
      </c>
      <c r="M2" t="s">
        <v>135</v>
      </c>
      <c r="N2" t="s">
        <v>136</v>
      </c>
      <c r="O2" t="s">
        <v>25</v>
      </c>
    </row>
    <row r="3" spans="2:15" x14ac:dyDescent="0.2">
      <c r="B3" t="s">
        <v>127</v>
      </c>
      <c r="C3">
        <v>20</v>
      </c>
      <c r="E3" t="s">
        <v>140</v>
      </c>
      <c r="F3" t="str">
        <f t="shared" ref="F3:F66" si="0">VLOOKUP(E3,M:N,2,FALSE)</f>
        <v>VVDC2</v>
      </c>
      <c r="K3" t="s">
        <v>443</v>
      </c>
      <c r="L3" t="s">
        <v>126</v>
      </c>
      <c r="M3" t="s">
        <v>141</v>
      </c>
      <c r="N3" t="s">
        <v>142</v>
      </c>
      <c r="O3" t="s">
        <v>25</v>
      </c>
    </row>
    <row r="4" spans="2:15" x14ac:dyDescent="0.2">
      <c r="B4" t="s">
        <v>127</v>
      </c>
      <c r="C4">
        <v>30</v>
      </c>
      <c r="E4" t="s">
        <v>145</v>
      </c>
      <c r="F4" t="str">
        <f t="shared" si="0"/>
        <v>VVDC3</v>
      </c>
      <c r="K4" t="s">
        <v>443</v>
      </c>
      <c r="L4" t="s">
        <v>126</v>
      </c>
      <c r="M4" t="s">
        <v>152</v>
      </c>
      <c r="N4" t="s">
        <v>153</v>
      </c>
      <c r="O4" t="s">
        <v>25</v>
      </c>
    </row>
    <row r="5" spans="2:15" x14ac:dyDescent="0.2">
      <c r="B5" t="s">
        <v>127</v>
      </c>
      <c r="C5">
        <v>40</v>
      </c>
      <c r="E5" t="s">
        <v>151</v>
      </c>
      <c r="F5" t="str">
        <f t="shared" si="0"/>
        <v>VVDC4</v>
      </c>
      <c r="K5" t="s">
        <v>443</v>
      </c>
      <c r="L5" t="s">
        <v>126</v>
      </c>
      <c r="M5" t="s">
        <v>185</v>
      </c>
      <c r="N5" t="s">
        <v>186</v>
      </c>
      <c r="O5" t="s">
        <v>25</v>
      </c>
    </row>
    <row r="6" spans="2:15" x14ac:dyDescent="0.2">
      <c r="B6" t="s">
        <v>127</v>
      </c>
      <c r="C6">
        <v>41</v>
      </c>
      <c r="E6" t="s">
        <v>157</v>
      </c>
      <c r="F6" t="str">
        <f t="shared" si="0"/>
        <v>VVTDC</v>
      </c>
      <c r="K6" t="s">
        <v>443</v>
      </c>
      <c r="L6" t="s">
        <v>126</v>
      </c>
      <c r="M6" t="s">
        <v>178</v>
      </c>
      <c r="N6" t="s">
        <v>186</v>
      </c>
      <c r="O6" t="s">
        <v>25</v>
      </c>
    </row>
    <row r="7" spans="2:15" x14ac:dyDescent="0.2">
      <c r="B7" t="s">
        <v>127</v>
      </c>
      <c r="C7">
        <v>50</v>
      </c>
      <c r="F7" t="e">
        <f t="shared" si="0"/>
        <v>#N/A</v>
      </c>
      <c r="K7" t="s">
        <v>443</v>
      </c>
      <c r="L7" t="s">
        <v>126</v>
      </c>
      <c r="M7" t="s">
        <v>196</v>
      </c>
      <c r="N7" t="s">
        <v>147</v>
      </c>
      <c r="O7" t="s">
        <v>25</v>
      </c>
    </row>
    <row r="8" spans="2:15" x14ac:dyDescent="0.2">
      <c r="B8" t="s">
        <v>127</v>
      </c>
      <c r="C8">
        <v>51</v>
      </c>
      <c r="F8" t="e">
        <f t="shared" si="0"/>
        <v>#N/A</v>
      </c>
      <c r="K8" t="s">
        <v>443</v>
      </c>
      <c r="L8" t="s">
        <v>126</v>
      </c>
      <c r="M8" t="s">
        <v>131</v>
      </c>
      <c r="N8" t="s">
        <v>200</v>
      </c>
      <c r="O8" t="s">
        <v>25</v>
      </c>
    </row>
    <row r="9" spans="2:15" x14ac:dyDescent="0.2">
      <c r="B9" t="s">
        <v>127</v>
      </c>
      <c r="C9">
        <v>52</v>
      </c>
      <c r="E9" t="s">
        <v>178</v>
      </c>
      <c r="F9" t="str">
        <f t="shared" si="0"/>
        <v>VVDC3</v>
      </c>
      <c r="K9" t="s">
        <v>443</v>
      </c>
      <c r="L9" t="s">
        <v>126</v>
      </c>
      <c r="M9" t="s">
        <v>140</v>
      </c>
      <c r="N9" t="s">
        <v>204</v>
      </c>
      <c r="O9" t="s">
        <v>25</v>
      </c>
    </row>
    <row r="10" spans="2:15" x14ac:dyDescent="0.2">
      <c r="B10" t="s">
        <v>127</v>
      </c>
      <c r="C10">
        <v>60</v>
      </c>
      <c r="E10" t="s">
        <v>184</v>
      </c>
      <c r="F10" t="e">
        <f t="shared" si="0"/>
        <v>#N/A</v>
      </c>
      <c r="K10" t="s">
        <v>443</v>
      </c>
      <c r="L10" t="s">
        <v>126</v>
      </c>
      <c r="M10" t="s">
        <v>145</v>
      </c>
      <c r="N10" t="s">
        <v>186</v>
      </c>
      <c r="O10" t="s">
        <v>25</v>
      </c>
    </row>
    <row r="11" spans="2:15" x14ac:dyDescent="0.2">
      <c r="B11" t="s">
        <v>127</v>
      </c>
      <c r="C11">
        <v>70</v>
      </c>
      <c r="E11" t="s">
        <v>190</v>
      </c>
      <c r="F11" t="str">
        <f t="shared" si="0"/>
        <v>VVDCT</v>
      </c>
      <c r="K11" t="s">
        <v>443</v>
      </c>
      <c r="L11" t="s">
        <v>126</v>
      </c>
      <c r="M11" t="s">
        <v>151</v>
      </c>
      <c r="N11" t="s">
        <v>211</v>
      </c>
      <c r="O11" t="s">
        <v>25</v>
      </c>
    </row>
    <row r="12" spans="2:15" x14ac:dyDescent="0.2">
      <c r="B12" t="s">
        <v>127</v>
      </c>
      <c r="C12">
        <v>80</v>
      </c>
      <c r="E12" t="s">
        <v>194</v>
      </c>
      <c r="F12" t="str">
        <f t="shared" si="0"/>
        <v>VVDC1</v>
      </c>
      <c r="K12" t="s">
        <v>443</v>
      </c>
      <c r="L12" t="s">
        <v>126</v>
      </c>
      <c r="M12" t="s">
        <v>194</v>
      </c>
      <c r="N12" t="s">
        <v>200</v>
      </c>
      <c r="O12" t="s">
        <v>25</v>
      </c>
    </row>
    <row r="13" spans="2:15" x14ac:dyDescent="0.2">
      <c r="B13" t="s">
        <v>127</v>
      </c>
      <c r="C13">
        <v>90</v>
      </c>
      <c r="E13" t="s">
        <v>199</v>
      </c>
      <c r="F13" t="str">
        <f t="shared" si="0"/>
        <v>VVDC2</v>
      </c>
      <c r="K13" t="s">
        <v>443</v>
      </c>
      <c r="L13" t="s">
        <v>126</v>
      </c>
      <c r="M13" t="s">
        <v>199</v>
      </c>
      <c r="N13" t="s">
        <v>204</v>
      </c>
      <c r="O13" t="s">
        <v>25</v>
      </c>
    </row>
    <row r="14" spans="2:15" x14ac:dyDescent="0.2">
      <c r="B14" t="s">
        <v>127</v>
      </c>
      <c r="C14">
        <v>100</v>
      </c>
      <c r="E14" t="s">
        <v>203</v>
      </c>
      <c r="F14" t="str">
        <f t="shared" si="0"/>
        <v>VVDC3</v>
      </c>
      <c r="K14" t="s">
        <v>443</v>
      </c>
      <c r="L14" t="s">
        <v>126</v>
      </c>
      <c r="M14" t="s">
        <v>203</v>
      </c>
      <c r="N14" t="s">
        <v>186</v>
      </c>
      <c r="O14" t="s">
        <v>25</v>
      </c>
    </row>
    <row r="15" spans="2:15" x14ac:dyDescent="0.2">
      <c r="B15" t="s">
        <v>127</v>
      </c>
      <c r="C15">
        <v>110</v>
      </c>
      <c r="E15" t="s">
        <v>207</v>
      </c>
      <c r="F15" t="str">
        <f t="shared" si="0"/>
        <v>VVDC4</v>
      </c>
      <c r="K15" t="s">
        <v>443</v>
      </c>
      <c r="L15" t="s">
        <v>126</v>
      </c>
      <c r="M15" t="s">
        <v>207</v>
      </c>
      <c r="N15" t="s">
        <v>211</v>
      </c>
      <c r="O15" t="s">
        <v>25</v>
      </c>
    </row>
    <row r="16" spans="2:15" x14ac:dyDescent="0.2">
      <c r="B16" t="s">
        <v>127</v>
      </c>
      <c r="C16">
        <v>140</v>
      </c>
      <c r="E16" t="s">
        <v>210</v>
      </c>
      <c r="F16" t="str">
        <f t="shared" si="0"/>
        <v>VVPLP</v>
      </c>
      <c r="K16" t="s">
        <v>443</v>
      </c>
      <c r="L16" t="s">
        <v>126</v>
      </c>
      <c r="M16" t="s">
        <v>226</v>
      </c>
      <c r="N16" t="s">
        <v>227</v>
      </c>
      <c r="O16" t="s">
        <v>25</v>
      </c>
    </row>
    <row r="17" spans="2:15" x14ac:dyDescent="0.2">
      <c r="B17" t="s">
        <v>127</v>
      </c>
      <c r="C17">
        <v>150</v>
      </c>
      <c r="E17" t="s">
        <v>215</v>
      </c>
      <c r="F17" t="e">
        <f t="shared" si="0"/>
        <v>#N/A</v>
      </c>
      <c r="K17" t="s">
        <v>443</v>
      </c>
      <c r="L17" t="s">
        <v>126</v>
      </c>
      <c r="M17" t="s">
        <v>235</v>
      </c>
      <c r="N17" t="s">
        <v>147</v>
      </c>
      <c r="O17" t="s">
        <v>25</v>
      </c>
    </row>
    <row r="18" spans="2:15" x14ac:dyDescent="0.2">
      <c r="B18" t="s">
        <v>127</v>
      </c>
      <c r="C18">
        <v>160</v>
      </c>
      <c r="E18" t="s">
        <v>219</v>
      </c>
      <c r="F18" t="e">
        <f t="shared" si="0"/>
        <v>#N/A</v>
      </c>
      <c r="K18" t="s">
        <v>443</v>
      </c>
      <c r="L18" t="s">
        <v>126</v>
      </c>
      <c r="M18" t="s">
        <v>248</v>
      </c>
      <c r="N18" t="s">
        <v>249</v>
      </c>
      <c r="O18" t="s">
        <v>25</v>
      </c>
    </row>
    <row r="19" spans="2:15" x14ac:dyDescent="0.2">
      <c r="B19" t="s">
        <v>127</v>
      </c>
      <c r="C19">
        <v>161</v>
      </c>
      <c r="E19" t="s">
        <v>164</v>
      </c>
      <c r="F19" t="e">
        <f t="shared" si="0"/>
        <v>#N/A</v>
      </c>
      <c r="K19" t="s">
        <v>443</v>
      </c>
      <c r="L19" t="s">
        <v>126</v>
      </c>
      <c r="M19" t="s">
        <v>254</v>
      </c>
      <c r="N19" t="s">
        <v>142</v>
      </c>
      <c r="O19" t="s">
        <v>25</v>
      </c>
    </row>
    <row r="20" spans="2:15" x14ac:dyDescent="0.2">
      <c r="B20" t="s">
        <v>127</v>
      </c>
      <c r="C20">
        <v>162</v>
      </c>
      <c r="E20" t="s">
        <v>154</v>
      </c>
      <c r="F20" t="e">
        <f t="shared" si="0"/>
        <v>#N/A</v>
      </c>
      <c r="K20" t="s">
        <v>443</v>
      </c>
      <c r="L20" t="s">
        <v>126</v>
      </c>
      <c r="M20" t="s">
        <v>259</v>
      </c>
      <c r="N20" t="s">
        <v>227</v>
      </c>
      <c r="O20" t="s">
        <v>25</v>
      </c>
    </row>
    <row r="21" spans="2:15" x14ac:dyDescent="0.2">
      <c r="B21" t="s">
        <v>127</v>
      </c>
      <c r="C21">
        <v>163</v>
      </c>
      <c r="E21" t="s">
        <v>170</v>
      </c>
      <c r="F21" t="e">
        <f t="shared" si="0"/>
        <v>#N/A</v>
      </c>
      <c r="K21" t="s">
        <v>443</v>
      </c>
      <c r="L21" t="s">
        <v>126</v>
      </c>
      <c r="M21" t="s">
        <v>263</v>
      </c>
      <c r="N21" t="s">
        <v>249</v>
      </c>
      <c r="O21" t="s">
        <v>25</v>
      </c>
    </row>
    <row r="22" spans="2:15" x14ac:dyDescent="0.2">
      <c r="B22" t="s">
        <v>127</v>
      </c>
      <c r="C22">
        <v>164</v>
      </c>
      <c r="E22" t="s">
        <v>148</v>
      </c>
      <c r="F22" t="e">
        <f t="shared" si="0"/>
        <v>#N/A</v>
      </c>
      <c r="K22" t="s">
        <v>443</v>
      </c>
      <c r="L22" t="s">
        <v>126</v>
      </c>
      <c r="M22" t="s">
        <v>266</v>
      </c>
      <c r="N22" t="s">
        <v>267</v>
      </c>
      <c r="O22" t="s">
        <v>25</v>
      </c>
    </row>
    <row r="23" spans="2:15" x14ac:dyDescent="0.2">
      <c r="B23" t="s">
        <v>127</v>
      </c>
      <c r="C23">
        <v>165</v>
      </c>
      <c r="E23" t="s">
        <v>233</v>
      </c>
      <c r="F23" t="e">
        <f t="shared" si="0"/>
        <v>#N/A</v>
      </c>
      <c r="K23" t="s">
        <v>443</v>
      </c>
      <c r="L23" t="s">
        <v>126</v>
      </c>
      <c r="M23" t="s">
        <v>210</v>
      </c>
      <c r="N23" t="s">
        <v>267</v>
      </c>
      <c r="O23" t="s">
        <v>25</v>
      </c>
    </row>
    <row r="24" spans="2:15" x14ac:dyDescent="0.2">
      <c r="B24" t="s">
        <v>127</v>
      </c>
      <c r="C24">
        <v>166</v>
      </c>
      <c r="E24" t="s">
        <v>238</v>
      </c>
      <c r="F24" t="e">
        <f t="shared" si="0"/>
        <v>#N/A</v>
      </c>
      <c r="K24" t="s">
        <v>443</v>
      </c>
      <c r="L24" t="s">
        <v>126</v>
      </c>
      <c r="M24" t="s">
        <v>286</v>
      </c>
      <c r="N24" t="s">
        <v>267</v>
      </c>
      <c r="O24" t="s">
        <v>25</v>
      </c>
    </row>
    <row r="25" spans="2:15" x14ac:dyDescent="0.2">
      <c r="B25" t="s">
        <v>127</v>
      </c>
      <c r="C25">
        <v>170</v>
      </c>
      <c r="E25" t="s">
        <v>242</v>
      </c>
      <c r="F25" t="e">
        <f t="shared" si="0"/>
        <v>#N/A</v>
      </c>
      <c r="K25" t="s">
        <v>443</v>
      </c>
      <c r="L25" t="s">
        <v>126</v>
      </c>
      <c r="M25" t="s">
        <v>270</v>
      </c>
      <c r="N25" t="s">
        <v>304</v>
      </c>
      <c r="O25" t="s">
        <v>25</v>
      </c>
    </row>
    <row r="26" spans="2:15" x14ac:dyDescent="0.2">
      <c r="B26" t="s">
        <v>127</v>
      </c>
      <c r="C26">
        <v>180</v>
      </c>
      <c r="E26" t="s">
        <v>152</v>
      </c>
      <c r="F26" t="str">
        <f t="shared" si="0"/>
        <v>VVCST</v>
      </c>
      <c r="K26" t="s">
        <v>443</v>
      </c>
      <c r="L26" t="s">
        <v>126</v>
      </c>
      <c r="M26" t="s">
        <v>157</v>
      </c>
      <c r="N26" t="s">
        <v>304</v>
      </c>
      <c r="O26" t="s">
        <v>25</v>
      </c>
    </row>
    <row r="27" spans="2:15" x14ac:dyDescent="0.2">
      <c r="B27" t="s">
        <v>127</v>
      </c>
      <c r="C27">
        <v>190</v>
      </c>
      <c r="E27" t="s">
        <v>252</v>
      </c>
      <c r="F27" t="str">
        <f t="shared" si="0"/>
        <v>ERLOS</v>
      </c>
      <c r="K27" t="s">
        <v>443</v>
      </c>
      <c r="L27" t="s">
        <v>126</v>
      </c>
      <c r="M27" t="s">
        <v>252</v>
      </c>
      <c r="N27" t="s">
        <v>147</v>
      </c>
      <c r="O27" t="s">
        <v>25</v>
      </c>
    </row>
    <row r="28" spans="2:15" x14ac:dyDescent="0.2">
      <c r="B28" t="s">
        <v>127</v>
      </c>
      <c r="C28">
        <v>210</v>
      </c>
      <c r="E28" t="s">
        <v>257</v>
      </c>
      <c r="F28" t="e">
        <f t="shared" si="0"/>
        <v>#N/A</v>
      </c>
      <c r="K28" t="s">
        <v>443</v>
      </c>
      <c r="L28" t="s">
        <v>126</v>
      </c>
      <c r="M28" t="s">
        <v>190</v>
      </c>
      <c r="N28" t="s">
        <v>321</v>
      </c>
      <c r="O28" t="s">
        <v>25</v>
      </c>
    </row>
    <row r="29" spans="2:15" x14ac:dyDescent="0.2">
      <c r="B29" t="s">
        <v>127</v>
      </c>
      <c r="C29">
        <v>211</v>
      </c>
      <c r="F29" t="e">
        <f t="shared" si="0"/>
        <v>#N/A</v>
      </c>
      <c r="K29" t="s">
        <v>443</v>
      </c>
      <c r="L29" t="s">
        <v>126</v>
      </c>
      <c r="M29" t="s">
        <v>298</v>
      </c>
      <c r="N29" t="s">
        <v>324</v>
      </c>
      <c r="O29" t="s">
        <v>25</v>
      </c>
    </row>
    <row r="30" spans="2:15" x14ac:dyDescent="0.2">
      <c r="B30" t="s">
        <v>127</v>
      </c>
      <c r="C30">
        <v>212</v>
      </c>
      <c r="E30" t="s">
        <v>196</v>
      </c>
      <c r="F30" t="str">
        <f t="shared" si="0"/>
        <v>ERLOS</v>
      </c>
      <c r="K30" t="s">
        <v>443</v>
      </c>
      <c r="L30" t="s">
        <v>126</v>
      </c>
      <c r="M30" t="s">
        <v>289</v>
      </c>
      <c r="N30" t="s">
        <v>329</v>
      </c>
      <c r="O30" t="s">
        <v>25</v>
      </c>
    </row>
    <row r="31" spans="2:15" x14ac:dyDescent="0.2">
      <c r="B31" t="s">
        <v>127</v>
      </c>
      <c r="C31">
        <v>213</v>
      </c>
      <c r="E31" t="s">
        <v>270</v>
      </c>
      <c r="F31" t="str">
        <f t="shared" si="0"/>
        <v>VVTDC</v>
      </c>
      <c r="K31" t="s">
        <v>443</v>
      </c>
      <c r="L31" t="s">
        <v>126</v>
      </c>
      <c r="M31" t="s">
        <v>303</v>
      </c>
      <c r="N31" t="s">
        <v>321</v>
      </c>
      <c r="O31" t="s">
        <v>25</v>
      </c>
    </row>
    <row r="32" spans="2:15" x14ac:dyDescent="0.2">
      <c r="B32" t="s">
        <v>127</v>
      </c>
      <c r="C32">
        <v>214</v>
      </c>
      <c r="F32" t="e">
        <f t="shared" si="0"/>
        <v>#N/A</v>
      </c>
    </row>
    <row r="33" spans="2:6" x14ac:dyDescent="0.2">
      <c r="B33" t="s">
        <v>127</v>
      </c>
      <c r="C33">
        <v>215</v>
      </c>
      <c r="E33" t="s">
        <v>226</v>
      </c>
      <c r="F33" t="str">
        <f t="shared" si="0"/>
        <v>VVDCN</v>
      </c>
    </row>
    <row r="34" spans="2:6" x14ac:dyDescent="0.2">
      <c r="B34" t="s">
        <v>127</v>
      </c>
      <c r="C34">
        <v>218</v>
      </c>
      <c r="E34" t="s">
        <v>185</v>
      </c>
      <c r="F34" t="str">
        <f t="shared" si="0"/>
        <v>VVDC3</v>
      </c>
    </row>
    <row r="35" spans="2:6" x14ac:dyDescent="0.2">
      <c r="B35" t="s">
        <v>127</v>
      </c>
      <c r="C35">
        <v>220</v>
      </c>
      <c r="E35" t="s">
        <v>289</v>
      </c>
      <c r="F35" t="str">
        <f t="shared" si="0"/>
        <v>VVTCC</v>
      </c>
    </row>
    <row r="36" spans="2:6" x14ac:dyDescent="0.2">
      <c r="B36" t="s">
        <v>127</v>
      </c>
      <c r="C36">
        <v>230</v>
      </c>
      <c r="E36" t="s">
        <v>141</v>
      </c>
      <c r="F36" t="str">
        <f t="shared" si="0"/>
        <v>VVCCN</v>
      </c>
    </row>
    <row r="37" spans="2:6" x14ac:dyDescent="0.2">
      <c r="B37" t="s">
        <v>127</v>
      </c>
      <c r="C37">
        <v>235</v>
      </c>
      <c r="E37" t="s">
        <v>298</v>
      </c>
      <c r="F37" t="str">
        <f t="shared" si="0"/>
        <v>VVTC4</v>
      </c>
    </row>
    <row r="38" spans="2:6" x14ac:dyDescent="0.2">
      <c r="B38" t="s">
        <v>127</v>
      </c>
      <c r="C38">
        <v>240</v>
      </c>
      <c r="E38" t="s">
        <v>303</v>
      </c>
      <c r="F38" t="str">
        <f t="shared" si="0"/>
        <v>VVDCT</v>
      </c>
    </row>
    <row r="39" spans="2:6" x14ac:dyDescent="0.2">
      <c r="B39" t="s">
        <v>127</v>
      </c>
      <c r="C39">
        <v>300</v>
      </c>
      <c r="F39" t="e">
        <f t="shared" si="0"/>
        <v>#N/A</v>
      </c>
    </row>
    <row r="40" spans="2:6" x14ac:dyDescent="0.2">
      <c r="B40" t="s">
        <v>127</v>
      </c>
      <c r="C40">
        <v>350</v>
      </c>
      <c r="E40" t="s">
        <v>137</v>
      </c>
      <c r="F40" t="e">
        <f t="shared" si="0"/>
        <v>#N/A</v>
      </c>
    </row>
    <row r="41" spans="2:6" x14ac:dyDescent="0.2">
      <c r="B41" t="s">
        <v>127</v>
      </c>
      <c r="C41">
        <v>400</v>
      </c>
      <c r="F41" t="e">
        <f t="shared" si="0"/>
        <v>#N/A</v>
      </c>
    </row>
    <row r="42" spans="2:6" x14ac:dyDescent="0.2">
      <c r="B42" t="s">
        <v>127</v>
      </c>
      <c r="C42">
        <v>450</v>
      </c>
      <c r="E42" t="s">
        <v>135</v>
      </c>
      <c r="F42" t="str">
        <f t="shared" si="0"/>
        <v>VVCOG</v>
      </c>
    </row>
    <row r="43" spans="2:6" x14ac:dyDescent="0.2">
      <c r="B43" t="s">
        <v>127</v>
      </c>
      <c r="C43">
        <v>500</v>
      </c>
      <c r="F43" t="e">
        <f t="shared" si="0"/>
        <v>#N/A</v>
      </c>
    </row>
    <row r="44" spans="2:6" x14ac:dyDescent="0.2">
      <c r="B44" t="s">
        <v>127</v>
      </c>
      <c r="C44">
        <v>600</v>
      </c>
      <c r="E44" t="s">
        <v>332</v>
      </c>
      <c r="F44" t="e">
        <f t="shared" si="0"/>
        <v>#N/A</v>
      </c>
    </row>
    <row r="45" spans="2:6" x14ac:dyDescent="0.2">
      <c r="B45" t="s">
        <v>335</v>
      </c>
      <c r="C45">
        <v>10</v>
      </c>
      <c r="E45" t="s">
        <v>266</v>
      </c>
      <c r="F45" t="str">
        <f t="shared" si="0"/>
        <v>VVPLP</v>
      </c>
    </row>
    <row r="46" spans="2:6" x14ac:dyDescent="0.2">
      <c r="B46" t="s">
        <v>335</v>
      </c>
      <c r="C46">
        <v>20</v>
      </c>
      <c r="E46" t="s">
        <v>338</v>
      </c>
      <c r="F46" t="e">
        <f t="shared" si="0"/>
        <v>#N/A</v>
      </c>
    </row>
    <row r="47" spans="2:6" x14ac:dyDescent="0.2">
      <c r="B47" t="s">
        <v>335</v>
      </c>
      <c r="C47">
        <v>21</v>
      </c>
      <c r="E47" t="s">
        <v>286</v>
      </c>
      <c r="F47" t="str">
        <f t="shared" si="0"/>
        <v>VVPLP</v>
      </c>
    </row>
    <row r="48" spans="2:6" x14ac:dyDescent="0.2">
      <c r="B48" t="s">
        <v>335</v>
      </c>
      <c r="C48">
        <v>22</v>
      </c>
      <c r="F48" t="e">
        <f t="shared" si="0"/>
        <v>#N/A</v>
      </c>
    </row>
    <row r="49" spans="2:6" x14ac:dyDescent="0.2">
      <c r="B49" t="s">
        <v>335</v>
      </c>
      <c r="C49">
        <v>25</v>
      </c>
      <c r="E49" t="s">
        <v>235</v>
      </c>
      <c r="F49" t="str">
        <f t="shared" si="0"/>
        <v>ERLOS</v>
      </c>
    </row>
    <row r="50" spans="2:6" x14ac:dyDescent="0.2">
      <c r="B50" t="s">
        <v>335</v>
      </c>
      <c r="C50">
        <v>31</v>
      </c>
      <c r="E50" t="s">
        <v>131</v>
      </c>
      <c r="F50" t="str">
        <f t="shared" si="0"/>
        <v>VVDC1</v>
      </c>
    </row>
    <row r="51" spans="2:6" x14ac:dyDescent="0.2">
      <c r="B51" t="s">
        <v>335</v>
      </c>
      <c r="C51">
        <v>32</v>
      </c>
      <c r="E51" t="s">
        <v>140</v>
      </c>
      <c r="F51" t="str">
        <f t="shared" si="0"/>
        <v>VVDC2</v>
      </c>
    </row>
    <row r="52" spans="2:6" x14ac:dyDescent="0.2">
      <c r="B52" t="s">
        <v>335</v>
      </c>
      <c r="C52">
        <v>33</v>
      </c>
      <c r="E52" t="s">
        <v>145</v>
      </c>
      <c r="F52" t="str">
        <f t="shared" si="0"/>
        <v>VVDC3</v>
      </c>
    </row>
    <row r="53" spans="2:6" x14ac:dyDescent="0.2">
      <c r="B53" t="s">
        <v>335</v>
      </c>
      <c r="C53">
        <v>34</v>
      </c>
      <c r="E53" t="s">
        <v>151</v>
      </c>
      <c r="F53" t="str">
        <f t="shared" si="0"/>
        <v>VVDC4</v>
      </c>
    </row>
    <row r="54" spans="2:6" x14ac:dyDescent="0.2">
      <c r="B54" t="s">
        <v>335</v>
      </c>
      <c r="C54">
        <v>35</v>
      </c>
      <c r="E54" t="s">
        <v>157</v>
      </c>
      <c r="F54" t="str">
        <f t="shared" si="0"/>
        <v>VVTDC</v>
      </c>
    </row>
    <row r="55" spans="2:6" x14ac:dyDescent="0.2">
      <c r="B55" t="s">
        <v>335</v>
      </c>
      <c r="C55">
        <v>36</v>
      </c>
      <c r="F55" t="e">
        <f t="shared" si="0"/>
        <v>#N/A</v>
      </c>
    </row>
    <row r="56" spans="2:6" x14ac:dyDescent="0.2">
      <c r="B56" t="s">
        <v>335</v>
      </c>
      <c r="C56">
        <v>37</v>
      </c>
      <c r="F56" t="e">
        <f t="shared" si="0"/>
        <v>#N/A</v>
      </c>
    </row>
    <row r="57" spans="2:6" x14ac:dyDescent="0.2">
      <c r="B57" t="s">
        <v>335</v>
      </c>
      <c r="C57">
        <v>38</v>
      </c>
      <c r="E57" t="s">
        <v>178</v>
      </c>
      <c r="F57" t="str">
        <f t="shared" si="0"/>
        <v>VVDC3</v>
      </c>
    </row>
    <row r="58" spans="2:6" x14ac:dyDescent="0.2">
      <c r="B58" t="s">
        <v>335</v>
      </c>
      <c r="C58">
        <v>39</v>
      </c>
      <c r="E58" t="s">
        <v>184</v>
      </c>
      <c r="F58" t="e">
        <f t="shared" si="0"/>
        <v>#N/A</v>
      </c>
    </row>
    <row r="59" spans="2:6" x14ac:dyDescent="0.2">
      <c r="B59" t="s">
        <v>335</v>
      </c>
      <c r="C59">
        <v>40</v>
      </c>
      <c r="E59" t="s">
        <v>190</v>
      </c>
      <c r="F59" t="str">
        <f t="shared" si="0"/>
        <v>VVDCT</v>
      </c>
    </row>
    <row r="60" spans="2:6" x14ac:dyDescent="0.2">
      <c r="B60" t="s">
        <v>335</v>
      </c>
      <c r="C60">
        <v>41</v>
      </c>
      <c r="E60" t="s">
        <v>289</v>
      </c>
      <c r="F60" t="str">
        <f t="shared" si="0"/>
        <v>VVTCC</v>
      </c>
    </row>
    <row r="61" spans="2:6" x14ac:dyDescent="0.2">
      <c r="B61" t="s">
        <v>335</v>
      </c>
      <c r="C61">
        <v>42</v>
      </c>
      <c r="E61" t="s">
        <v>298</v>
      </c>
      <c r="F61" t="str">
        <f t="shared" si="0"/>
        <v>VVTC4</v>
      </c>
    </row>
    <row r="62" spans="2:6" x14ac:dyDescent="0.2">
      <c r="B62" t="s">
        <v>335</v>
      </c>
      <c r="C62">
        <v>50</v>
      </c>
      <c r="E62" t="s">
        <v>263</v>
      </c>
      <c r="F62" t="str">
        <f t="shared" si="0"/>
        <v>VVDCA</v>
      </c>
    </row>
    <row r="63" spans="2:6" x14ac:dyDescent="0.2">
      <c r="B63" t="s">
        <v>335</v>
      </c>
      <c r="C63">
        <v>55</v>
      </c>
      <c r="E63" t="s">
        <v>248</v>
      </c>
      <c r="F63" t="str">
        <f t="shared" si="0"/>
        <v>VVDCA</v>
      </c>
    </row>
    <row r="64" spans="2:6" x14ac:dyDescent="0.2">
      <c r="B64" t="s">
        <v>335</v>
      </c>
      <c r="C64">
        <v>60</v>
      </c>
      <c r="E64" t="s">
        <v>259</v>
      </c>
      <c r="F64" t="str">
        <f t="shared" si="0"/>
        <v>VVDCN</v>
      </c>
    </row>
    <row r="65" spans="2:6" x14ac:dyDescent="0.2">
      <c r="B65" t="s">
        <v>335</v>
      </c>
      <c r="C65">
        <v>70</v>
      </c>
      <c r="E65" t="s">
        <v>254</v>
      </c>
      <c r="F65" t="str">
        <f t="shared" si="0"/>
        <v>VVCCN</v>
      </c>
    </row>
    <row r="66" spans="2:6" x14ac:dyDescent="0.2">
      <c r="B66" t="s">
        <v>335</v>
      </c>
      <c r="C66">
        <v>200</v>
      </c>
      <c r="E66" t="s">
        <v>137</v>
      </c>
      <c r="F66" t="e">
        <f t="shared" si="0"/>
        <v>#N/A</v>
      </c>
    </row>
    <row r="67" spans="2:6" x14ac:dyDescent="0.2">
      <c r="B67" t="s">
        <v>335</v>
      </c>
      <c r="C67">
        <v>250</v>
      </c>
      <c r="F67" t="e">
        <f>VLOOKUP(E67,M:N,2,FALSE)</f>
        <v>#N/A</v>
      </c>
    </row>
    <row r="68" spans="2:6" x14ac:dyDescent="0.2">
      <c r="B68" t="s">
        <v>335</v>
      </c>
      <c r="C68">
        <v>300</v>
      </c>
      <c r="E68" t="s">
        <v>135</v>
      </c>
      <c r="F68" t="str">
        <f>VLOOKUP(E68,M:N,2,FALSE)</f>
        <v>VVCOG</v>
      </c>
    </row>
    <row r="69" spans="2:6" x14ac:dyDescent="0.2">
      <c r="B69" t="s">
        <v>335</v>
      </c>
      <c r="C69">
        <v>400</v>
      </c>
      <c r="F69" t="e">
        <f>VLOOKUP(E69,M:N,2,FALSE)</f>
        <v>#N/A</v>
      </c>
    </row>
  </sheetData>
  <autoFilter ref="B1:E6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5"/>
  <sheetViews>
    <sheetView workbookViewId="0"/>
  </sheetViews>
  <sheetFormatPr baseColWidth="10" defaultColWidth="8.6640625" defaultRowHeight="15" x14ac:dyDescent="0.2"/>
  <cols>
    <col min="2" max="2" width="8.6640625" bestFit="1" customWidth="1"/>
    <col min="3" max="3" width="5.1640625" bestFit="1" customWidth="1"/>
    <col min="4" max="4" width="4.1640625" bestFit="1" customWidth="1"/>
    <col min="6" max="6" width="17.1640625" bestFit="1" customWidth="1"/>
    <col min="7" max="7" width="3.1640625" bestFit="1" customWidth="1"/>
    <col min="8" max="8" width="9.6640625" bestFit="1" customWidth="1"/>
  </cols>
  <sheetData>
    <row r="2" spans="2:8" x14ac:dyDescent="0.2">
      <c r="B2">
        <v>20800000</v>
      </c>
      <c r="C2" t="s">
        <v>443</v>
      </c>
      <c r="D2" t="s">
        <v>444</v>
      </c>
      <c r="F2" t="s">
        <v>445</v>
      </c>
      <c r="G2" t="s">
        <v>446</v>
      </c>
      <c r="H2" t="s">
        <v>447</v>
      </c>
    </row>
    <row r="3" spans="2:8" x14ac:dyDescent="0.2">
      <c r="B3">
        <v>20810000</v>
      </c>
      <c r="C3" t="s">
        <v>443</v>
      </c>
      <c r="D3" t="s">
        <v>444</v>
      </c>
      <c r="F3" t="s">
        <v>448</v>
      </c>
      <c r="G3" t="s">
        <v>446</v>
      </c>
      <c r="H3" t="s">
        <v>447</v>
      </c>
    </row>
    <row r="5" spans="2:8" x14ac:dyDescent="0.2">
      <c r="B5">
        <v>21800000</v>
      </c>
      <c r="C5" t="s">
        <v>443</v>
      </c>
      <c r="D5" t="s">
        <v>444</v>
      </c>
      <c r="F5" t="s">
        <v>449</v>
      </c>
      <c r="G5" t="s">
        <v>446</v>
      </c>
      <c r="H5" t="s">
        <v>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48"/>
  <sheetViews>
    <sheetView topLeftCell="A19" zoomScale="90" zoomScaleNormal="90" workbookViewId="0">
      <selection activeCell="C4" sqref="C4"/>
    </sheetView>
  </sheetViews>
  <sheetFormatPr baseColWidth="10" defaultColWidth="8.6640625" defaultRowHeight="15" x14ac:dyDescent="0.2"/>
  <cols>
    <col min="1" max="1" width="4.1640625" customWidth="1"/>
    <col min="2" max="2" width="16.1640625" customWidth="1"/>
    <col min="3" max="3" width="108.6640625" customWidth="1"/>
  </cols>
  <sheetData>
    <row r="1" spans="2:3" ht="16" thickBot="1" x14ac:dyDescent="0.25"/>
    <row r="2" spans="2:3" ht="21" thickBot="1" x14ac:dyDescent="0.25">
      <c r="B2" s="64" t="s">
        <v>450</v>
      </c>
      <c r="C2" s="65" t="s">
        <v>451</v>
      </c>
    </row>
    <row r="3" spans="2:3" s="71" customFormat="1" ht="61" thickBot="1" x14ac:dyDescent="0.25">
      <c r="B3" s="69" t="s">
        <v>452</v>
      </c>
      <c r="C3" s="70" t="s">
        <v>453</v>
      </c>
    </row>
    <row r="4" spans="2:3" s="71" customFormat="1" ht="48.75" customHeight="1" x14ac:dyDescent="0.2">
      <c r="B4" s="89" t="s">
        <v>454</v>
      </c>
      <c r="C4" s="99" t="s">
        <v>455</v>
      </c>
    </row>
    <row r="5" spans="2:3" s="71" customFormat="1" ht="262" customHeight="1" x14ac:dyDescent="0.2">
      <c r="B5" s="88" t="s">
        <v>24</v>
      </c>
      <c r="C5" s="99" t="s">
        <v>456</v>
      </c>
    </row>
    <row r="6" spans="2:3" s="71" customFormat="1" ht="199.5" customHeight="1" x14ac:dyDescent="0.2">
      <c r="B6" s="88"/>
      <c r="C6" s="99" t="s">
        <v>457</v>
      </c>
    </row>
    <row r="7" spans="2:3" s="71" customFormat="1" ht="175.25" customHeight="1" x14ac:dyDescent="0.2">
      <c r="B7" s="88"/>
      <c r="C7" s="99" t="s">
        <v>458</v>
      </c>
    </row>
    <row r="8" spans="2:3" s="71" customFormat="1" ht="24" customHeight="1" x14ac:dyDescent="0.2">
      <c r="B8" s="88"/>
      <c r="C8" s="99" t="s">
        <v>459</v>
      </c>
    </row>
    <row r="9" spans="2:3" s="71" customFormat="1" ht="24" customHeight="1" x14ac:dyDescent="0.2">
      <c r="B9" s="88"/>
      <c r="C9" s="203" t="s">
        <v>460</v>
      </c>
    </row>
    <row r="10" spans="2:3" s="71" customFormat="1" ht="20" x14ac:dyDescent="0.2">
      <c r="B10" s="88"/>
      <c r="C10" s="212" t="s">
        <v>461</v>
      </c>
    </row>
    <row r="11" spans="2:3" s="71" customFormat="1" ht="20" x14ac:dyDescent="0.2">
      <c r="B11" s="88"/>
      <c r="C11" s="212" t="s">
        <v>462</v>
      </c>
    </row>
    <row r="12" spans="2:3" s="71" customFormat="1" ht="20" x14ac:dyDescent="0.2">
      <c r="B12" s="88"/>
      <c r="C12" s="212" t="s">
        <v>463</v>
      </c>
    </row>
    <row r="13" spans="2:3" s="71" customFormat="1" ht="40" x14ac:dyDescent="0.2">
      <c r="B13" s="88"/>
      <c r="C13" s="212" t="s">
        <v>464</v>
      </c>
    </row>
    <row r="14" spans="2:3" s="71" customFormat="1" ht="40" x14ac:dyDescent="0.2">
      <c r="B14" s="88"/>
      <c r="C14" s="212" t="s">
        <v>465</v>
      </c>
    </row>
    <row r="15" spans="2:3" s="71" customFormat="1" ht="19" x14ac:dyDescent="0.2">
      <c r="B15" s="88"/>
      <c r="C15" s="203"/>
    </row>
    <row r="16" spans="2:3" s="71" customFormat="1" ht="120" x14ac:dyDescent="0.2">
      <c r="B16" s="88" t="s">
        <v>466</v>
      </c>
      <c r="C16" s="208" t="s">
        <v>467</v>
      </c>
    </row>
    <row r="17" spans="2:3" s="71" customFormat="1" ht="21" hidden="1" thickBot="1" x14ac:dyDescent="0.25">
      <c r="B17" s="88" t="s">
        <v>468</v>
      </c>
      <c r="C17" s="205" t="s">
        <v>469</v>
      </c>
    </row>
    <row r="18" spans="2:3" s="71" customFormat="1" ht="20" x14ac:dyDescent="0.2">
      <c r="B18" s="127" t="s">
        <v>470</v>
      </c>
      <c r="C18" s="128"/>
    </row>
    <row r="19" spans="2:3" s="71" customFormat="1" ht="20" x14ac:dyDescent="0.2">
      <c r="B19" s="88"/>
      <c r="C19" s="204" t="s">
        <v>471</v>
      </c>
    </row>
    <row r="20" spans="2:3" s="71" customFormat="1" ht="20" x14ac:dyDescent="0.2">
      <c r="B20" s="88"/>
      <c r="C20" s="90" t="s">
        <v>472</v>
      </c>
    </row>
    <row r="21" spans="2:3" s="71" customFormat="1" ht="24" customHeight="1" x14ac:dyDescent="0.2">
      <c r="B21" s="88"/>
      <c r="C21" s="90" t="s">
        <v>473</v>
      </c>
    </row>
    <row r="22" spans="2:3" s="71" customFormat="1" ht="40" x14ac:dyDescent="0.2">
      <c r="B22" s="88"/>
      <c r="C22" s="90" t="s">
        <v>474</v>
      </c>
    </row>
    <row r="23" spans="2:3" s="71" customFormat="1" ht="20" thickBot="1" x14ac:dyDescent="0.3">
      <c r="B23" s="66"/>
      <c r="C23" s="206"/>
    </row>
    <row r="24" spans="2:3" s="71" customFormat="1" ht="20" x14ac:dyDescent="0.2">
      <c r="B24" s="303" t="s">
        <v>475</v>
      </c>
      <c r="C24" s="67" t="s">
        <v>476</v>
      </c>
    </row>
    <row r="25" spans="2:3" s="71" customFormat="1" ht="21" thickBot="1" x14ac:dyDescent="0.25">
      <c r="B25" s="304"/>
      <c r="C25" s="68" t="s">
        <v>477</v>
      </c>
    </row>
    <row r="26" spans="2:3" s="71" customFormat="1" ht="21" thickBot="1" x14ac:dyDescent="0.25">
      <c r="B26" s="66" t="s">
        <v>478</v>
      </c>
      <c r="C26" s="68" t="s">
        <v>479</v>
      </c>
    </row>
    <row r="27" spans="2:3" s="71" customFormat="1" ht="21" thickBot="1" x14ac:dyDescent="0.25">
      <c r="B27" s="66" t="s">
        <v>480</v>
      </c>
      <c r="C27" s="68" t="s">
        <v>481</v>
      </c>
    </row>
    <row r="28" spans="2:3" s="71" customFormat="1" ht="21" thickBot="1" x14ac:dyDescent="0.25">
      <c r="B28" s="66" t="s">
        <v>482</v>
      </c>
      <c r="C28" s="92" t="s">
        <v>483</v>
      </c>
    </row>
    <row r="29" spans="2:3" s="71" customFormat="1" ht="21" thickBot="1" x14ac:dyDescent="0.25">
      <c r="B29" s="66" t="s">
        <v>484</v>
      </c>
      <c r="C29" s="209" t="e">
        <f>CONCATENATE(#REF!," ", "บาท")</f>
        <v>#REF!</v>
      </c>
    </row>
    <row r="30" spans="2:3" ht="21" thickBot="1" x14ac:dyDescent="0.3">
      <c r="B30" s="66" t="s">
        <v>485</v>
      </c>
      <c r="C30" s="213" t="s">
        <v>486</v>
      </c>
    </row>
    <row r="31" spans="2:3" x14ac:dyDescent="0.2">
      <c r="B31" s="305" t="s">
        <v>487</v>
      </c>
      <c r="C31" s="104"/>
    </row>
    <row r="32" spans="2:3" ht="20" x14ac:dyDescent="0.2">
      <c r="B32" s="303"/>
      <c r="C32" s="104" t="s">
        <v>488</v>
      </c>
    </row>
    <row r="33" spans="2:3" ht="20" x14ac:dyDescent="0.2">
      <c r="B33" s="303"/>
      <c r="C33" s="104" t="s">
        <v>489</v>
      </c>
    </row>
    <row r="34" spans="2:3" x14ac:dyDescent="0.2">
      <c r="B34" s="303"/>
      <c r="C34" s="214"/>
    </row>
    <row r="35" spans="2:3" ht="16" thickBot="1" x14ac:dyDescent="0.25">
      <c r="B35" s="304"/>
      <c r="C35" s="91"/>
    </row>
    <row r="37" spans="2:3" hidden="1" x14ac:dyDescent="0.2"/>
    <row r="39" spans="2:3" x14ac:dyDescent="0.2">
      <c r="B39" t="s">
        <v>490</v>
      </c>
      <c r="C39" s="210" t="s">
        <v>491</v>
      </c>
    </row>
    <row r="40" spans="2:3" x14ac:dyDescent="0.2">
      <c r="C40" s="211" t="s">
        <v>492</v>
      </c>
    </row>
    <row r="41" spans="2:3" x14ac:dyDescent="0.2">
      <c r="C41" s="210" t="s">
        <v>493</v>
      </c>
    </row>
    <row r="42" spans="2:3" x14ac:dyDescent="0.2">
      <c r="C42" s="211" t="s">
        <v>494</v>
      </c>
    </row>
    <row r="43" spans="2:3" x14ac:dyDescent="0.2">
      <c r="C43" s="210" t="s">
        <v>495</v>
      </c>
    </row>
    <row r="44" spans="2:3" x14ac:dyDescent="0.2">
      <c r="C44" s="210" t="s">
        <v>496</v>
      </c>
    </row>
    <row r="45" spans="2:3" x14ac:dyDescent="0.2">
      <c r="C45" s="211" t="s">
        <v>497</v>
      </c>
    </row>
    <row r="46" spans="2:3" x14ac:dyDescent="0.2">
      <c r="C46" s="210" t="s">
        <v>498</v>
      </c>
    </row>
    <row r="47" spans="2:3" x14ac:dyDescent="0.2">
      <c r="C47" s="210" t="s">
        <v>499</v>
      </c>
    </row>
    <row r="48" spans="2:3" x14ac:dyDescent="0.2">
      <c r="C48" s="210" t="s">
        <v>500</v>
      </c>
    </row>
  </sheetData>
  <mergeCells count="2">
    <mergeCell ref="B24:B25"/>
    <mergeCell ref="B31:B35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W32"/>
  <sheetViews>
    <sheetView tabSelected="1" zoomScale="85" zoomScaleNormal="85" workbookViewId="0">
      <selection activeCell="D16" sqref="D16"/>
    </sheetView>
  </sheetViews>
  <sheetFormatPr baseColWidth="10" defaultColWidth="10.83203125" defaultRowHeight="19" x14ac:dyDescent="0.25"/>
  <cols>
    <col min="1" max="1" width="4.5" style="216" bestFit="1" customWidth="1"/>
    <col min="2" max="2" width="73.83203125" style="216" customWidth="1"/>
    <col min="3" max="3" width="13.5" style="216" bestFit="1" customWidth="1"/>
    <col min="4" max="4" width="28" style="216" customWidth="1"/>
    <col min="5" max="5" width="10.83203125" style="216"/>
    <col min="6" max="6" width="11.33203125" style="216" bestFit="1" customWidth="1"/>
    <col min="7" max="7" width="17.1640625" style="216" bestFit="1" customWidth="1"/>
    <col min="8" max="8" width="20.5" style="216" customWidth="1"/>
    <col min="9" max="10" width="0" style="216" hidden="1" customWidth="1"/>
    <col min="11" max="15" width="11" style="216" hidden="1" customWidth="1"/>
    <col min="16" max="16" width="0" style="216" hidden="1" customWidth="1"/>
    <col min="17" max="17" width="14.6640625" style="288" bestFit="1" customWidth="1"/>
    <col min="18" max="18" width="13" style="216" bestFit="1" customWidth="1"/>
    <col min="19" max="19" width="14.6640625" style="216" bestFit="1" customWidth="1"/>
    <col min="20" max="20" width="13.33203125" style="216" bestFit="1" customWidth="1"/>
    <col min="21" max="21" width="10.83203125" style="216"/>
    <col min="22" max="22" width="14.6640625" style="216" bestFit="1" customWidth="1"/>
    <col min="23" max="23" width="13" style="216" bestFit="1" customWidth="1"/>
    <col min="24" max="16384" width="10.83203125" style="216"/>
  </cols>
  <sheetData>
    <row r="1" spans="1:22" ht="20" thickBot="1" x14ac:dyDescent="0.3">
      <c r="A1" s="308" t="s">
        <v>528</v>
      </c>
      <c r="B1" s="308"/>
      <c r="C1" s="308"/>
      <c r="D1" s="308"/>
      <c r="E1" s="308"/>
      <c r="F1" s="309" t="s">
        <v>529</v>
      </c>
      <c r="G1" s="310"/>
      <c r="H1" s="310"/>
      <c r="I1" s="311" t="s">
        <v>530</v>
      </c>
      <c r="J1" s="311"/>
      <c r="K1" s="311"/>
      <c r="L1" s="311"/>
      <c r="M1" s="311"/>
      <c r="N1" s="312"/>
      <c r="O1" s="313" t="s">
        <v>531</v>
      </c>
      <c r="P1" s="314"/>
    </row>
    <row r="2" spans="1:22" x14ac:dyDescent="0.25">
      <c r="A2" s="308"/>
      <c r="B2" s="308"/>
      <c r="C2" s="308"/>
      <c r="D2" s="308"/>
      <c r="E2" s="308"/>
      <c r="F2" s="310"/>
      <c r="G2" s="310"/>
      <c r="H2" s="310"/>
      <c r="I2" s="217"/>
      <c r="J2" s="217"/>
      <c r="K2" s="315" t="s">
        <v>532</v>
      </c>
      <c r="L2" s="316"/>
      <c r="M2" s="317" t="s">
        <v>533</v>
      </c>
      <c r="N2" s="318"/>
      <c r="O2" s="319" t="s">
        <v>534</v>
      </c>
      <c r="P2" s="320"/>
    </row>
    <row r="3" spans="1:22" ht="58" thickBot="1" x14ac:dyDescent="0.3">
      <c r="A3" s="218" t="s">
        <v>8</v>
      </c>
      <c r="B3" s="218" t="s">
        <v>2</v>
      </c>
      <c r="C3" s="218" t="s">
        <v>535</v>
      </c>
      <c r="D3" s="218" t="s">
        <v>503</v>
      </c>
      <c r="E3" s="215" t="s">
        <v>55</v>
      </c>
      <c r="F3" s="219" t="s">
        <v>536</v>
      </c>
      <c r="G3" s="220" t="s">
        <v>537</v>
      </c>
      <c r="H3" s="221" t="s">
        <v>54</v>
      </c>
      <c r="I3" s="222" t="s">
        <v>538</v>
      </c>
      <c r="J3" s="223" t="s">
        <v>539</v>
      </c>
      <c r="K3" s="224" t="s">
        <v>540</v>
      </c>
      <c r="L3" s="225" t="s">
        <v>541</v>
      </c>
      <c r="M3" s="226" t="s">
        <v>542</v>
      </c>
      <c r="N3" s="227" t="s">
        <v>143</v>
      </c>
      <c r="O3" s="228" t="s">
        <v>543</v>
      </c>
      <c r="P3" s="229" t="s">
        <v>544</v>
      </c>
    </row>
    <row r="4" spans="1:22" s="241" customFormat="1" ht="20" customHeight="1" x14ac:dyDescent="0.2">
      <c r="A4" s="230">
        <v>1</v>
      </c>
      <c r="B4" s="231" t="s">
        <v>562</v>
      </c>
      <c r="C4" s="231" t="s">
        <v>545</v>
      </c>
      <c r="D4" s="231" t="s">
        <v>546</v>
      </c>
      <c r="E4" s="232" t="s">
        <v>547</v>
      </c>
      <c r="F4" s="233">
        <v>16</v>
      </c>
      <c r="G4" s="234">
        <v>14000</v>
      </c>
      <c r="H4" s="235">
        <f t="shared" ref="H4:H6" si="0">G4*F4</f>
        <v>224000</v>
      </c>
      <c r="I4" s="236"/>
      <c r="J4" s="237"/>
      <c r="K4" s="238">
        <f t="shared" ref="K4" si="1">IF(ISERROR(VLOOKUP(E4,msrp,3,FALSE)),0,VLOOKUP(E4,msrp,3,FALSE))</f>
        <v>0</v>
      </c>
      <c r="L4" s="239">
        <f t="shared" ref="L4" si="2">IF(ISERROR(VLOOKUP(B4,loaded,5,FALSE)),0,VLOOKUP(B4,loaded,5,FALSE))</f>
        <v>0</v>
      </c>
      <c r="M4" s="238">
        <f t="shared" ref="M4:M9" si="3">H4*K4</f>
        <v>0</v>
      </c>
      <c r="N4" s="239">
        <f t="shared" ref="N4:N9" si="4">H4*L4</f>
        <v>0</v>
      </c>
      <c r="O4" s="238">
        <f t="shared" ref="O4:O9" si="5">M4-N4</f>
        <v>0</v>
      </c>
      <c r="P4" s="240"/>
      <c r="Q4" s="289">
        <f>H4/$H$9*100</f>
        <v>10.24</v>
      </c>
      <c r="V4" s="242"/>
    </row>
    <row r="5" spans="1:22" s="241" customFormat="1" ht="20" customHeight="1" x14ac:dyDescent="0.2">
      <c r="A5" s="230">
        <v>2</v>
      </c>
      <c r="B5" s="231" t="s">
        <v>563</v>
      </c>
      <c r="C5" s="231" t="s">
        <v>545</v>
      </c>
      <c r="D5" s="231" t="s">
        <v>548</v>
      </c>
      <c r="E5" s="232" t="s">
        <v>547</v>
      </c>
      <c r="F5" s="233">
        <v>60</v>
      </c>
      <c r="G5" s="234">
        <v>14000</v>
      </c>
      <c r="H5" s="235">
        <f t="shared" si="0"/>
        <v>840000</v>
      </c>
      <c r="I5" s="283"/>
      <c r="J5" s="284"/>
      <c r="K5" s="238"/>
      <c r="L5" s="239"/>
      <c r="M5" s="285"/>
      <c r="N5" s="286"/>
      <c r="O5" s="285"/>
      <c r="P5" s="287"/>
      <c r="Q5" s="290">
        <f t="shared" ref="Q5:Q8" si="6">H5/$H$9*100</f>
        <v>38.4</v>
      </c>
      <c r="V5" s="242"/>
    </row>
    <row r="6" spans="1:22" s="241" customFormat="1" ht="20" customHeight="1" x14ac:dyDescent="0.2">
      <c r="A6" s="230">
        <v>3</v>
      </c>
      <c r="B6" s="231" t="s">
        <v>564</v>
      </c>
      <c r="C6" s="231" t="s">
        <v>545</v>
      </c>
      <c r="D6" s="231" t="s">
        <v>548</v>
      </c>
      <c r="E6" s="232" t="s">
        <v>547</v>
      </c>
      <c r="F6" s="233">
        <v>58</v>
      </c>
      <c r="G6" s="234">
        <v>14000</v>
      </c>
      <c r="H6" s="235">
        <f t="shared" si="0"/>
        <v>812000</v>
      </c>
      <c r="I6" s="283"/>
      <c r="J6" s="284"/>
      <c r="K6" s="238"/>
      <c r="L6" s="239"/>
      <c r="M6" s="285"/>
      <c r="N6" s="286"/>
      <c r="O6" s="285"/>
      <c r="P6" s="287"/>
      <c r="Q6" s="290">
        <f t="shared" si="6"/>
        <v>37.119999999999997</v>
      </c>
      <c r="V6" s="242"/>
    </row>
    <row r="7" spans="1:22" s="241" customFormat="1" ht="20" customHeight="1" x14ac:dyDescent="0.2">
      <c r="A7" s="243">
        <v>4</v>
      </c>
      <c r="B7" s="244" t="s">
        <v>549</v>
      </c>
      <c r="C7" s="244" t="s">
        <v>550</v>
      </c>
      <c r="D7" s="244" t="s">
        <v>551</v>
      </c>
      <c r="E7" s="245" t="s">
        <v>501</v>
      </c>
      <c r="F7" s="246">
        <v>4</v>
      </c>
      <c r="G7" s="247">
        <v>8500</v>
      </c>
      <c r="H7" s="235">
        <f t="shared" ref="H7:H8" si="7">G7*F7</f>
        <v>34000</v>
      </c>
      <c r="I7" s="248"/>
      <c r="J7" s="249"/>
      <c r="K7" s="250">
        <f t="shared" ref="K7" si="8">IF(ISERROR(VLOOKUP(E7,msrp,3,FALSE)),0,VLOOKUP(E7,msrp,3,FALSE))</f>
        <v>0</v>
      </c>
      <c r="L7" s="251">
        <f t="shared" ref="L7" si="9">IF(ISERROR(VLOOKUP(B7,loaded,5,FALSE)),0,VLOOKUP(B7,loaded,5,FALSE))</f>
        <v>0</v>
      </c>
      <c r="M7" s="250">
        <f t="shared" si="3"/>
        <v>0</v>
      </c>
      <c r="N7" s="251">
        <f t="shared" si="4"/>
        <v>0</v>
      </c>
      <c r="O7" s="250">
        <f t="shared" si="5"/>
        <v>0</v>
      </c>
      <c r="P7" s="252"/>
      <c r="Q7" s="290">
        <f t="shared" si="6"/>
        <v>1.5542857142857143</v>
      </c>
      <c r="V7" s="242"/>
    </row>
    <row r="8" spans="1:22" s="241" customFormat="1" ht="20" customHeight="1" x14ac:dyDescent="0.2">
      <c r="A8" s="230">
        <v>5</v>
      </c>
      <c r="B8" s="231" t="s">
        <v>552</v>
      </c>
      <c r="C8" s="231" t="s">
        <v>545</v>
      </c>
      <c r="D8" s="231" t="s">
        <v>553</v>
      </c>
      <c r="E8" s="232" t="s">
        <v>501</v>
      </c>
      <c r="F8" s="233">
        <v>37</v>
      </c>
      <c r="G8" s="234">
        <v>7500</v>
      </c>
      <c r="H8" s="235">
        <f t="shared" si="7"/>
        <v>277500</v>
      </c>
      <c r="I8" s="236"/>
      <c r="J8" s="237"/>
      <c r="K8" s="238">
        <f t="shared" ref="K8:K9" si="10">IF(ISERROR(VLOOKUP(E8,msrp,3,FALSE)),0,VLOOKUP(E8,msrp,3,FALSE))</f>
        <v>0</v>
      </c>
      <c r="L8" s="239">
        <f t="shared" ref="L8:L9" si="11">IF(ISERROR(VLOOKUP(B8,loaded,5,FALSE)),0,VLOOKUP(B8,loaded,5,FALSE))</f>
        <v>0</v>
      </c>
      <c r="M8" s="238">
        <f t="shared" si="3"/>
        <v>0</v>
      </c>
      <c r="N8" s="239">
        <f t="shared" si="4"/>
        <v>0</v>
      </c>
      <c r="O8" s="238">
        <f t="shared" si="5"/>
        <v>0</v>
      </c>
      <c r="P8" s="240"/>
      <c r="Q8" s="290">
        <f t="shared" si="6"/>
        <v>12.685714285714287</v>
      </c>
      <c r="V8" s="242"/>
    </row>
    <row r="9" spans="1:22" s="241" customFormat="1" thickBot="1" x14ac:dyDescent="0.25">
      <c r="A9" s="253"/>
      <c r="B9" s="254" t="s">
        <v>54</v>
      </c>
      <c r="C9" s="254"/>
      <c r="D9" s="254"/>
      <c r="E9" s="254"/>
      <c r="F9" s="254"/>
      <c r="G9" s="255"/>
      <c r="H9" s="291">
        <f>SUM(H4:H8)</f>
        <v>2187500</v>
      </c>
      <c r="I9" s="256"/>
      <c r="J9" s="257"/>
      <c r="K9" s="258">
        <f t="shared" si="10"/>
        <v>0</v>
      </c>
      <c r="L9" s="259">
        <f t="shared" si="11"/>
        <v>0</v>
      </c>
      <c r="M9" s="260">
        <f t="shared" si="3"/>
        <v>0</v>
      </c>
      <c r="N9" s="261">
        <f t="shared" si="4"/>
        <v>0</v>
      </c>
      <c r="O9" s="262">
        <f t="shared" si="5"/>
        <v>0</v>
      </c>
      <c r="P9" s="263"/>
      <c r="Q9" s="289"/>
    </row>
    <row r="10" spans="1:22" s="241" customFormat="1" ht="18" x14ac:dyDescent="0.2">
      <c r="A10" s="264"/>
      <c r="B10" s="265"/>
      <c r="C10" s="265"/>
      <c r="D10" s="265"/>
      <c r="E10" s="265"/>
      <c r="F10" s="266"/>
      <c r="G10" s="267"/>
      <c r="H10" s="268"/>
      <c r="I10" s="265"/>
      <c r="J10" s="265"/>
      <c r="K10" s="265"/>
      <c r="L10" s="269"/>
      <c r="M10" s="270">
        <f>SUM(M7:M9)</f>
        <v>0</v>
      </c>
      <c r="N10" s="270">
        <f>SUM(N7:N9)</f>
        <v>0</v>
      </c>
      <c r="O10" s="271"/>
      <c r="P10" s="272"/>
      <c r="Q10" s="289"/>
    </row>
    <row r="11" spans="1:22" s="241" customFormat="1" ht="57" x14ac:dyDescent="0.2">
      <c r="A11" s="306" t="s">
        <v>554</v>
      </c>
      <c r="B11" s="307"/>
      <c r="C11" s="273" t="s">
        <v>555</v>
      </c>
      <c r="D11" s="265"/>
      <c r="E11" s="265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89"/>
    </row>
    <row r="12" spans="1:22" s="241" customFormat="1" ht="20" customHeight="1" x14ac:dyDescent="0.2">
      <c r="A12" s="274">
        <v>1</v>
      </c>
      <c r="B12" s="275"/>
      <c r="C12" s="276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89"/>
    </row>
    <row r="13" spans="1:22" s="241" customFormat="1" ht="20" customHeight="1" x14ac:dyDescent="0.25">
      <c r="A13" s="274">
        <v>2</v>
      </c>
      <c r="B13" s="277"/>
      <c r="C13" s="276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89"/>
      <c r="T13" s="216"/>
    </row>
    <row r="14" spans="1:22" s="241" customFormat="1" ht="20" customHeight="1" x14ac:dyDescent="0.25">
      <c r="A14" s="274">
        <v>3</v>
      </c>
      <c r="B14" s="277"/>
      <c r="C14" s="276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89"/>
      <c r="T14" s="216"/>
    </row>
    <row r="15" spans="1:22" ht="20" thickBot="1" x14ac:dyDescent="0.3">
      <c r="A15" s="278"/>
      <c r="B15" s="279" t="s">
        <v>54</v>
      </c>
      <c r="C15" s="280">
        <f>SUM(C12:C14)</f>
        <v>0</v>
      </c>
      <c r="D15" s="265"/>
      <c r="E15" s="265"/>
      <c r="F15" s="241"/>
      <c r="G15" s="281" t="s">
        <v>502</v>
      </c>
      <c r="H15" s="292">
        <f>SUM(H9,C15)</f>
        <v>2187500</v>
      </c>
    </row>
    <row r="16" spans="1:22" ht="20" thickTop="1" x14ac:dyDescent="0.25">
      <c r="A16" s="264"/>
      <c r="B16" s="265"/>
      <c r="C16" s="265"/>
      <c r="D16" s="265"/>
      <c r="E16" s="265"/>
    </row>
    <row r="17" spans="1:23" x14ac:dyDescent="0.25">
      <c r="A17" s="264"/>
      <c r="B17" s="265"/>
      <c r="C17" s="265"/>
      <c r="D17" s="265"/>
      <c r="E17" s="265"/>
      <c r="T17" s="282"/>
    </row>
    <row r="19" spans="1:23" x14ac:dyDescent="0.25">
      <c r="Q19" s="293"/>
    </row>
    <row r="20" spans="1:23" x14ac:dyDescent="0.25">
      <c r="H20" s="294"/>
      <c r="I20" s="293"/>
      <c r="J20" s="293"/>
      <c r="K20" s="293"/>
      <c r="L20" s="293"/>
      <c r="M20" s="293"/>
      <c r="N20" s="293"/>
      <c r="O20" s="293"/>
      <c r="P20" s="293"/>
      <c r="Q20" s="295"/>
      <c r="R20" s="295"/>
      <c r="S20" s="295"/>
      <c r="T20" s="294"/>
      <c r="U20" s="293"/>
      <c r="V20" s="295"/>
      <c r="W20" s="296"/>
    </row>
    <row r="21" spans="1:23" x14ac:dyDescent="0.25">
      <c r="H21" s="294"/>
      <c r="I21" s="293"/>
      <c r="J21" s="293"/>
      <c r="K21" s="293"/>
      <c r="L21" s="293"/>
      <c r="M21" s="293"/>
      <c r="N21" s="293"/>
      <c r="O21" s="293"/>
      <c r="P21" s="293"/>
      <c r="Q21" s="295"/>
      <c r="R21" s="295"/>
      <c r="S21" s="295"/>
      <c r="T21" s="294"/>
      <c r="U21" s="293"/>
      <c r="V21" s="295"/>
      <c r="W21" s="296"/>
    </row>
    <row r="22" spans="1:23" x14ac:dyDescent="0.25">
      <c r="H22" s="294"/>
      <c r="I22" s="293"/>
      <c r="J22" s="293"/>
      <c r="K22" s="293"/>
      <c r="L22" s="293"/>
      <c r="M22" s="293"/>
      <c r="N22" s="293"/>
      <c r="O22" s="293"/>
      <c r="P22" s="293"/>
      <c r="Q22" s="295"/>
      <c r="R22" s="295"/>
      <c r="S22" s="295"/>
      <c r="T22" s="294"/>
      <c r="U22" s="293"/>
      <c r="V22" s="295"/>
      <c r="W22" s="296"/>
    </row>
    <row r="24" spans="1:23" x14ac:dyDescent="0.25">
      <c r="H24" s="294"/>
      <c r="I24" s="293"/>
      <c r="J24" s="293"/>
      <c r="K24" s="293"/>
      <c r="L24" s="293"/>
      <c r="M24" s="293"/>
      <c r="N24" s="293"/>
      <c r="O24" s="293"/>
      <c r="P24" s="293"/>
      <c r="Q24" s="295"/>
      <c r="R24" s="295"/>
      <c r="S24" s="295"/>
      <c r="T24" s="294"/>
      <c r="U24" s="293"/>
      <c r="V24" s="295"/>
      <c r="W24" s="296"/>
    </row>
    <row r="25" spans="1:23" x14ac:dyDescent="0.25">
      <c r="H25" s="294"/>
      <c r="I25" s="293"/>
      <c r="J25" s="293"/>
      <c r="K25" s="293"/>
      <c r="L25" s="293"/>
      <c r="M25" s="293"/>
      <c r="N25" s="293"/>
      <c r="O25" s="293"/>
      <c r="P25" s="293"/>
      <c r="Q25" s="295"/>
      <c r="R25" s="295"/>
      <c r="S25" s="295"/>
      <c r="T25" s="294"/>
      <c r="U25" s="293"/>
      <c r="V25" s="295"/>
      <c r="W25" s="296"/>
    </row>
    <row r="26" spans="1:23" x14ac:dyDescent="0.25">
      <c r="H26" s="294"/>
      <c r="I26" s="293"/>
      <c r="J26" s="293"/>
      <c r="K26" s="293"/>
      <c r="L26" s="293"/>
      <c r="M26" s="293"/>
      <c r="N26" s="293"/>
      <c r="O26" s="293"/>
      <c r="P26" s="293"/>
      <c r="Q26" s="295"/>
      <c r="R26" s="293"/>
      <c r="S26" s="293"/>
      <c r="T26" s="293"/>
      <c r="U26" s="293"/>
      <c r="V26" s="295"/>
      <c r="W26" s="296"/>
    </row>
    <row r="27" spans="1:23" x14ac:dyDescent="0.25"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</row>
    <row r="28" spans="1:23" x14ac:dyDescent="0.25">
      <c r="H28" s="293"/>
      <c r="I28" s="293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</row>
    <row r="29" spans="1:23" x14ac:dyDescent="0.25"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</row>
    <row r="30" spans="1:23" x14ac:dyDescent="0.25"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</row>
    <row r="31" spans="1:23" x14ac:dyDescent="0.25"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</row>
    <row r="32" spans="1:23" x14ac:dyDescent="0.25"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</row>
  </sheetData>
  <mergeCells count="8">
    <mergeCell ref="A11:B11"/>
    <mergeCell ref="A1:E2"/>
    <mergeCell ref="F1:H2"/>
    <mergeCell ref="I1:N1"/>
    <mergeCell ref="O1:P1"/>
    <mergeCell ref="K2:L2"/>
    <mergeCell ref="M2:N2"/>
    <mergeCell ref="O2:P2"/>
  </mergeCells>
  <dataValidations disablePrompts="1" count="6">
    <dataValidation type="list" allowBlank="1" showInputMessage="1" showErrorMessage="1" sqref="I9" xr:uid="{00000000-0002-0000-0900-000000000000}">
      <formula1>LstChargedItem</formula1>
    </dataValidation>
    <dataValidation type="list" allowBlank="1" showInputMessage="1" sqref="A9:C9" xr:uid="{00000000-0002-0000-0900-000001000000}">
      <formula1>LstStaffs</formula1>
    </dataValidation>
    <dataValidation type="list" allowBlank="1" showInputMessage="1" sqref="D9:E9" xr:uid="{00000000-0002-0000-0900-000002000000}">
      <formula1>LstLevel</formula1>
    </dataValidation>
    <dataValidation type="list" allowBlank="1" showInputMessage="1" showErrorMessage="1" sqref="J4:J9" xr:uid="{00000000-0002-0000-0900-000003000000}">
      <formula1>LstSection</formula1>
    </dataValidation>
    <dataValidation type="list" allowBlank="1" showInputMessage="1" sqref="I4:I8" xr:uid="{00000000-0002-0000-0900-000004000000}">
      <formula1>LstChargedItem</formula1>
    </dataValidation>
    <dataValidation type="list" allowBlank="1" showInputMessage="1" showErrorMessage="1" sqref="E4:E8" xr:uid="{00000000-0002-0000-0900-000005000000}">
      <formula1>"Manager,Senior,Junior"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1:Y17"/>
  <sheetViews>
    <sheetView zoomScaleNormal="100" workbookViewId="0">
      <selection activeCell="B32" sqref="B32"/>
    </sheetView>
  </sheetViews>
  <sheetFormatPr baseColWidth="10" defaultColWidth="8.1640625" defaultRowHeight="15" x14ac:dyDescent="0.2"/>
  <cols>
    <col min="1" max="1" width="8.1640625" style="142"/>
    <col min="2" max="2" width="41.6640625" style="142" customWidth="1"/>
    <col min="3" max="3" width="11.1640625" style="142" customWidth="1"/>
    <col min="4" max="5" width="11.1640625" style="142" hidden="1" customWidth="1"/>
    <col min="6" max="9" width="6.6640625" style="142" customWidth="1"/>
    <col min="10" max="13" width="4.5" style="142" customWidth="1"/>
    <col min="14" max="25" width="3.1640625" style="142" hidden="1" customWidth="1"/>
    <col min="26" max="16384" width="8.1640625" style="142"/>
  </cols>
  <sheetData>
    <row r="1" spans="2:25" ht="16" thickBot="1" x14ac:dyDescent="0.25"/>
    <row r="2" spans="2:25" ht="17" thickBot="1" x14ac:dyDescent="0.25">
      <c r="B2" s="144"/>
      <c r="C2" s="143" t="s">
        <v>503</v>
      </c>
      <c r="D2" s="145" t="s">
        <v>504</v>
      </c>
      <c r="E2" s="145" t="s">
        <v>505</v>
      </c>
      <c r="F2" s="143" t="s">
        <v>506</v>
      </c>
      <c r="G2" s="146" t="s">
        <v>507</v>
      </c>
      <c r="H2" s="146" t="s">
        <v>508</v>
      </c>
      <c r="I2" s="147" t="s">
        <v>509</v>
      </c>
      <c r="J2" s="143" t="s">
        <v>510</v>
      </c>
      <c r="K2" s="146" t="s">
        <v>511</v>
      </c>
      <c r="L2" s="146" t="s">
        <v>512</v>
      </c>
      <c r="M2" s="148" t="s">
        <v>513</v>
      </c>
      <c r="N2" s="143" t="s">
        <v>514</v>
      </c>
      <c r="O2" s="146" t="s">
        <v>515</v>
      </c>
      <c r="P2" s="146" t="s">
        <v>516</v>
      </c>
      <c r="Q2" s="148" t="s">
        <v>517</v>
      </c>
      <c r="R2" s="143" t="s">
        <v>510</v>
      </c>
      <c r="S2" s="146" t="s">
        <v>507</v>
      </c>
      <c r="T2" s="146" t="s">
        <v>508</v>
      </c>
      <c r="U2" s="148" t="s">
        <v>509</v>
      </c>
      <c r="V2" s="149" t="s">
        <v>506</v>
      </c>
      <c r="W2" s="146" t="s">
        <v>507</v>
      </c>
      <c r="X2" s="146" t="s">
        <v>508</v>
      </c>
      <c r="Y2" s="148" t="s">
        <v>509</v>
      </c>
    </row>
    <row r="3" spans="2:25" ht="17" thickBot="1" x14ac:dyDescent="0.25">
      <c r="B3" s="150" t="s">
        <v>42</v>
      </c>
      <c r="C3" s="151" t="s">
        <v>518</v>
      </c>
      <c r="D3" s="152">
        <v>45839</v>
      </c>
      <c r="E3" s="152">
        <v>45839</v>
      </c>
      <c r="F3" s="153"/>
      <c r="G3" s="154"/>
      <c r="H3" s="154"/>
      <c r="I3" s="155"/>
      <c r="J3" s="156"/>
      <c r="K3" s="154"/>
      <c r="L3" s="154"/>
      <c r="M3" s="157"/>
      <c r="N3" s="158"/>
      <c r="O3" s="159"/>
      <c r="P3" s="159"/>
      <c r="Q3" s="160"/>
      <c r="R3" s="161"/>
      <c r="S3" s="162"/>
      <c r="T3" s="162"/>
      <c r="U3" s="163"/>
      <c r="V3" s="164"/>
      <c r="W3" s="162"/>
      <c r="X3" s="162"/>
      <c r="Y3" s="163"/>
    </row>
    <row r="4" spans="2:25" ht="16" x14ac:dyDescent="0.2">
      <c r="B4" s="150" t="s">
        <v>43</v>
      </c>
      <c r="C4" s="165" t="s">
        <v>518</v>
      </c>
      <c r="D4" s="152">
        <v>45841</v>
      </c>
      <c r="E4" s="152">
        <v>45841</v>
      </c>
      <c r="F4" s="153"/>
      <c r="G4" s="167"/>
      <c r="H4" s="167"/>
      <c r="I4" s="168"/>
      <c r="J4" s="169"/>
      <c r="K4" s="167"/>
      <c r="L4" s="167"/>
      <c r="M4" s="170"/>
      <c r="N4" s="171"/>
      <c r="O4" s="172"/>
      <c r="P4" s="172"/>
      <c r="Q4" s="173"/>
      <c r="R4" s="169"/>
      <c r="S4" s="167"/>
      <c r="T4" s="167"/>
      <c r="U4" s="170"/>
      <c r="V4" s="164"/>
      <c r="W4" s="162"/>
      <c r="X4" s="162"/>
      <c r="Y4" s="170"/>
    </row>
    <row r="5" spans="2:25" ht="16" x14ac:dyDescent="0.2">
      <c r="B5" s="150" t="s">
        <v>519</v>
      </c>
      <c r="C5" s="165"/>
      <c r="D5" s="165"/>
      <c r="E5" s="174"/>
      <c r="F5" s="175"/>
      <c r="G5" s="176"/>
      <c r="H5" s="176"/>
      <c r="I5" s="177"/>
      <c r="J5" s="175"/>
      <c r="K5" s="176"/>
      <c r="L5" s="176"/>
      <c r="M5" s="178"/>
      <c r="N5" s="175"/>
      <c r="O5" s="176"/>
      <c r="P5" s="176"/>
      <c r="Q5" s="178"/>
      <c r="R5" s="175"/>
      <c r="S5" s="176"/>
      <c r="T5" s="176"/>
      <c r="U5" s="178"/>
      <c r="V5" s="179"/>
      <c r="W5" s="180"/>
      <c r="X5" s="180"/>
      <c r="Y5" s="178"/>
    </row>
    <row r="6" spans="2:25" ht="16" x14ac:dyDescent="0.2">
      <c r="B6" s="181" t="s">
        <v>520</v>
      </c>
      <c r="C6" s="182" t="s">
        <v>518</v>
      </c>
      <c r="D6" s="183">
        <v>45847</v>
      </c>
      <c r="E6" s="183">
        <v>45847</v>
      </c>
      <c r="F6" s="184"/>
      <c r="G6" s="166"/>
      <c r="H6" s="167"/>
      <c r="I6" s="168"/>
      <c r="J6" s="185"/>
      <c r="K6" s="167"/>
      <c r="L6" s="167"/>
      <c r="M6" s="170"/>
      <c r="N6" s="171"/>
      <c r="O6" s="172"/>
      <c r="P6" s="172"/>
      <c r="Q6" s="186"/>
      <c r="R6" s="161"/>
      <c r="S6" s="162"/>
      <c r="T6" s="167"/>
      <c r="U6" s="170"/>
      <c r="V6" s="164"/>
      <c r="W6" s="162"/>
      <c r="X6" s="162"/>
      <c r="Y6" s="170"/>
    </row>
    <row r="7" spans="2:25" ht="16" x14ac:dyDescent="0.2">
      <c r="B7" s="181" t="s">
        <v>521</v>
      </c>
      <c r="C7" s="182" t="s">
        <v>518</v>
      </c>
      <c r="D7" s="183">
        <v>45848</v>
      </c>
      <c r="E7" s="183">
        <v>45848</v>
      </c>
      <c r="F7" s="169"/>
      <c r="G7" s="166"/>
      <c r="H7" s="167"/>
      <c r="I7" s="173"/>
      <c r="J7" s="185"/>
      <c r="K7" s="172"/>
      <c r="L7" s="172"/>
      <c r="M7" s="170"/>
      <c r="N7" s="171"/>
      <c r="O7" s="172"/>
      <c r="P7" s="172"/>
      <c r="Q7" s="186"/>
      <c r="R7" s="161"/>
      <c r="S7" s="162"/>
      <c r="T7" s="167"/>
      <c r="U7" s="170"/>
      <c r="V7" s="164"/>
      <c r="W7" s="162"/>
      <c r="X7" s="162"/>
      <c r="Y7" s="170"/>
    </row>
    <row r="8" spans="2:25" ht="16" x14ac:dyDescent="0.2">
      <c r="B8" s="181" t="s">
        <v>522</v>
      </c>
      <c r="C8" s="182" t="s">
        <v>518</v>
      </c>
      <c r="D8" s="183">
        <v>45849</v>
      </c>
      <c r="E8" s="183">
        <v>45849</v>
      </c>
      <c r="F8" s="169"/>
      <c r="G8" s="167"/>
      <c r="H8" s="166"/>
      <c r="I8" s="168"/>
      <c r="J8" s="185"/>
      <c r="K8" s="162"/>
      <c r="L8" s="187"/>
      <c r="M8" s="173"/>
      <c r="N8" s="171"/>
      <c r="O8" s="172"/>
      <c r="P8" s="172"/>
      <c r="Q8" s="186"/>
      <c r="R8" s="161"/>
      <c r="S8" s="162"/>
      <c r="T8" s="167"/>
      <c r="U8" s="170"/>
      <c r="V8" s="164"/>
      <c r="W8" s="162"/>
      <c r="X8" s="162"/>
      <c r="Y8" s="170"/>
    </row>
    <row r="9" spans="2:25" ht="16" x14ac:dyDescent="0.2">
      <c r="B9" s="181" t="s">
        <v>523</v>
      </c>
      <c r="C9" s="182" t="s">
        <v>524</v>
      </c>
      <c r="D9" s="183">
        <v>45853</v>
      </c>
      <c r="E9" s="183">
        <v>45853</v>
      </c>
      <c r="F9" s="169"/>
      <c r="G9" s="167"/>
      <c r="H9" s="166"/>
      <c r="I9" s="168"/>
      <c r="J9" s="161"/>
      <c r="K9" s="172"/>
      <c r="L9" s="172"/>
      <c r="M9" s="173"/>
      <c r="N9" s="171"/>
      <c r="O9" s="172"/>
      <c r="P9" s="172"/>
      <c r="Q9" s="173"/>
      <c r="R9" s="169"/>
      <c r="S9" s="167"/>
      <c r="T9" s="167"/>
      <c r="U9" s="170"/>
      <c r="V9" s="164"/>
      <c r="W9" s="162"/>
      <c r="X9" s="162"/>
      <c r="Y9" s="170"/>
    </row>
    <row r="10" spans="2:25" ht="16" x14ac:dyDescent="0.2">
      <c r="B10" s="181" t="s">
        <v>525</v>
      </c>
      <c r="C10" s="182" t="s">
        <v>524</v>
      </c>
      <c r="D10" s="183">
        <v>45854</v>
      </c>
      <c r="E10" s="183">
        <v>45856</v>
      </c>
      <c r="F10" s="169"/>
      <c r="G10" s="167"/>
      <c r="H10" s="166"/>
      <c r="I10" s="207"/>
      <c r="J10" s="161"/>
      <c r="K10" s="172"/>
      <c r="L10" s="172"/>
      <c r="M10" s="173"/>
      <c r="N10" s="171"/>
      <c r="O10" s="172"/>
      <c r="P10" s="172"/>
      <c r="Q10" s="173"/>
      <c r="R10" s="169"/>
      <c r="S10" s="167"/>
      <c r="T10" s="167"/>
      <c r="U10" s="170"/>
      <c r="V10" s="164"/>
      <c r="W10" s="162"/>
      <c r="X10" s="162"/>
      <c r="Y10" s="170"/>
    </row>
    <row r="11" spans="2:25" ht="16" x14ac:dyDescent="0.2">
      <c r="B11" s="150" t="s">
        <v>526</v>
      </c>
      <c r="C11" s="188"/>
      <c r="D11" s="188"/>
      <c r="E11" s="189"/>
      <c r="F11" s="175"/>
      <c r="G11" s="176"/>
      <c r="H11" s="176"/>
      <c r="I11" s="177"/>
      <c r="J11" s="175"/>
      <c r="K11" s="176"/>
      <c r="L11" s="176"/>
      <c r="M11" s="178"/>
      <c r="N11" s="175"/>
      <c r="O11" s="176"/>
      <c r="P11" s="176"/>
      <c r="Q11" s="178"/>
      <c r="R11" s="175"/>
      <c r="S11" s="176"/>
      <c r="T11" s="176"/>
      <c r="U11" s="178"/>
      <c r="V11" s="175"/>
      <c r="W11" s="176"/>
      <c r="X11" s="176"/>
      <c r="Y11" s="178"/>
    </row>
    <row r="12" spans="2:25" ht="17" thickBot="1" x14ac:dyDescent="0.25">
      <c r="B12" s="190" t="s">
        <v>527</v>
      </c>
      <c r="C12" s="191" t="s">
        <v>518</v>
      </c>
      <c r="D12" s="192">
        <v>45859</v>
      </c>
      <c r="E12" s="193">
        <v>45863</v>
      </c>
      <c r="F12" s="194"/>
      <c r="G12" s="195"/>
      <c r="H12" s="195"/>
      <c r="I12" s="198"/>
      <c r="J12" s="194"/>
      <c r="K12" s="195"/>
      <c r="L12" s="196"/>
      <c r="M12" s="197"/>
      <c r="N12" s="194"/>
      <c r="O12" s="195"/>
      <c r="P12" s="195"/>
      <c r="Q12" s="199"/>
      <c r="R12" s="194"/>
      <c r="S12" s="195"/>
      <c r="T12" s="195"/>
      <c r="U12" s="199"/>
      <c r="V12" s="194"/>
      <c r="W12" s="195"/>
      <c r="X12" s="195"/>
      <c r="Y12" s="199"/>
    </row>
    <row r="16" spans="2:25" x14ac:dyDescent="0.2">
      <c r="J16" s="200"/>
    </row>
    <row r="17" spans="10:10" x14ac:dyDescent="0.2">
      <c r="J17" s="200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>
      <selection activeCell="E44" sqref="E44"/>
    </sheetView>
  </sheetViews>
  <sheetFormatPr baseColWidth="10" defaultColWidth="8.6640625" defaultRowHeight="14" x14ac:dyDescent="0.2"/>
  <cols>
    <col min="1" max="1" width="29.1640625" style="202" bestFit="1" customWidth="1"/>
    <col min="2" max="2" width="41.1640625" style="202" bestFit="1" customWidth="1"/>
    <col min="3" max="3" width="8.6640625" style="202"/>
    <col min="4" max="4" width="26.1640625" style="202" bestFit="1" customWidth="1"/>
    <col min="5" max="5" width="32.6640625" style="202" customWidth="1"/>
    <col min="6" max="16384" width="8.6640625" style="202"/>
  </cols>
  <sheetData>
    <row r="1" spans="1:3" x14ac:dyDescent="0.2">
      <c r="A1" s="201" t="s">
        <v>503</v>
      </c>
      <c r="B1" s="201" t="s">
        <v>556</v>
      </c>
      <c r="C1" s="202" t="s">
        <v>39</v>
      </c>
    </row>
    <row r="2" spans="1:3" x14ac:dyDescent="0.2">
      <c r="A2" s="202" t="s">
        <v>557</v>
      </c>
      <c r="B2" s="202" t="s">
        <v>558</v>
      </c>
      <c r="C2" s="202" t="s">
        <v>559</v>
      </c>
    </row>
    <row r="3" spans="1:3" x14ac:dyDescent="0.2">
      <c r="A3" s="202" t="s">
        <v>560</v>
      </c>
      <c r="B3" s="202" t="s">
        <v>558</v>
      </c>
      <c r="C3" s="202" t="s">
        <v>559</v>
      </c>
    </row>
    <row r="7" spans="1:3" x14ac:dyDescent="0.2">
      <c r="A7" s="202" t="s">
        <v>561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18736F-E0F5-4F49-A989-7A8C6632A1F4}"/>
</file>

<file path=customXml/itemProps2.xml><?xml version="1.0" encoding="utf-8"?>
<ds:datastoreItem xmlns:ds="http://schemas.openxmlformats.org/officeDocument/2006/customXml" ds:itemID="{FEC5ECDE-411C-4A5B-9258-B4492A8000EB}"/>
</file>

<file path=customXml/itemProps3.xml><?xml version="1.0" encoding="utf-8"?>
<ds:datastoreItem xmlns:ds="http://schemas.openxmlformats.org/officeDocument/2006/customXml" ds:itemID="{DBE43E9F-F21A-4B91-9761-1D48AEAA2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23</vt:i4>
      </vt:variant>
    </vt:vector>
  </HeadingPairs>
  <TitlesOfParts>
    <vt:vector size="33" baseType="lpstr">
      <vt:lpstr>SR21005626_4Dates</vt:lpstr>
      <vt:lpstr>SR21005626_Estimated Effort</vt:lpstr>
      <vt:lpstr>Development</vt:lpstr>
      <vt:lpstr>Pricing Procedure</vt:lpstr>
      <vt:lpstr>Value Field</vt:lpstr>
      <vt:lpstr>Conceptual Design</vt:lpstr>
      <vt:lpstr>RITM0041040_Requirement</vt:lpstr>
      <vt:lpstr>Cost Sheet</vt:lpstr>
      <vt:lpstr>Timeline</vt:lpstr>
      <vt:lpstr>Authorization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DATA3</vt:lpstr>
      <vt:lpstr>DATA4</vt:lpstr>
      <vt:lpstr>DATA5</vt:lpstr>
      <vt:lpstr>DATA6</vt:lpstr>
      <vt:lpstr>DATA7</vt:lpstr>
      <vt:lpstr>DATA8</vt:lpstr>
      <vt:lpstr>DATA9</vt:lpstr>
      <vt:lpstr>TEST0</vt:lpstr>
      <vt:lpstr>TESTKEYS</vt:lpstr>
      <vt:lpstr>TESTVKEY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Nucharin</dc:creator>
  <cp:keywords/>
  <dc:description/>
  <cp:lastModifiedBy>Nuttapol Supsurmpol</cp:lastModifiedBy>
  <cp:revision/>
  <dcterms:created xsi:type="dcterms:W3CDTF">2020-08-26T02:27:33Z</dcterms:created>
  <dcterms:modified xsi:type="dcterms:W3CDTF">2026-02-09T11:25:47Z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