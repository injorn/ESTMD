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D25009-633F-4900-9EE4-2878FDF99313}" xr6:coauthVersionLast="47" xr6:coauthVersionMax="47" xr10:uidLastSave="{00000000-0000-0000-0000-000000000000}"/>
  <bookViews>
    <workbookView xWindow="-120" yWindow="-120" windowWidth="38640" windowHeight="21120" tabRatio="862" xr2:uid="{00000000-000D-0000-FFFF-FFFF00000000}"/>
  </bookViews>
  <sheets>
    <sheet name="Resource" sheetId="10" r:id="rId1"/>
    <sheet name="Total" sheetId="12" r:id="rId2"/>
    <sheet name="PTTDigital_Manday" sheetId="18" r:id="rId3"/>
    <sheet name="Travel Cost" sheetId="13" r:id="rId4"/>
    <sheet name="Project Timeline" sheetId="1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1" i="18" l="1"/>
  <c r="C26" i="12"/>
  <c r="C3" i="12"/>
  <c r="F13" i="10"/>
  <c r="F12" i="10"/>
  <c r="F11" i="10"/>
  <c r="F10" i="10"/>
  <c r="F5" i="10"/>
  <c r="J56" i="18"/>
  <c r="F56" i="18"/>
  <c r="N60" i="18"/>
  <c r="M60" i="18"/>
  <c r="L60" i="18"/>
  <c r="K60" i="18"/>
  <c r="J60" i="18"/>
  <c r="I60" i="18"/>
  <c r="H60" i="18"/>
  <c r="G60" i="18"/>
  <c r="F60" i="18"/>
  <c r="E60" i="18"/>
  <c r="D60" i="18"/>
  <c r="N56" i="18"/>
  <c r="N67" i="18" s="1"/>
  <c r="M56" i="18"/>
  <c r="M61" i="18" s="1"/>
  <c r="L56" i="18"/>
  <c r="L61" i="18" s="1"/>
  <c r="K56" i="18"/>
  <c r="K61" i="18" s="1"/>
  <c r="J61" i="18"/>
  <c r="I56" i="18"/>
  <c r="I61" i="18" s="1"/>
  <c r="H56" i="18"/>
  <c r="H61" i="18" s="1"/>
  <c r="G56" i="18"/>
  <c r="E56" i="18"/>
  <c r="E61" i="18" s="1"/>
  <c r="D56" i="18"/>
  <c r="D61" i="18" s="1"/>
  <c r="F9" i="10" l="1"/>
  <c r="F6" i="10"/>
  <c r="F4" i="10"/>
  <c r="G61" i="18"/>
  <c r="F8" i="10"/>
  <c r="F7" i="10"/>
  <c r="N61" i="18"/>
  <c r="O60" i="18"/>
  <c r="O61" i="18"/>
  <c r="O62" i="18" l="1"/>
  <c r="C4" i="12"/>
  <c r="E16" i="12"/>
  <c r="E10" i="12"/>
  <c r="E11" i="12"/>
  <c r="I4" i="10" l="1"/>
  <c r="D8" i="13" l="1"/>
  <c r="J7" i="13"/>
  <c r="J6" i="13"/>
  <c r="J5" i="13"/>
  <c r="J8" i="13" l="1"/>
  <c r="E18" i="12" l="1"/>
  <c r="E17" i="12"/>
  <c r="E12" i="12"/>
  <c r="E19" i="12" l="1"/>
  <c r="E13" i="12"/>
  <c r="C5" i="12" l="1"/>
  <c r="I7" i="10"/>
  <c r="I5" i="10"/>
  <c r="I12" i="10" l="1"/>
  <c r="C6" i="12" l="1"/>
  <c r="D24" i="12" l="1"/>
  <c r="D25" i="12"/>
  <c r="D23" i="12"/>
  <c r="D26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Pimsupak Tammalakkhana</author>
  </authors>
  <commentList>
    <comment ref="G3" authorId="0" shapeId="0" xr:uid="{F383126A-4262-4E01-AF58-53F99FD0410E}">
      <text>
        <r>
          <rPr>
            <b/>
            <sz val="9"/>
            <color rgb="FF000000"/>
            <rFont val="Tahoma"/>
            <family val="2"/>
          </rPr>
          <t>Pimsupak Tammalakkhana: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ให้ใส่</t>
        </r>
        <r>
          <rPr>
            <sz val="9"/>
            <color rgb="FF000000"/>
            <rFont val="Tahoma"/>
            <family val="2"/>
          </rPr>
          <t xml:space="preserve"> Cost 
</t>
        </r>
        <r>
          <rPr>
            <sz val="9"/>
            <color rgb="FF000000"/>
            <rFont val="Tahoma"/>
            <family val="2"/>
          </rPr>
          <t>หาก</t>
        </r>
        <r>
          <rPr>
            <sz val="9"/>
            <color rgb="FF000000"/>
            <rFont val="Tahoma"/>
            <family val="2"/>
          </rPr>
          <t xml:space="preserve"> PM </t>
        </r>
        <r>
          <rPr>
            <sz val="9"/>
            <color rgb="FF000000"/>
            <rFont val="Tahoma"/>
            <family val="2"/>
          </rPr>
          <t>ไม่ทราบให้ว่างไว้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20" authorId="0" shapeId="0" xr:uid="{3DB12784-2121-487A-A94F-F883654DDFAB}">
      <text>
        <r>
          <rPr>
            <b/>
            <sz val="9"/>
            <color rgb="FF000000"/>
            <rFont val="Tahoma"/>
            <family val="2"/>
          </rPr>
          <t>Pimsupak Tammalakkhana: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ระบุค่าเดินทาง</t>
        </r>
        <r>
          <rPr>
            <sz val="9"/>
            <color rgb="FF000000"/>
            <rFont val="Tahoma"/>
            <family val="2"/>
          </rPr>
          <t xml:space="preserve"> 
</t>
        </r>
        <r>
          <rPr>
            <sz val="9"/>
            <color rgb="FF000000"/>
            <rFont val="Tahoma"/>
            <family val="2"/>
          </rPr>
          <t>หาก</t>
        </r>
        <r>
          <rPr>
            <sz val="9"/>
            <color rgb="FF000000"/>
            <rFont val="Tahoma"/>
            <family val="2"/>
          </rPr>
          <t xml:space="preserve"> Project </t>
        </r>
        <r>
          <rPr>
            <sz val="9"/>
            <color rgb="FF000000"/>
            <rFont val="Tahoma"/>
            <family val="2"/>
          </rPr>
          <t>ไหนต้องย่อยรายละเอียดการเดินทางแยก</t>
        </r>
        <r>
          <rPr>
            <sz val="9"/>
            <color rgb="FF000000"/>
            <rFont val="Tahoma"/>
            <family val="2"/>
          </rPr>
          <t xml:space="preserve"> Sheet Declare </t>
        </r>
        <r>
          <rPr>
            <sz val="9"/>
            <color rgb="FF000000"/>
            <rFont val="Tahoma"/>
            <family val="2"/>
          </rPr>
          <t>มาอีกอัน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Pimsupak Tammalakkhana</author>
  </authors>
  <commentList>
    <comment ref="A20" authorId="0" shapeId="0" xr:uid="{178943D9-DDD6-D54C-98C3-90DA5A53C62C}">
      <text>
        <r>
          <rPr>
            <b/>
            <sz val="9"/>
            <color rgb="FF000000"/>
            <rFont val="Tahoma"/>
            <family val="2"/>
          </rPr>
          <t>Pimsupak Tammalakkhana: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แล้วแต่</t>
        </r>
        <r>
          <rPr>
            <sz val="9"/>
            <color rgb="FF000000"/>
            <rFont val="Tahoma"/>
            <family val="2"/>
          </rPr>
          <t xml:space="preserve"> Project </t>
        </r>
        <r>
          <rPr>
            <sz val="9"/>
            <color rgb="FF000000"/>
            <rFont val="Tahoma"/>
            <family val="2"/>
          </rPr>
          <t>ว่าแบ่งส่งเอกสารเป็น</t>
        </r>
        <r>
          <rPr>
            <sz val="9"/>
            <color rgb="FF000000"/>
            <rFont val="Tahoma"/>
            <family val="2"/>
          </rPr>
          <t xml:space="preserve"> 2 </t>
        </r>
        <r>
          <rPr>
            <sz val="9"/>
            <color rgb="FF000000"/>
            <rFont val="Tahoma"/>
            <family val="2"/>
          </rPr>
          <t>เล่ม</t>
        </r>
        <r>
          <rPr>
            <sz val="9"/>
            <color rgb="FF000000"/>
            <rFont val="Tahoma"/>
            <family val="2"/>
          </rPr>
          <t xml:space="preserve"> Requirement </t>
        </r>
        <r>
          <rPr>
            <sz val="9"/>
            <color rgb="FF000000"/>
            <rFont val="Tahoma"/>
            <family val="2"/>
          </rPr>
          <t>และ</t>
        </r>
        <r>
          <rPr>
            <sz val="9"/>
            <color rgb="FF000000"/>
            <rFont val="Tahoma"/>
            <family val="2"/>
          </rPr>
          <t xml:space="preserve"> Design </t>
        </r>
        <r>
          <rPr>
            <sz val="9"/>
            <color rgb="FF000000"/>
            <rFont val="Tahoma"/>
            <family val="2"/>
          </rPr>
          <t>หรือไม่</t>
        </r>
      </text>
    </comment>
  </commentList>
</comments>
</file>

<file path=xl/sharedStrings.xml><?xml version="1.0" encoding="utf-8"?>
<sst xmlns="http://schemas.openxmlformats.org/spreadsheetml/2006/main" count="284" uniqueCount="186">
  <si>
    <t>Team Information</t>
  </si>
  <si>
    <t>Total Manday (Day)</t>
  </si>
  <si>
    <t>No.</t>
  </si>
  <si>
    <t>Name</t>
  </si>
  <si>
    <t>Type</t>
  </si>
  <si>
    <t>Role</t>
  </si>
  <si>
    <t>Level</t>
  </si>
  <si>
    <t>Planned (Day)</t>
  </si>
  <si>
    <t>Manday Rate (Baht)</t>
  </si>
  <si>
    <t>คุณภฤศธร ใต้เวชศาสตร์</t>
  </si>
  <si>
    <t>PTT Digital</t>
  </si>
  <si>
    <t>Project Manager</t>
  </si>
  <si>
    <t>Senior</t>
  </si>
  <si>
    <t>คุณพจนารถ สระหนองห้าง</t>
  </si>
  <si>
    <t>Outsource</t>
  </si>
  <si>
    <t>System Analyst</t>
  </si>
  <si>
    <t>Officer</t>
  </si>
  <si>
    <t>คุณณัฐ วัฒนากิจจากุล</t>
  </si>
  <si>
    <t>Business Analyst</t>
  </si>
  <si>
    <t>คุณอานนท์ จูงใจ</t>
  </si>
  <si>
    <t>Developer</t>
  </si>
  <si>
    <t>คุณชนินทร์กานต์ วังคำ</t>
  </si>
  <si>
    <t>คุณเมธี อิศรานุวัต</t>
  </si>
  <si>
    <t>Tester</t>
  </si>
  <si>
    <t>คุณกรรณิการ์ เพ็งพล</t>
  </si>
  <si>
    <t>Technical Review</t>
  </si>
  <si>
    <t>คุณชาญวุฒิ ช่างการ</t>
  </si>
  <si>
    <t>Security</t>
  </si>
  <si>
    <t>คุณสถาพร หัสกรรณ์</t>
  </si>
  <si>
    <t>Infrastructure</t>
  </si>
  <si>
    <t xml:space="preserve">คุณพัชร มีสวัสดิ์ </t>
  </si>
  <si>
    <t>DevOps</t>
  </si>
  <si>
    <t>Other Information</t>
  </si>
  <si>
    <t>Total Amount (Baht)</t>
  </si>
  <si>
    <t>Hardware</t>
  </si>
  <si>
    <t>-</t>
  </si>
  <si>
    <t>Software</t>
  </si>
  <si>
    <t>License</t>
  </si>
  <si>
    <t>Allowance</t>
  </si>
  <si>
    <t>ค่าดำเนินโครงการโดยที่ปรึกษาภายนอก</t>
  </si>
  <si>
    <t>DevOps Service</t>
  </si>
  <si>
    <t>หมายเหตุ   ถ้ามีประเภทค่าใช้จ่ายอื่นๆ เพิ่มเติมใน Project เพิ่ม Row ได้</t>
  </si>
  <si>
    <t>Total</t>
  </si>
  <si>
    <t>Digital Rev (BD Phase)</t>
  </si>
  <si>
    <t>Digital Rev (Development Phase)</t>
  </si>
  <si>
    <t>ค่าเบี้ยเลี้ยง/ค่าเดินทาง</t>
  </si>
  <si>
    <t>ค่าเดินทาง</t>
  </si>
  <si>
    <t>จำนวนครั้ง</t>
  </si>
  <si>
    <t>ครั้งละ</t>
  </si>
  <si>
    <t>รวมค่าเดินทาง</t>
  </si>
  <si>
    <t>ค่าเบี้ยเลี้ยง</t>
  </si>
  <si>
    <t>รวมค่าเบี้ยเลี้ยง</t>
  </si>
  <si>
    <t>งวดการชำระเงิน PTT &gt;&gt; PTT Digital</t>
  </si>
  <si>
    <t>%</t>
  </si>
  <si>
    <t>จำนวนเงิน</t>
  </si>
  <si>
    <t>งวดที่ 1 : Requirement &amp; Design</t>
  </si>
  <si>
    <t>งวดที่ 2 : Phase 1: Test &amp; Go-Live</t>
  </si>
  <si>
    <t>งวดที่ 3 : Phase 2: Test &amp; Go-Live</t>
  </si>
  <si>
    <t>โครงการ ENH-PTTEP-Digital Job Card Phase 5</t>
  </si>
  <si>
    <t>(ระยะเวลาโครงการ ….270…. วัน)</t>
  </si>
  <si>
    <t>Sr1</t>
  </si>
  <si>
    <t>Of1</t>
  </si>
  <si>
    <t>Phase</t>
  </si>
  <si>
    <t>Details</t>
  </si>
  <si>
    <t>Deliverables</t>
  </si>
  <si>
    <t>PM</t>
  </si>
  <si>
    <t>SA</t>
  </si>
  <si>
    <t>Jr Dev</t>
  </si>
  <si>
    <t>BA</t>
  </si>
  <si>
    <t>App. Support</t>
  </si>
  <si>
    <t>Bharitsathorn T.</t>
  </si>
  <si>
    <t>Potjanart S.</t>
  </si>
  <si>
    <t>Anon Ju.</t>
  </si>
  <si>
    <t>Chaninkarn W.</t>
  </si>
  <si>
    <t>Maytee I.</t>
  </si>
  <si>
    <t>Nat W.</t>
  </si>
  <si>
    <t>Kannika P.</t>
  </si>
  <si>
    <t>Chanvut C.</t>
  </si>
  <si>
    <t>Sathaporn H.</t>
  </si>
  <si>
    <t>Patchara M.</t>
  </si>
  <si>
    <t>Business Development</t>
  </si>
  <si>
    <t>Gather Initial Requirements</t>
  </si>
  <si>
    <t>Proposal</t>
  </si>
  <si>
    <t>Create Proposal &amp; Project Plan</t>
  </si>
  <si>
    <t>Vendor Selection</t>
  </si>
  <si>
    <t>Impact analyst</t>
  </si>
  <si>
    <t>Project Planning</t>
  </si>
  <si>
    <t>Kick-Off Meeting</t>
  </si>
  <si>
    <t>Create Project Plan, Other Plans and Integrate to Project Plan</t>
  </si>
  <si>
    <t>Monitoring</t>
  </si>
  <si>
    <t>Progress Report</t>
  </si>
  <si>
    <t>Prepare and setup Development Environment</t>
  </si>
  <si>
    <t>Requirement Development</t>
  </si>
  <si>
    <t>Get Requirement</t>
  </si>
  <si>
    <t>Create Business Blueprint</t>
  </si>
  <si>
    <t>Peer Review Requirement Specification</t>
  </si>
  <si>
    <t>Confirm Requirement Specification with Customer</t>
  </si>
  <si>
    <t>Sign off Requirement Specification</t>
  </si>
  <si>
    <t>Create Baseline for Design(CM)</t>
  </si>
  <si>
    <t>Design</t>
  </si>
  <si>
    <t>Peer Review Design Specification</t>
  </si>
  <si>
    <t>Sign-Off Requirement Specification</t>
  </si>
  <si>
    <t>Clarify Design</t>
  </si>
  <si>
    <t>Sign off Design Specification</t>
  </si>
  <si>
    <t>Peer Review Technical Specification</t>
  </si>
  <si>
    <t>Develop &amp; Unit Test</t>
  </si>
  <si>
    <t>Development &amp; Unit Test</t>
  </si>
  <si>
    <t>1.Build &amp; Test Crane load test Form</t>
  </si>
  <si>
    <t>2.Build &amp; Test Crane Pull Test Form</t>
  </si>
  <si>
    <t>3.Build &amp; Test OverHead Line Form</t>
  </si>
  <si>
    <t>4. Build &amp; Test Enh_Existing_Funtion_DJC#5 WHP, Transmitter, PSV</t>
  </si>
  <si>
    <t>SIT &amp; UAT</t>
  </si>
  <si>
    <t>Testing</t>
  </si>
  <si>
    <t xml:space="preserve">Sign-Off UAT </t>
  </si>
  <si>
    <t>Peer Review Software Implementation &amp; Unit Test</t>
  </si>
  <si>
    <t>Create Test Scenario &amp; Test Script</t>
  </si>
  <si>
    <t>System Integration Test (SIT)</t>
  </si>
  <si>
    <t>User Acceptance Test (UAT)</t>
  </si>
  <si>
    <t>Sign-Off UAT</t>
  </si>
  <si>
    <t>Perform Security Test</t>
  </si>
  <si>
    <t>EA Process</t>
  </si>
  <si>
    <t>Create Baseline for Final Preparation</t>
  </si>
  <si>
    <t>Final Preparation</t>
  </si>
  <si>
    <t>Develop Deployment Plan &amp; Readiness Checklist</t>
  </si>
  <si>
    <t>Production Deployment</t>
  </si>
  <si>
    <t>Create release documents</t>
  </si>
  <si>
    <t>Prepare Training Material / User Manual</t>
  </si>
  <si>
    <t>Train The Trainer (TTT)</t>
  </si>
  <si>
    <t>End User Training (EUT)</t>
  </si>
  <si>
    <t>Prepare and perform Data migration/conversion</t>
  </si>
  <si>
    <t>Prepare and setup Production Environment</t>
  </si>
  <si>
    <t>Technical Training</t>
  </si>
  <si>
    <t xml:space="preserve">Create Final Baseline </t>
  </si>
  <si>
    <t>Project Closure</t>
  </si>
  <si>
    <t>Go-live Support and Go-live Sign off</t>
  </si>
  <si>
    <t>Sign-Off GO Live</t>
  </si>
  <si>
    <t>Evaluate supplier/vendor</t>
  </si>
  <si>
    <t>Survey Customer Satisfaction</t>
  </si>
  <si>
    <t>Create Project closure report and Completion sign-off</t>
  </si>
  <si>
    <t>หมายเหตุ   Manday จำนวน 1 MD ของ App Support ใน activity Final Preparation จะไม่ได้ charge ลูกค้าเนื่องจากเป็นการเข้าไปเรียนรู้และ transfer system</t>
  </si>
  <si>
    <t>Junior = 8,500 per day</t>
  </si>
  <si>
    <t xml:space="preserve"> </t>
  </si>
  <si>
    <t>Digital Rev</t>
  </si>
  <si>
    <t>Senior = 14,000 per day</t>
  </si>
  <si>
    <t>Rev/ Day</t>
  </si>
  <si>
    <t>Rev (BD Phase)</t>
  </si>
  <si>
    <t>Rev (Development Phase)</t>
  </si>
  <si>
    <t>จำนวนครั้งที่ไป</t>
  </si>
  <si>
    <t>ราคา</t>
  </si>
  <si>
    <t>จำนวนหน่วย</t>
  </si>
  <si>
    <t>จำนวนการใช้งาน</t>
  </si>
  <si>
    <t>รวม</t>
  </si>
  <si>
    <t>Requirement &amp; Design</t>
  </si>
  <si>
    <t>UAT</t>
  </si>
  <si>
    <t>ค่าที่พัก</t>
  </si>
  <si>
    <t>Go-Live &amp; Training</t>
  </si>
  <si>
    <t>No</t>
  </si>
  <si>
    <t>Task</t>
  </si>
  <si>
    <t>w1</t>
  </si>
  <si>
    <t>w2</t>
  </si>
  <si>
    <t>w3</t>
  </si>
  <si>
    <t>w4</t>
  </si>
  <si>
    <t>Project Preparation</t>
  </si>
  <si>
    <t>Project Kick-off</t>
  </si>
  <si>
    <t>Gather Requirement</t>
  </si>
  <si>
    <t>Analysis &amp; Design</t>
  </si>
  <si>
    <t>Build &amp; Test</t>
  </si>
  <si>
    <t>SIT</t>
  </si>
  <si>
    <t>SIT#1</t>
  </si>
  <si>
    <t>SIT#2</t>
  </si>
  <si>
    <t>UAT#1</t>
  </si>
  <si>
    <t>UAT#2</t>
  </si>
  <si>
    <t>Deliver Project Document</t>
  </si>
  <si>
    <t>Training#1</t>
  </si>
  <si>
    <t>Training#2</t>
  </si>
  <si>
    <t>Final Preparation &amp; Production Deployment</t>
  </si>
  <si>
    <t>Deploy#1</t>
  </si>
  <si>
    <t>Deploy#2</t>
  </si>
  <si>
    <t>Go-live</t>
  </si>
  <si>
    <t>Go-Live#1</t>
  </si>
  <si>
    <t>Go-Live#2</t>
  </si>
  <si>
    <t>Support after Go-live</t>
  </si>
  <si>
    <t xml:space="preserve">          : งวดส่งมอบงาน</t>
  </si>
  <si>
    <t>Regression Test</t>
  </si>
  <si>
    <t>REG Test</t>
  </si>
  <si>
    <t>Project timeline: 11 months 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</si>
</sst>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฿&quot;#,##0.00"/>
    <numFmt numFmtId="166" formatCode="_-[$฿-41E]* #,##0.00_-;\-[$฿-41E]* #,##0.00_-;_-[$฿-41E]* &quot;-&quot;??_-;_-@_-"/>
    <numFmt numFmtId="167" formatCode="_(* #,##0_);_(* \(#,##0\);_(* &quot;-&quot;??_);_(@_)"/>
    <numFmt numFmtId="168" formatCode="_(* #,##0.0_);_(* \(#,##0.0\);_(* &quot;-&quot;??_);_(@_)"/>
    <numFmt numFmtId="169" formatCode="_(* #,##0.0_);_(* \(#,##0.0\);_(* &quot;-&quot;?_);_(@_)"/>
  </numFmts>
  <fonts count="4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0"/>
      <color theme="1"/>
      <name val="Calibri"/>
      <family val="2"/>
      <scheme val="minor"/>
    </font>
    <font>
      <b/>
      <sz val="9"/>
      <color rgb="FFFFFFFF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10"/>
      <color rgb="FFFF0000"/>
      <name val="Calibri"/>
      <family val="2"/>
      <charset val="22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ordia New"/>
      <family val="2"/>
    </font>
    <font>
      <sz val="10"/>
      <color rgb="FFFF0000"/>
      <name val="Cordia New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u/>
      <sz val="10"/>
      <color theme="1"/>
      <name val="Tahoma"/>
      <family val="2"/>
    </font>
    <font>
      <sz val="9"/>
      <color theme="1"/>
      <name val="Calibri"/>
      <family val="2"/>
      <charset val="222"/>
      <scheme val="minor"/>
    </font>
    <font>
      <sz val="10"/>
      <color theme="1"/>
      <name val="Calibri"/>
      <family val="2"/>
    </font>
    <font>
      <sz val="10"/>
      <color theme="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rgb="FF444444"/>
      <name val="Calibri"/>
      <family val="2"/>
    </font>
    <font>
      <sz val="10"/>
      <color rgb="FF000000"/>
      <name val="Tahoma"/>
      <family val="2"/>
    </font>
    <font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9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0B5394"/>
        <bgColor rgb="FF000000"/>
      </patternFill>
    </fill>
    <fill>
      <patternFill patternType="solid">
        <fgColor rgb="FF3C78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F2D0"/>
        <bgColor rgb="FF000000"/>
      </patternFill>
    </fill>
  </fills>
  <borders count="7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Dashed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4" fillId="0" borderId="0"/>
    <xf numFmtId="9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</cellStyleXfs>
  <cellXfs count="245">
    <xf numFmtId="0" fontId="0" fillId="0" borderId="0" xfId="0"/>
    <xf numFmtId="0" fontId="5" fillId="4" borderId="11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5" borderId="16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8" fillId="0" borderId="0" xfId="0" applyFont="1"/>
    <xf numFmtId="165" fontId="0" fillId="0" borderId="0" xfId="0" applyNumberFormat="1"/>
    <xf numFmtId="0" fontId="5" fillId="4" borderId="14" xfId="0" applyFont="1" applyFill="1" applyBorder="1" applyAlignment="1">
      <alignment vertical="center" wrapText="1"/>
    </xf>
    <xf numFmtId="165" fontId="11" fillId="7" borderId="19" xfId="0" applyNumberFormat="1" applyFont="1" applyFill="1" applyBorder="1"/>
    <xf numFmtId="165" fontId="11" fillId="7" borderId="10" xfId="0" applyNumberFormat="1" applyFont="1" applyFill="1" applyBorder="1"/>
    <xf numFmtId="165" fontId="12" fillId="7" borderId="21" xfId="0" applyNumberFormat="1" applyFont="1" applyFill="1" applyBorder="1"/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4" fillId="0" borderId="0" xfId="0" applyFont="1"/>
    <xf numFmtId="0" fontId="10" fillId="0" borderId="0" xfId="0" applyFont="1"/>
    <xf numFmtId="0" fontId="5" fillId="8" borderId="15" xfId="0" applyFont="1" applyFill="1" applyBorder="1" applyAlignment="1">
      <alignment horizontal="center" vertical="center" wrapText="1"/>
    </xf>
    <xf numFmtId="165" fontId="4" fillId="3" borderId="22" xfId="0" applyNumberFormat="1" applyFont="1" applyFill="1" applyBorder="1"/>
    <xf numFmtId="165" fontId="10" fillId="3" borderId="23" xfId="0" applyNumberFormat="1" applyFont="1" applyFill="1" applyBorder="1" applyAlignment="1">
      <alignment horizontal="right" vertical="center"/>
    </xf>
    <xf numFmtId="165" fontId="13" fillId="9" borderId="24" xfId="0" applyNumberFormat="1" applyFont="1" applyFill="1" applyBorder="1" applyAlignment="1">
      <alignment horizontal="left" indent="1"/>
    </xf>
    <xf numFmtId="165" fontId="9" fillId="9" borderId="20" xfId="0" applyNumberFormat="1" applyFont="1" applyFill="1" applyBorder="1" applyAlignment="1">
      <alignment horizontal="right" vertical="center"/>
    </xf>
    <xf numFmtId="165" fontId="13" fillId="9" borderId="26" xfId="0" applyNumberFormat="1" applyFont="1" applyFill="1" applyBorder="1" applyAlignment="1">
      <alignment horizontal="left" indent="1"/>
    </xf>
    <xf numFmtId="165" fontId="9" fillId="9" borderId="27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165" fontId="10" fillId="3" borderId="3" xfId="0" applyNumberFormat="1" applyFont="1" applyFill="1" applyBorder="1" applyAlignment="1">
      <alignment horizontal="right" vertical="center"/>
    </xf>
    <xf numFmtId="165" fontId="9" fillId="9" borderId="7" xfId="0" applyNumberFormat="1" applyFont="1" applyFill="1" applyBorder="1" applyAlignment="1">
      <alignment horizontal="right" vertical="center"/>
    </xf>
    <xf numFmtId="165" fontId="9" fillId="9" borderId="8" xfId="0" applyNumberFormat="1" applyFont="1" applyFill="1" applyBorder="1" applyAlignment="1">
      <alignment horizontal="right" vertical="center"/>
    </xf>
    <xf numFmtId="0" fontId="16" fillId="0" borderId="13" xfId="0" applyFont="1" applyBorder="1"/>
    <xf numFmtId="165" fontId="15" fillId="11" borderId="34" xfId="0" applyNumberFormat="1" applyFont="1" applyFill="1" applyBorder="1" applyAlignment="1">
      <alignment horizontal="right" vertical="center"/>
    </xf>
    <xf numFmtId="165" fontId="15" fillId="11" borderId="1" xfId="0" applyNumberFormat="1" applyFont="1" applyFill="1" applyBorder="1" applyAlignment="1">
      <alignment horizontal="right" vertical="center"/>
    </xf>
    <xf numFmtId="0" fontId="17" fillId="6" borderId="33" xfId="0" applyFont="1" applyFill="1" applyBorder="1" applyAlignment="1">
      <alignment horizontal="center"/>
    </xf>
    <xf numFmtId="0" fontId="18" fillId="0" borderId="0" xfId="0" applyFont="1" applyAlignment="1">
      <alignment horizontal="left" vertical="center" indent="3"/>
    </xf>
    <xf numFmtId="0" fontId="19" fillId="0" borderId="26" xfId="0" applyFont="1" applyBorder="1" applyAlignment="1">
      <alignment horizontal="left" vertical="center" indent="3"/>
    </xf>
    <xf numFmtId="9" fontId="10" fillId="0" borderId="27" xfId="0" applyNumberFormat="1" applyFont="1" applyBorder="1"/>
    <xf numFmtId="0" fontId="10" fillId="0" borderId="30" xfId="0" applyFont="1" applyBorder="1"/>
    <xf numFmtId="9" fontId="10" fillId="0" borderId="31" xfId="4" applyFont="1" applyBorder="1"/>
    <xf numFmtId="165" fontId="10" fillId="0" borderId="32" xfId="0" applyNumberFormat="1" applyFont="1" applyBorder="1"/>
    <xf numFmtId="0" fontId="4" fillId="12" borderId="29" xfId="0" applyFont="1" applyFill="1" applyBorder="1" applyAlignment="1">
      <alignment horizontal="center"/>
    </xf>
    <xf numFmtId="1" fontId="4" fillId="12" borderId="17" xfId="0" applyNumberFormat="1" applyFont="1" applyFill="1" applyBorder="1" applyAlignment="1">
      <alignment horizontal="center"/>
    </xf>
    <xf numFmtId="0" fontId="4" fillId="12" borderId="18" xfId="0" applyFont="1" applyFill="1" applyBorder="1" applyAlignment="1">
      <alignment horizontal="center"/>
    </xf>
    <xf numFmtId="165" fontId="4" fillId="0" borderId="28" xfId="0" applyNumberFormat="1" applyFont="1" applyBorder="1"/>
    <xf numFmtId="166" fontId="11" fillId="7" borderId="15" xfId="0" applyNumberFormat="1" applyFont="1" applyFill="1" applyBorder="1"/>
    <xf numFmtId="166" fontId="11" fillId="7" borderId="6" xfId="0" applyNumberFormat="1" applyFont="1" applyFill="1" applyBorder="1"/>
    <xf numFmtId="166" fontId="12" fillId="7" borderId="21" xfId="0" applyNumberFormat="1" applyFont="1" applyFill="1" applyBorder="1"/>
    <xf numFmtId="165" fontId="15" fillId="11" borderId="33" xfId="0" applyNumberFormat="1" applyFont="1" applyFill="1" applyBorder="1"/>
    <xf numFmtId="0" fontId="4" fillId="12" borderId="36" xfId="0" applyFont="1" applyFill="1" applyBorder="1" applyAlignment="1">
      <alignment horizontal="center"/>
    </xf>
    <xf numFmtId="0" fontId="0" fillId="0" borderId="20" xfId="0" applyBorder="1"/>
    <xf numFmtId="0" fontId="0" fillId="0" borderId="37" xfId="0" applyBorder="1"/>
    <xf numFmtId="167" fontId="20" fillId="10" borderId="0" xfId="6" applyNumberFormat="1" applyFont="1" applyFill="1" applyBorder="1" applyAlignment="1">
      <alignment horizontal="center" vertical="center"/>
    </xf>
    <xf numFmtId="0" fontId="21" fillId="0" borderId="0" xfId="5" applyFont="1"/>
    <xf numFmtId="0" fontId="20" fillId="13" borderId="26" xfId="5" applyFont="1" applyFill="1" applyBorder="1" applyAlignment="1">
      <alignment horizontal="center" vertical="center"/>
    </xf>
    <xf numFmtId="0" fontId="20" fillId="13" borderId="39" xfId="5" applyFont="1" applyFill="1" applyBorder="1" applyAlignment="1">
      <alignment horizontal="center" vertical="center"/>
    </xf>
    <xf numFmtId="0" fontId="20" fillId="13" borderId="2" xfId="5" applyFont="1" applyFill="1" applyBorder="1" applyAlignment="1">
      <alignment horizontal="center" vertical="center"/>
    </xf>
    <xf numFmtId="0" fontId="20" fillId="13" borderId="40" xfId="5" applyFont="1" applyFill="1" applyBorder="1" applyAlignment="1">
      <alignment horizontal="center" vertical="center"/>
    </xf>
    <xf numFmtId="1" fontId="20" fillId="10" borderId="39" xfId="6" applyNumberFormat="1" applyFont="1" applyFill="1" applyBorder="1" applyAlignment="1">
      <alignment horizontal="center" vertical="center" wrapText="1"/>
    </xf>
    <xf numFmtId="4" fontId="20" fillId="10" borderId="40" xfId="6" applyNumberFormat="1" applyFont="1" applyFill="1" applyBorder="1" applyAlignment="1">
      <alignment horizontal="center" vertical="center" wrapText="1"/>
    </xf>
    <xf numFmtId="4" fontId="20" fillId="10" borderId="0" xfId="6" applyNumberFormat="1" applyFont="1" applyFill="1" applyBorder="1" applyAlignment="1">
      <alignment horizontal="center" vertical="center" wrapText="1"/>
    </xf>
    <xf numFmtId="0" fontId="21" fillId="0" borderId="41" xfId="5" applyFont="1" applyBorder="1" applyAlignment="1">
      <alignment horizontal="center"/>
    </xf>
    <xf numFmtId="0" fontId="21" fillId="0" borderId="42" xfId="5" applyFont="1" applyBorder="1" applyAlignment="1">
      <alignment horizontal="center"/>
    </xf>
    <xf numFmtId="4" fontId="21" fillId="0" borderId="43" xfId="6" applyNumberFormat="1" applyFont="1" applyBorder="1" applyAlignment="1">
      <alignment horizontal="right"/>
    </xf>
    <xf numFmtId="4" fontId="21" fillId="11" borderId="0" xfId="6" applyNumberFormat="1" applyFont="1" applyFill="1" applyBorder="1"/>
    <xf numFmtId="0" fontId="21" fillId="0" borderId="44" xfId="5" applyFont="1" applyBorder="1" applyAlignment="1">
      <alignment horizontal="left"/>
    </xf>
    <xf numFmtId="0" fontId="21" fillId="0" borderId="45" xfId="5" applyFont="1" applyBorder="1" applyAlignment="1">
      <alignment horizontal="center"/>
    </xf>
    <xf numFmtId="0" fontId="21" fillId="0" borderId="46" xfId="5" applyFont="1" applyBorder="1" applyAlignment="1">
      <alignment horizontal="center"/>
    </xf>
    <xf numFmtId="4" fontId="21" fillId="0" borderId="47" xfId="6" applyNumberFormat="1" applyFont="1" applyBorder="1"/>
    <xf numFmtId="4" fontId="21" fillId="0" borderId="0" xfId="6" applyNumberFormat="1" applyFont="1" applyBorder="1"/>
    <xf numFmtId="0" fontId="21" fillId="0" borderId="48" xfId="5" applyFont="1" applyBorder="1" applyAlignment="1">
      <alignment horizontal="center"/>
    </xf>
    <xf numFmtId="0" fontId="21" fillId="0" borderId="49" xfId="5" applyFont="1" applyBorder="1"/>
    <xf numFmtId="0" fontId="21" fillId="0" borderId="50" xfId="5" applyFont="1" applyBorder="1"/>
    <xf numFmtId="0" fontId="23" fillId="0" borderId="51" xfId="5" applyFont="1" applyBorder="1"/>
    <xf numFmtId="1" fontId="21" fillId="0" borderId="50" xfId="6" applyNumberFormat="1" applyFont="1" applyBorder="1"/>
    <xf numFmtId="4" fontId="21" fillId="0" borderId="52" xfId="6" applyNumberFormat="1" applyFont="1" applyBorder="1"/>
    <xf numFmtId="0" fontId="21" fillId="0" borderId="0" xfId="5" applyFont="1" applyAlignment="1">
      <alignment horizontal="center"/>
    </xf>
    <xf numFmtId="1" fontId="21" fillId="0" borderId="0" xfId="5" applyNumberFormat="1" applyFont="1"/>
    <xf numFmtId="4" fontId="21" fillId="0" borderId="0" xfId="5" applyNumberFormat="1" applyFont="1"/>
    <xf numFmtId="167" fontId="20" fillId="10" borderId="20" xfId="6" applyNumberFormat="1" applyFont="1" applyFill="1" applyBorder="1" applyAlignment="1">
      <alignment vertical="center" wrapText="1"/>
    </xf>
    <xf numFmtId="167" fontId="21" fillId="0" borderId="0" xfId="5" applyNumberFormat="1" applyFont="1"/>
    <xf numFmtId="0" fontId="21" fillId="0" borderId="20" xfId="5" applyFont="1" applyBorder="1" applyAlignment="1">
      <alignment horizontal="center"/>
    </xf>
    <xf numFmtId="0" fontId="21" fillId="0" borderId="20" xfId="5" applyFont="1" applyBorder="1"/>
    <xf numFmtId="168" fontId="21" fillId="14" borderId="20" xfId="6" quotePrefix="1" applyNumberFormat="1" applyFont="1" applyFill="1" applyBorder="1"/>
    <xf numFmtId="169" fontId="21" fillId="0" borderId="0" xfId="5" applyNumberFormat="1" applyFont="1"/>
    <xf numFmtId="0" fontId="24" fillId="0" borderId="0" xfId="5" applyFont="1"/>
    <xf numFmtId="4" fontId="25" fillId="0" borderId="0" xfId="5" applyNumberFormat="1" applyFont="1"/>
    <xf numFmtId="167" fontId="21" fillId="14" borderId="20" xfId="6" quotePrefix="1" applyNumberFormat="1" applyFont="1" applyFill="1" applyBorder="1"/>
    <xf numFmtId="4" fontId="24" fillId="0" borderId="0" xfId="5" applyNumberFormat="1" applyFont="1"/>
    <xf numFmtId="4" fontId="25" fillId="0" borderId="35" xfId="5" applyNumberFormat="1" applyFont="1" applyBorder="1"/>
    <xf numFmtId="0" fontId="5" fillId="15" borderId="15" xfId="0" applyFont="1" applyFill="1" applyBorder="1" applyAlignment="1">
      <alignment horizontal="center" vertical="center" wrapText="1"/>
    </xf>
    <xf numFmtId="0" fontId="7" fillId="16" borderId="20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26" fillId="0" borderId="0" xfId="0" applyFont="1"/>
    <xf numFmtId="0" fontId="26" fillId="0" borderId="55" xfId="0" applyFont="1" applyBorder="1"/>
    <xf numFmtId="0" fontId="26" fillId="0" borderId="17" xfId="0" applyFont="1" applyBorder="1"/>
    <xf numFmtId="0" fontId="26" fillId="0" borderId="18" xfId="0" applyFont="1" applyBorder="1"/>
    <xf numFmtId="0" fontId="26" fillId="0" borderId="30" xfId="0" applyFont="1" applyBorder="1"/>
    <xf numFmtId="0" fontId="26" fillId="0" borderId="31" xfId="0" applyFont="1" applyBorder="1"/>
    <xf numFmtId="43" fontId="26" fillId="0" borderId="32" xfId="1" applyFont="1" applyBorder="1"/>
    <xf numFmtId="0" fontId="26" fillId="0" borderId="24" xfId="0" applyFont="1" applyBorder="1"/>
    <xf numFmtId="0" fontId="26" fillId="0" borderId="20" xfId="0" applyFont="1" applyBorder="1"/>
    <xf numFmtId="43" fontId="26" fillId="0" borderId="25" xfId="1" applyFont="1" applyBorder="1"/>
    <xf numFmtId="0" fontId="26" fillId="0" borderId="25" xfId="0" applyFont="1" applyBorder="1"/>
    <xf numFmtId="0" fontId="26" fillId="0" borderId="40" xfId="0" applyFont="1" applyBorder="1"/>
    <xf numFmtId="43" fontId="26" fillId="0" borderId="56" xfId="1" applyFont="1" applyBorder="1"/>
    <xf numFmtId="0" fontId="26" fillId="0" borderId="26" xfId="0" applyFont="1" applyBorder="1"/>
    <xf numFmtId="0" fontId="26" fillId="0" borderId="27" xfId="0" applyFont="1" applyBorder="1"/>
    <xf numFmtId="0" fontId="26" fillId="0" borderId="8" xfId="0" applyFont="1" applyBorder="1"/>
    <xf numFmtId="0" fontId="26" fillId="17" borderId="29" xfId="0" applyFont="1" applyFill="1" applyBorder="1"/>
    <xf numFmtId="43" fontId="26" fillId="17" borderId="18" xfId="1" applyFont="1" applyFill="1" applyBorder="1"/>
    <xf numFmtId="0" fontId="26" fillId="0" borderId="28" xfId="0" applyFont="1" applyBorder="1"/>
    <xf numFmtId="0" fontId="26" fillId="0" borderId="57" xfId="0" applyFont="1" applyBorder="1"/>
    <xf numFmtId="0" fontId="26" fillId="0" borderId="58" xfId="0" applyFont="1" applyBorder="1"/>
    <xf numFmtId="49" fontId="27" fillId="2" borderId="0" xfId="0" applyNumberFormat="1" applyFont="1" applyFill="1"/>
    <xf numFmtId="0" fontId="27" fillId="0" borderId="0" xfId="0" applyFont="1"/>
    <xf numFmtId="49" fontId="27" fillId="0" borderId="0" xfId="0" applyNumberFormat="1" applyFont="1"/>
    <xf numFmtId="0" fontId="7" fillId="5" borderId="60" xfId="0" applyFont="1" applyFill="1" applyBorder="1" applyAlignment="1">
      <alignment vertical="center" wrapText="1"/>
    </xf>
    <xf numFmtId="0" fontId="7" fillId="5" borderId="61" xfId="0" applyFont="1" applyFill="1" applyBorder="1" applyAlignment="1">
      <alignment vertical="center" wrapText="1"/>
    </xf>
    <xf numFmtId="0" fontId="7" fillId="5" borderId="14" xfId="0" applyFont="1" applyFill="1" applyBorder="1" applyAlignment="1">
      <alignment vertical="center" wrapText="1"/>
    </xf>
    <xf numFmtId="0" fontId="7" fillId="0" borderId="60" xfId="0" applyFont="1" applyBorder="1" applyAlignment="1">
      <alignment vertical="center" wrapText="1"/>
    </xf>
    <xf numFmtId="0" fontId="7" fillId="0" borderId="61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6" fillId="16" borderId="61" xfId="0" applyFont="1" applyFill="1" applyBorder="1" applyAlignment="1">
      <alignment vertical="center" wrapText="1"/>
    </xf>
    <xf numFmtId="0" fontId="7" fillId="5" borderId="13" xfId="0" applyFont="1" applyFill="1" applyBorder="1" applyAlignment="1">
      <alignment vertical="center" wrapText="1"/>
    </xf>
    <xf numFmtId="0" fontId="21" fillId="0" borderId="62" xfId="5" applyFont="1" applyBorder="1" applyAlignment="1">
      <alignment horizontal="center"/>
    </xf>
    <xf numFmtId="4" fontId="21" fillId="0" borderId="63" xfId="6" applyNumberFormat="1" applyFont="1" applyBorder="1"/>
    <xf numFmtId="0" fontId="28" fillId="0" borderId="0" xfId="0" applyFont="1"/>
    <xf numFmtId="0" fontId="7" fillId="5" borderId="20" xfId="0" applyFont="1" applyFill="1" applyBorder="1" applyAlignment="1">
      <alignment vertical="center" wrapText="1"/>
    </xf>
    <xf numFmtId="0" fontId="7" fillId="16" borderId="40" xfId="0" applyFont="1" applyFill="1" applyBorder="1" applyAlignment="1">
      <alignment horizontal="center" vertical="center" wrapText="1"/>
    </xf>
    <xf numFmtId="0" fontId="7" fillId="5" borderId="40" xfId="0" applyFont="1" applyFill="1" applyBorder="1" applyAlignment="1">
      <alignment horizontal="center" vertical="center" wrapText="1"/>
    </xf>
    <xf numFmtId="0" fontId="7" fillId="5" borderId="59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21" fillId="0" borderId="44" xfId="5" applyFont="1" applyBorder="1" applyAlignment="1">
      <alignment horizontal="left" vertical="top"/>
    </xf>
    <xf numFmtId="0" fontId="21" fillId="0" borderId="45" xfId="5" applyFont="1" applyBorder="1" applyAlignment="1">
      <alignment horizontal="center" vertical="top"/>
    </xf>
    <xf numFmtId="0" fontId="21" fillId="0" borderId="46" xfId="5" applyFont="1" applyBorder="1" applyAlignment="1">
      <alignment horizontal="center" vertical="top"/>
    </xf>
    <xf numFmtId="4" fontId="21" fillId="0" borderId="47" xfId="6" applyNumberFormat="1" applyFont="1" applyBorder="1" applyAlignment="1">
      <alignment vertical="top"/>
    </xf>
    <xf numFmtId="4" fontId="21" fillId="11" borderId="0" xfId="6" applyNumberFormat="1" applyFont="1" applyFill="1" applyBorder="1" applyAlignment="1">
      <alignment vertical="top"/>
    </xf>
    <xf numFmtId="0" fontId="21" fillId="0" borderId="0" xfId="5" applyFont="1" applyAlignment="1">
      <alignment vertical="top"/>
    </xf>
    <xf numFmtId="0" fontId="0" fillId="0" borderId="9" xfId="0" applyBorder="1"/>
    <xf numFmtId="0" fontId="7" fillId="16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vertical="center" wrapText="1"/>
    </xf>
    <xf numFmtId="0" fontId="5" fillId="8" borderId="38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5" fillId="8" borderId="67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0" fillId="0" borderId="10" xfId="0" applyBorder="1"/>
    <xf numFmtId="0" fontId="10" fillId="0" borderId="65" xfId="0" applyFont="1" applyBorder="1"/>
    <xf numFmtId="9" fontId="10" fillId="0" borderId="59" xfId="4" applyFont="1" applyBorder="1"/>
    <xf numFmtId="0" fontId="6" fillId="5" borderId="12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7" fillId="5" borderId="65" xfId="0" applyFont="1" applyFill="1" applyBorder="1" applyAlignment="1">
      <alignment vertical="center" wrapText="1"/>
    </xf>
    <xf numFmtId="0" fontId="21" fillId="0" borderId="45" xfId="5" applyFont="1" applyBorder="1" applyAlignment="1">
      <alignment horizontal="center" vertical="top" wrapText="1"/>
    </xf>
    <xf numFmtId="0" fontId="7" fillId="5" borderId="39" xfId="0" applyFont="1" applyFill="1" applyBorder="1" applyAlignment="1">
      <alignment horizontal="center" vertical="center" wrapText="1"/>
    </xf>
    <xf numFmtId="43" fontId="22" fillId="0" borderId="0" xfId="8" applyFont="1"/>
    <xf numFmtId="43" fontId="21" fillId="0" borderId="0" xfId="5" applyNumberFormat="1" applyFont="1"/>
    <xf numFmtId="0" fontId="7" fillId="2" borderId="40" xfId="0" applyFont="1" applyFill="1" applyBorder="1" applyAlignment="1">
      <alignment horizontal="center" vertical="center" wrapText="1"/>
    </xf>
    <xf numFmtId="4" fontId="0" fillId="0" borderId="0" xfId="0" applyNumberFormat="1"/>
    <xf numFmtId="4" fontId="32" fillId="0" borderId="0" xfId="0" applyNumberFormat="1" applyFont="1"/>
    <xf numFmtId="0" fontId="34" fillId="19" borderId="72" xfId="0" applyFont="1" applyFill="1" applyBorder="1" applyAlignment="1">
      <alignment horizontal="center" readingOrder="1"/>
    </xf>
    <xf numFmtId="0" fontId="34" fillId="18" borderId="73" xfId="0" applyFont="1" applyFill="1" applyBorder="1" applyAlignment="1">
      <alignment horizontal="center" readingOrder="1"/>
    </xf>
    <xf numFmtId="0" fontId="33" fillId="5" borderId="72" xfId="0" applyFont="1" applyFill="1" applyBorder="1" applyAlignment="1">
      <alignment horizontal="center" vertical="center" readingOrder="1"/>
    </xf>
    <xf numFmtId="0" fontId="33" fillId="5" borderId="73" xfId="0" applyFont="1" applyFill="1" applyBorder="1" applyAlignment="1">
      <alignment readingOrder="1"/>
    </xf>
    <xf numFmtId="0" fontId="33" fillId="0" borderId="73" xfId="0" applyFont="1" applyBorder="1" applyAlignment="1">
      <alignment readingOrder="1"/>
    </xf>
    <xf numFmtId="0" fontId="33" fillId="0" borderId="73" xfId="0" applyFont="1" applyBorder="1" applyAlignment="1">
      <alignment wrapText="1" readingOrder="1"/>
    </xf>
    <xf numFmtId="0" fontId="7" fillId="2" borderId="65" xfId="0" applyFont="1" applyFill="1" applyBorder="1" applyAlignment="1">
      <alignment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vertical="center" wrapText="1"/>
    </xf>
    <xf numFmtId="0" fontId="35" fillId="0" borderId="73" xfId="0" applyFont="1" applyBorder="1" applyAlignment="1">
      <alignment readingOrder="1"/>
    </xf>
    <xf numFmtId="0" fontId="36" fillId="0" borderId="49" xfId="0" applyFont="1" applyBorder="1"/>
    <xf numFmtId="0" fontId="36" fillId="0" borderId="44" xfId="0" applyFont="1" applyBorder="1"/>
    <xf numFmtId="0" fontId="36" fillId="0" borderId="77" xfId="0" applyFont="1" applyBorder="1"/>
    <xf numFmtId="0" fontId="36" fillId="0" borderId="65" xfId="0" applyFont="1" applyBorder="1"/>
    <xf numFmtId="0" fontId="37" fillId="20" borderId="73" xfId="0" applyFont="1" applyFill="1" applyBorder="1" applyAlignment="1">
      <alignment horizontal="center" readingOrder="1"/>
    </xf>
    <xf numFmtId="0" fontId="38" fillId="21" borderId="73" xfId="0" applyFont="1" applyFill="1" applyBorder="1" applyAlignment="1">
      <alignment readingOrder="1"/>
    </xf>
    <xf numFmtId="0" fontId="38" fillId="22" borderId="73" xfId="0" applyFont="1" applyFill="1" applyBorder="1" applyAlignment="1">
      <alignment readingOrder="1"/>
    </xf>
    <xf numFmtId="0" fontId="38" fillId="0" borderId="73" xfId="0" applyFont="1" applyBorder="1" applyAlignment="1">
      <alignment readingOrder="1"/>
    </xf>
    <xf numFmtId="0" fontId="37" fillId="20" borderId="76" xfId="0" applyFont="1" applyFill="1" applyBorder="1" applyAlignment="1">
      <alignment horizontal="center" readingOrder="1"/>
    </xf>
    <xf numFmtId="0" fontId="38" fillId="22" borderId="74" xfId="0" applyFont="1" applyFill="1" applyBorder="1" applyAlignment="1">
      <alignment readingOrder="1"/>
    </xf>
    <xf numFmtId="0" fontId="38" fillId="22" borderId="75" xfId="0" applyFont="1" applyFill="1" applyBorder="1" applyAlignment="1">
      <alignment readingOrder="1"/>
    </xf>
    <xf numFmtId="0" fontId="39" fillId="0" borderId="75" xfId="0" applyFont="1" applyBorder="1"/>
    <xf numFmtId="0" fontId="38" fillId="0" borderId="74" xfId="0" applyFont="1" applyBorder="1" applyAlignment="1">
      <alignment readingOrder="1"/>
    </xf>
    <xf numFmtId="0" fontId="38" fillId="0" borderId="75" xfId="0" applyFont="1" applyBorder="1" applyAlignment="1">
      <alignment readingOrder="1"/>
    </xf>
    <xf numFmtId="0" fontId="38" fillId="23" borderId="71" xfId="0" applyFont="1" applyFill="1" applyBorder="1" applyAlignment="1">
      <alignment horizontal="center" readingOrder="1"/>
    </xf>
    <xf numFmtId="0" fontId="38" fillId="23" borderId="69" xfId="0" applyFont="1" applyFill="1" applyBorder="1" applyAlignment="1">
      <alignment horizontal="center" readingOrder="1"/>
    </xf>
    <xf numFmtId="0" fontId="5" fillId="8" borderId="12" xfId="0" applyFont="1" applyFill="1" applyBorder="1" applyAlignment="1">
      <alignment vertical="center" wrapText="1"/>
    </xf>
    <xf numFmtId="0" fontId="5" fillId="8" borderId="14" xfId="0" applyFont="1" applyFill="1" applyBorder="1" applyAlignment="1">
      <alignment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40" xfId="0" applyFont="1" applyFill="1" applyBorder="1" applyAlignment="1">
      <alignment horizontal="center" vertical="center" wrapText="1"/>
    </xf>
    <xf numFmtId="0" fontId="7" fillId="5" borderId="59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59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7" fillId="5" borderId="66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64" xfId="0" applyFont="1" applyFill="1" applyBorder="1" applyAlignment="1">
      <alignment horizontal="center" vertical="center" wrapText="1"/>
    </xf>
    <xf numFmtId="0" fontId="20" fillId="13" borderId="0" xfId="5" applyFont="1" applyFill="1" applyAlignment="1">
      <alignment horizontal="center" vertical="center"/>
    </xf>
    <xf numFmtId="167" fontId="20" fillId="10" borderId="19" xfId="6" applyNumberFormat="1" applyFont="1" applyFill="1" applyBorder="1" applyAlignment="1">
      <alignment horizontal="center" vertical="center" wrapText="1"/>
    </xf>
    <xf numFmtId="167" fontId="20" fillId="10" borderId="38" xfId="6" applyNumberFormat="1" applyFont="1" applyFill="1" applyBorder="1" applyAlignment="1">
      <alignment horizontal="center" vertical="center"/>
    </xf>
    <xf numFmtId="167" fontId="20" fillId="10" borderId="10" xfId="6" applyNumberFormat="1" applyFont="1" applyFill="1" applyBorder="1" applyAlignment="1">
      <alignment horizontal="center" vertical="center"/>
    </xf>
    <xf numFmtId="167" fontId="20" fillId="10" borderId="0" xfId="6" applyNumberFormat="1" applyFont="1" applyFill="1" applyBorder="1" applyAlignment="1">
      <alignment horizontal="center" vertical="center"/>
    </xf>
    <xf numFmtId="0" fontId="20" fillId="13" borderId="7" xfId="5" applyFont="1" applyFill="1" applyBorder="1" applyAlignment="1">
      <alignment horizontal="center" vertical="center"/>
    </xf>
    <xf numFmtId="0" fontId="20" fillId="13" borderId="5" xfId="5" applyFont="1" applyFill="1" applyBorder="1" applyAlignment="1">
      <alignment horizontal="center" vertical="center"/>
    </xf>
    <xf numFmtId="0" fontId="26" fillId="0" borderId="54" xfId="0" applyFont="1" applyBorder="1" applyAlignment="1">
      <alignment horizontal="center"/>
    </xf>
    <xf numFmtId="0" fontId="26" fillId="0" borderId="53" xfId="0" applyFont="1" applyBorder="1" applyAlignment="1">
      <alignment horizontal="center"/>
    </xf>
    <xf numFmtId="17" fontId="37" fillId="20" borderId="70" xfId="0" applyNumberFormat="1" applyFont="1" applyFill="1" applyBorder="1" applyAlignment="1">
      <alignment horizontal="center" readingOrder="1"/>
    </xf>
    <xf numFmtId="17" fontId="37" fillId="20" borderId="71" xfId="0" applyNumberFormat="1" applyFont="1" applyFill="1" applyBorder="1" applyAlignment="1">
      <alignment horizontal="center" readingOrder="1"/>
    </xf>
    <xf numFmtId="17" fontId="37" fillId="20" borderId="78" xfId="0" applyNumberFormat="1" applyFont="1" applyFill="1" applyBorder="1" applyAlignment="1">
      <alignment horizontal="center" readingOrder="1"/>
    </xf>
    <xf numFmtId="0" fontId="33" fillId="0" borderId="68" xfId="0" applyFont="1" applyBorder="1" applyAlignment="1">
      <alignment horizontal="center" readingOrder="1"/>
    </xf>
    <xf numFmtId="0" fontId="33" fillId="0" borderId="69" xfId="0" applyFont="1" applyBorder="1" applyAlignment="1">
      <alignment horizontal="center" readingOrder="1"/>
    </xf>
    <xf numFmtId="17" fontId="37" fillId="20" borderId="68" xfId="0" applyNumberFormat="1" applyFont="1" applyFill="1" applyBorder="1" applyAlignment="1">
      <alignment horizontal="center" readingOrder="1"/>
    </xf>
    <xf numFmtId="0" fontId="38" fillId="23" borderId="68" xfId="0" applyFont="1" applyFill="1" applyBorder="1" applyAlignment="1">
      <alignment horizontal="left" readingOrder="1"/>
    </xf>
    <xf numFmtId="0" fontId="38" fillId="23" borderId="71" xfId="0" applyFont="1" applyFill="1" applyBorder="1" applyAlignment="1">
      <alignment horizontal="left" readingOrder="1"/>
    </xf>
    <xf numFmtId="0" fontId="39" fillId="0" borderId="0" xfId="0" applyFont="1" applyAlignment="1">
      <alignment horizontal="left"/>
    </xf>
    <xf numFmtId="0" fontId="38" fillId="0" borderId="75" xfId="0" applyFont="1" applyBorder="1" applyAlignment="1">
      <alignment horizontal="left" readingOrder="1"/>
    </xf>
    <xf numFmtId="0" fontId="38" fillId="0" borderId="73" xfId="0" applyFont="1" applyBorder="1" applyAlignment="1">
      <alignment horizontal="left" readingOrder="1"/>
    </xf>
    <xf numFmtId="0" fontId="39" fillId="0" borderId="75" xfId="0" applyFont="1" applyBorder="1" applyAlignment="1">
      <alignment horizontal="left"/>
    </xf>
    <xf numFmtId="0" fontId="40" fillId="24" borderId="68" xfId="0" applyFont="1" applyFill="1" applyBorder="1" applyAlignment="1">
      <alignment horizontal="left" readingOrder="1"/>
    </xf>
    <xf numFmtId="0" fontId="40" fillId="24" borderId="78" xfId="0" applyFont="1" applyFill="1" applyBorder="1" applyAlignment="1">
      <alignment horizontal="left" readingOrder="1"/>
    </xf>
    <xf numFmtId="0" fontId="40" fillId="25" borderId="68" xfId="0" applyFont="1" applyFill="1" applyBorder="1" applyAlignment="1">
      <alignment horizontal="left" readingOrder="1"/>
    </xf>
    <xf numFmtId="0" fontId="40" fillId="25" borderId="78" xfId="0" applyFont="1" applyFill="1" applyBorder="1" applyAlignment="1">
      <alignment horizontal="left" readingOrder="1"/>
    </xf>
    <xf numFmtId="0" fontId="40" fillId="26" borderId="68" xfId="0" applyFont="1" applyFill="1" applyBorder="1" applyAlignment="1">
      <alignment horizontal="left" readingOrder="1"/>
    </xf>
    <xf numFmtId="0" fontId="40" fillId="26" borderId="69" xfId="0" applyFont="1" applyFill="1" applyBorder="1" applyAlignment="1">
      <alignment horizontal="left" readingOrder="1"/>
    </xf>
    <xf numFmtId="0" fontId="40" fillId="27" borderId="68" xfId="0" applyFont="1" applyFill="1" applyBorder="1" applyAlignment="1">
      <alignment horizontal="left" readingOrder="1"/>
    </xf>
    <xf numFmtId="0" fontId="40" fillId="27" borderId="78" xfId="0" applyFont="1" applyFill="1" applyBorder="1" applyAlignment="1">
      <alignment horizontal="left" readingOrder="1"/>
    </xf>
    <xf numFmtId="0" fontId="38" fillId="23" borderId="69" xfId="0" applyFont="1" applyFill="1" applyBorder="1" applyAlignment="1">
      <alignment horizontal="left" readingOrder="1"/>
    </xf>
    <xf numFmtId="0" fontId="40" fillId="24" borderId="69" xfId="0" applyFont="1" applyFill="1" applyBorder="1" applyAlignment="1">
      <alignment horizontal="left" readingOrder="1"/>
    </xf>
    <xf numFmtId="0" fontId="40" fillId="25" borderId="69" xfId="0" applyFont="1" applyFill="1" applyBorder="1" applyAlignment="1">
      <alignment horizontal="left" readingOrder="1"/>
    </xf>
    <xf numFmtId="0" fontId="40" fillId="27" borderId="69" xfId="0" applyFont="1" applyFill="1" applyBorder="1" applyAlignment="1">
      <alignment horizontal="left" readingOrder="1"/>
    </xf>
    <xf numFmtId="0" fontId="38" fillId="28" borderId="68" xfId="0" applyFont="1" applyFill="1" applyBorder="1" applyAlignment="1">
      <alignment horizontal="left" readingOrder="1"/>
    </xf>
    <xf numFmtId="0" fontId="38" fillId="28" borderId="71" xfId="0" applyFont="1" applyFill="1" applyBorder="1" applyAlignment="1">
      <alignment horizontal="left" readingOrder="1"/>
    </xf>
    <xf numFmtId="0" fontId="38" fillId="28" borderId="69" xfId="0" applyFont="1" applyFill="1" applyBorder="1" applyAlignment="1">
      <alignment horizontal="left" readingOrder="1"/>
    </xf>
  </cellXfs>
  <cellStyles count="9">
    <cellStyle name="Comma" xfId="8" builtinId="3"/>
    <cellStyle name="Comma 2" xfId="1" xr:uid="{00000000-0005-0000-0000-000000000000}"/>
    <cellStyle name="Comma 3" xfId="6" xr:uid="{93584D8C-796C-40D5-A63E-BA96E89357E3}"/>
    <cellStyle name="Currency 2" xfId="2" xr:uid="{00000000-0005-0000-0000-000001000000}"/>
    <cellStyle name="Normal" xfId="0" builtinId="0"/>
    <cellStyle name="Normal 2" xfId="3" xr:uid="{00000000-0005-0000-0000-000003000000}"/>
    <cellStyle name="Normal 2 2" xfId="7" xr:uid="{5861D115-E5E6-42F6-976C-EC050404E9B3}"/>
    <cellStyle name="Normal 3" xfId="5" xr:uid="{C23F1591-A991-49A3-AB46-018112AC1CA7}"/>
    <cellStyle name="Percent" xfId="4" builtinId="5"/>
  </cellStyles>
  <dxfs count="0"/>
  <tableStyles count="0" defaultTableStyle="TableStyleMedium2" defaultPivotStyle="PivotStyleLight16"/>
  <colors>
    <mruColors>
      <color rgb="FFFF8FC7"/>
      <color rgb="FFFFA3FF"/>
      <color rgb="FFFF3399"/>
      <color rgb="FFAFEAFF"/>
      <color rgb="FFCC00FF"/>
      <color rgb="FF99FF99"/>
      <color rgb="FFDEBDFF"/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600" baseline="0"/>
              <a:t>โครงการ 	</a:t>
            </a:r>
            <a:r>
              <a:rPr lang="en-US" sz="1600" baseline="0"/>
              <a:t>ENH-PTTEP-Digital Job Card Phase 5</a:t>
            </a:r>
          </a:p>
        </c:rich>
      </c:tx>
      <c:layout>
        <c:manualLayout>
          <c:xMode val="edge"/>
          <c:yMode val="edge"/>
          <c:x val="0.20503563611610728"/>
          <c:y val="3.2588803044943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C7-4406-9F6D-DD4368DF9F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C7-4406-9F6D-DD4368DF9F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C7-4406-9F6D-DD4368DF9F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C7-4406-9F6D-DD4368DF9FA7}"/>
              </c:ext>
            </c:extLst>
          </c:dPt>
          <c:dLbls>
            <c:dLbl>
              <c:idx val="2"/>
              <c:layout>
                <c:manualLayout>
                  <c:x val="9.4576056528707542E-2"/>
                  <c:y val="-0.1148510591887040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C7-4406-9F6D-DD4368DF9FA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Total!$B$3:$B$5</c:f>
              <c:strCache>
                <c:ptCount val="3"/>
                <c:pt idx="0">
                  <c:v>Digital Rev (BD Phase)</c:v>
                </c:pt>
                <c:pt idx="1">
                  <c:v>Digital Rev (Development Phase)</c:v>
                </c:pt>
                <c:pt idx="2">
                  <c:v>ค่าเบี้ยเลี้ยง/ค่าเดินทาง</c:v>
                </c:pt>
              </c:strCache>
            </c:strRef>
          </c:cat>
          <c:val>
            <c:numRef>
              <c:f>Total!$C$3:$C$5</c:f>
              <c:numCache>
                <c:formatCode>_-[$฿-41E]* #,##0.00_-;\-[$฿-41E]* #,##0.00_-;_-[$฿-41E]* "-"??_-;_-@_-</c:formatCode>
                <c:ptCount val="3"/>
                <c:pt idx="0">
                  <c:v>28000</c:v>
                </c:pt>
                <c:pt idx="1">
                  <c:v>3972000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C7-4406-9F6D-DD4368DF9FA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228599</xdr:colOff>
      <xdr:row>0</xdr:row>
      <xdr:rowOff>125865</xdr:rowOff>
    </xdr:from>
    <xdr:to>
      <xdr:col>10</xdr:col>
      <xdr:colOff>257175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C77C7-8F5E-42F9-9EA6-17B112362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57726</xdr:colOff>
      <xdr:row>14</xdr:row>
      <xdr:rowOff>140805</xdr:rowOff>
    </xdr:from>
    <xdr:to>
      <xdr:col>1</xdr:col>
      <xdr:colOff>265044</xdr:colOff>
      <xdr:row>15</xdr:row>
      <xdr:rowOff>163543</xdr:rowOff>
    </xdr:to>
    <xdr:sp macro="" textlink="">
      <xdr:nvSpPr>
        <xdr:cNvPr id="5" name="5-Point Star 4">
          <a:extLst>
            <a:ext uri="{FF2B5EF4-FFF2-40B4-BE49-F238E27FC236}">
              <a16:creationId xmlns:a16="http://schemas.microsoft.com/office/drawing/2014/main" id="{1283F450-C0AF-4290-B0E7-949D9D192E6A}"/>
            </a:ext>
          </a:extLst>
        </xdr:cNvPr>
        <xdr:cNvSpPr/>
      </xdr:nvSpPr>
      <xdr:spPr>
        <a:xfrm>
          <a:off x="637509" y="4141305"/>
          <a:ext cx="207318" cy="188390"/>
        </a:xfrm>
        <a:prstGeom prst="star5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227358</xdr:colOff>
      <xdr:row>4</xdr:row>
      <xdr:rowOff>171450</xdr:rowOff>
    </xdr:from>
    <xdr:to>
      <xdr:col>14</xdr:col>
      <xdr:colOff>157370</xdr:colOff>
      <xdr:row>5</xdr:row>
      <xdr:rowOff>184663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B2670D84-FF73-445B-B4F4-92BED75721EC}"/>
            </a:ext>
            <a:ext uri="{147F2762-F138-4A5C-976F-8EAC2B608ADB}">
              <a16:predDERef xmlns:a16="http://schemas.microsoft.com/office/drawing/2014/main" pred="{1283F450-C0AF-4290-B0E7-949D9D192E6A}"/>
            </a:ext>
          </a:extLst>
        </xdr:cNvPr>
        <xdr:cNvSpPr/>
      </xdr:nvSpPr>
      <xdr:spPr>
        <a:xfrm>
          <a:off x="6580119" y="933450"/>
          <a:ext cx="219903" cy="203713"/>
        </a:xfrm>
        <a:prstGeom prst="star5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th-TH" sz="1100"/>
        </a:p>
      </xdr:txBody>
    </xdr:sp>
    <xdr:clientData/>
  </xdr:twoCellAnchor>
  <xdr:twoCellAnchor>
    <xdr:from>
      <xdr:col>25</xdr:col>
      <xdr:colOff>180975</xdr:colOff>
      <xdr:row>11</xdr:row>
      <xdr:rowOff>158198</xdr:rowOff>
    </xdr:from>
    <xdr:to>
      <xdr:col>26</xdr:col>
      <xdr:colOff>110987</xdr:colOff>
      <xdr:row>12</xdr:row>
      <xdr:rowOff>171411</xdr:rowOff>
    </xdr:to>
    <xdr:sp macro="" textlink="">
      <xdr:nvSpPr>
        <xdr:cNvPr id="3" name="5-Point Star 1">
          <a:extLst>
            <a:ext uri="{FF2B5EF4-FFF2-40B4-BE49-F238E27FC236}">
              <a16:creationId xmlns:a16="http://schemas.microsoft.com/office/drawing/2014/main" id="{0DE71F65-A72A-4370-858B-6BE10BB58CB8}"/>
            </a:ext>
            <a:ext uri="{147F2762-F138-4A5C-976F-8EAC2B608ADB}">
              <a16:predDERef xmlns:a16="http://schemas.microsoft.com/office/drawing/2014/main" pred="{1283F450-C0AF-4290-B0E7-949D9D192E6A}"/>
            </a:ext>
          </a:extLst>
        </xdr:cNvPr>
        <xdr:cNvSpPr/>
      </xdr:nvSpPr>
      <xdr:spPr>
        <a:xfrm>
          <a:off x="10012432" y="2253698"/>
          <a:ext cx="219903" cy="203713"/>
        </a:xfrm>
        <a:prstGeom prst="star5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th-TH" sz="1100"/>
        </a:p>
      </xdr:txBody>
    </xdr:sp>
    <xdr:clientData/>
  </xdr:twoCellAnchor>
  <xdr:twoCellAnchor>
    <xdr:from>
      <xdr:col>45</xdr:col>
      <xdr:colOff>184288</xdr:colOff>
      <xdr:row>11</xdr:row>
      <xdr:rowOff>136663</xdr:rowOff>
    </xdr:from>
    <xdr:to>
      <xdr:col>46</xdr:col>
      <xdr:colOff>114300</xdr:colOff>
      <xdr:row>12</xdr:row>
      <xdr:rowOff>149876</xdr:rowOff>
    </xdr:to>
    <xdr:sp macro="" textlink="">
      <xdr:nvSpPr>
        <xdr:cNvPr id="6" name="5-Point Star 1">
          <a:extLst>
            <a:ext uri="{FF2B5EF4-FFF2-40B4-BE49-F238E27FC236}">
              <a16:creationId xmlns:a16="http://schemas.microsoft.com/office/drawing/2014/main" id="{8BD2F29C-CF8D-484A-9105-B433515445F3}"/>
            </a:ext>
            <a:ext uri="{147F2762-F138-4A5C-976F-8EAC2B608ADB}">
              <a16:predDERef xmlns:a16="http://schemas.microsoft.com/office/drawing/2014/main" pred="{1283F450-C0AF-4290-B0E7-949D9D192E6A}"/>
            </a:ext>
          </a:extLst>
        </xdr:cNvPr>
        <xdr:cNvSpPr/>
      </xdr:nvSpPr>
      <xdr:spPr>
        <a:xfrm>
          <a:off x="16973136" y="2232163"/>
          <a:ext cx="219903" cy="203713"/>
        </a:xfrm>
        <a:prstGeom prst="star5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BA2E-70DB-43BE-A081-EC75971A386F}">
  <sheetPr>
    <tabColor rgb="FFFF0000"/>
  </sheetPr>
  <dimension ref="A1:J28"/>
  <sheetViews>
    <sheetView tabSelected="1" zoomScale="130" zoomScaleNormal="130" workbookViewId="0">
      <selection activeCell="D28" sqref="D28"/>
    </sheetView>
  </sheetViews>
  <sheetFormatPr defaultColWidth="9.140625" defaultRowHeight="12.75" outlineLevelCol="1"/>
  <cols>
    <col min="1" max="1" width="9.140625" style="72"/>
    <col min="2" max="2" width="44.140625" style="49" customWidth="1"/>
    <col min="3" max="4" width="18.7109375" style="49" bestFit="1" customWidth="1"/>
    <col min="5" max="5" width="13.7109375" style="49" bestFit="1" customWidth="1"/>
    <col min="6" max="6" width="9.7109375" style="73" customWidth="1" outlineLevel="1"/>
    <col min="7" max="7" width="14" style="74" customWidth="1" outlineLevel="1"/>
    <col min="8" max="8" width="18.140625" style="74" hidden="1" customWidth="1" outlineLevel="1"/>
    <col min="9" max="9" width="15.140625" style="74" hidden="1" customWidth="1" outlineLevel="1"/>
    <col min="10" max="10" width="41.140625" style="49" customWidth="1"/>
    <col min="11" max="16384" width="9.140625" style="49"/>
  </cols>
  <sheetData>
    <row r="1" spans="1:10" ht="15.75" customHeight="1">
      <c r="A1" s="209" t="s">
        <v>0</v>
      </c>
      <c r="B1" s="209"/>
      <c r="C1" s="209"/>
      <c r="D1" s="209"/>
      <c r="E1" s="209"/>
      <c r="F1" s="210" t="s">
        <v>1</v>
      </c>
      <c r="G1" s="211"/>
      <c r="H1" s="48"/>
      <c r="I1" s="48"/>
    </row>
    <row r="2" spans="1:10" ht="24" customHeight="1">
      <c r="A2" s="209"/>
      <c r="B2" s="209"/>
      <c r="C2" s="209"/>
      <c r="D2" s="209"/>
      <c r="E2" s="209"/>
      <c r="F2" s="212"/>
      <c r="G2" s="213"/>
      <c r="H2" s="48"/>
      <c r="I2" s="48"/>
    </row>
    <row r="3" spans="1:10" ht="25.5">
      <c r="A3" s="50" t="s">
        <v>2</v>
      </c>
      <c r="B3" s="51" t="s">
        <v>3</v>
      </c>
      <c r="C3" s="52" t="s">
        <v>4</v>
      </c>
      <c r="D3" s="53" t="s">
        <v>5</v>
      </c>
      <c r="E3" s="53" t="s">
        <v>6</v>
      </c>
      <c r="F3" s="54" t="s">
        <v>7</v>
      </c>
      <c r="G3" s="55" t="s">
        <v>8</v>
      </c>
      <c r="H3" s="56"/>
      <c r="I3" s="56"/>
    </row>
    <row r="4" spans="1:10" ht="12.75" customHeight="1">
      <c r="A4" s="57">
        <v>1</v>
      </c>
      <c r="B4" s="170" t="s">
        <v>9</v>
      </c>
      <c r="C4" s="62" t="s">
        <v>10</v>
      </c>
      <c r="D4" s="58" t="s">
        <v>11</v>
      </c>
      <c r="E4" s="63" t="s">
        <v>12</v>
      </c>
      <c r="F4" s="58">
        <f>PTTDigital_Manday!D56</f>
        <v>38</v>
      </c>
      <c r="G4" s="59"/>
      <c r="H4" s="60">
        <v>14000</v>
      </c>
      <c r="I4" s="60">
        <f>F4*H4</f>
        <v>532000</v>
      </c>
      <c r="J4" s="154"/>
    </row>
    <row r="5" spans="1:10" ht="12.75" customHeight="1">
      <c r="A5" s="57">
        <v>2</v>
      </c>
      <c r="B5" s="170" t="s">
        <v>13</v>
      </c>
      <c r="C5" s="62" t="s">
        <v>14</v>
      </c>
      <c r="D5" s="62" t="s">
        <v>15</v>
      </c>
      <c r="E5" s="63" t="s">
        <v>16</v>
      </c>
      <c r="F5" s="62">
        <f>PTTDigital_Manday!E56</f>
        <v>58</v>
      </c>
      <c r="G5" s="64"/>
      <c r="H5" s="60">
        <v>8500</v>
      </c>
      <c r="I5" s="60">
        <f t="shared" ref="I5" si="0">F5*H5</f>
        <v>493000</v>
      </c>
      <c r="J5" s="154"/>
    </row>
    <row r="6" spans="1:10" s="134" customFormat="1">
      <c r="A6" s="57">
        <v>3</v>
      </c>
      <c r="B6" s="129" t="s">
        <v>17</v>
      </c>
      <c r="C6" s="130" t="s">
        <v>14</v>
      </c>
      <c r="D6" s="152" t="s">
        <v>18</v>
      </c>
      <c r="E6" s="131" t="s">
        <v>16</v>
      </c>
      <c r="F6" s="130">
        <f>PTTDigital_Manday!I56</f>
        <v>57</v>
      </c>
      <c r="G6" s="132"/>
      <c r="H6" s="133"/>
      <c r="I6" s="133"/>
      <c r="J6" s="154"/>
    </row>
    <row r="7" spans="1:10" ht="12.75" customHeight="1">
      <c r="A7" s="57">
        <v>4</v>
      </c>
      <c r="B7" s="170" t="s">
        <v>19</v>
      </c>
      <c r="C7" s="62" t="s">
        <v>14</v>
      </c>
      <c r="D7" s="62" t="s">
        <v>20</v>
      </c>
      <c r="E7" s="63" t="s">
        <v>16</v>
      </c>
      <c r="F7" s="62">
        <f>PTTDigital_Manday!F56</f>
        <v>144</v>
      </c>
      <c r="G7" s="64"/>
      <c r="H7" s="60">
        <v>14000</v>
      </c>
      <c r="I7" s="60">
        <f>F7*H7</f>
        <v>2016000</v>
      </c>
      <c r="J7" s="154"/>
    </row>
    <row r="8" spans="1:10" ht="12.75" customHeight="1">
      <c r="A8" s="57">
        <v>5</v>
      </c>
      <c r="B8" s="61" t="s">
        <v>21</v>
      </c>
      <c r="C8" s="62" t="s">
        <v>14</v>
      </c>
      <c r="D8" s="62" t="s">
        <v>20</v>
      </c>
      <c r="E8" s="63" t="s">
        <v>16</v>
      </c>
      <c r="F8" s="62">
        <f>PTTDigital_Manday!G56</f>
        <v>89</v>
      </c>
      <c r="G8" s="64"/>
      <c r="H8" s="60"/>
      <c r="I8" s="60"/>
      <c r="J8" s="154"/>
    </row>
    <row r="9" spans="1:10" ht="12.75" customHeight="1">
      <c r="A9" s="57">
        <v>6</v>
      </c>
      <c r="B9" s="170" t="s">
        <v>22</v>
      </c>
      <c r="C9" s="62" t="s">
        <v>14</v>
      </c>
      <c r="D9" s="62" t="s">
        <v>23</v>
      </c>
      <c r="E9" s="63" t="s">
        <v>16</v>
      </c>
      <c r="F9" s="62">
        <f>PTTDigital_Manday!H56</f>
        <v>44</v>
      </c>
      <c r="G9" s="64"/>
      <c r="H9" s="60"/>
      <c r="I9" s="60"/>
      <c r="J9" s="154"/>
    </row>
    <row r="10" spans="1:10" ht="12.75" customHeight="1">
      <c r="A10" s="57">
        <v>7</v>
      </c>
      <c r="B10" s="170" t="s">
        <v>24</v>
      </c>
      <c r="C10" s="62" t="s">
        <v>14</v>
      </c>
      <c r="D10" s="152" t="s">
        <v>25</v>
      </c>
      <c r="E10" s="63" t="s">
        <v>16</v>
      </c>
      <c r="F10" s="62">
        <f>PTTDigital_Manday!J56</f>
        <v>4</v>
      </c>
      <c r="G10" s="64"/>
      <c r="H10" s="60"/>
      <c r="I10" s="60"/>
      <c r="J10" s="154"/>
    </row>
    <row r="11" spans="1:10" s="134" customFormat="1">
      <c r="A11" s="57">
        <v>8</v>
      </c>
      <c r="B11" s="171" t="s">
        <v>26</v>
      </c>
      <c r="C11" s="130" t="s">
        <v>14</v>
      </c>
      <c r="D11" s="62" t="s">
        <v>27</v>
      </c>
      <c r="E11" s="131" t="s">
        <v>16</v>
      </c>
      <c r="F11" s="130">
        <f>PTTDigital_Manday!K56</f>
        <v>4</v>
      </c>
      <c r="G11" s="132"/>
      <c r="H11" s="133"/>
      <c r="I11" s="133"/>
      <c r="J11" s="154"/>
    </row>
    <row r="12" spans="1:10" ht="12.75" customHeight="1">
      <c r="A12" s="57">
        <v>9</v>
      </c>
      <c r="B12" s="172" t="s">
        <v>28</v>
      </c>
      <c r="C12" s="62" t="s">
        <v>14</v>
      </c>
      <c r="D12" s="121" t="s">
        <v>29</v>
      </c>
      <c r="E12" s="63" t="s">
        <v>16</v>
      </c>
      <c r="F12" s="62">
        <f>PTTDigital_Manday!L56</f>
        <v>4</v>
      </c>
      <c r="G12" s="64"/>
      <c r="H12" s="65"/>
      <c r="I12" s="65">
        <f>SUM(I4:I7)</f>
        <v>3041000</v>
      </c>
      <c r="J12" s="154"/>
    </row>
    <row r="13" spans="1:10" ht="12.75" customHeight="1">
      <c r="A13" s="57">
        <v>10</v>
      </c>
      <c r="B13" s="169" t="s">
        <v>30</v>
      </c>
      <c r="C13" s="62" t="s">
        <v>14</v>
      </c>
      <c r="D13" s="121" t="s">
        <v>31</v>
      </c>
      <c r="E13" s="63" t="s">
        <v>16</v>
      </c>
      <c r="F13" s="121">
        <f>PTTDigital_Manday!M56</f>
        <v>4</v>
      </c>
      <c r="G13" s="122"/>
      <c r="H13" s="65"/>
      <c r="I13" s="65"/>
      <c r="J13" s="154"/>
    </row>
    <row r="14" spans="1:10" ht="12.75" customHeight="1">
      <c r="A14" s="66"/>
      <c r="B14" s="67"/>
      <c r="C14" s="68"/>
      <c r="D14" s="69"/>
      <c r="E14" s="69"/>
      <c r="F14" s="70"/>
      <c r="G14" s="71"/>
      <c r="H14" s="65"/>
      <c r="I14" s="65"/>
      <c r="J14" s="155"/>
    </row>
    <row r="15" spans="1:10" ht="12.75" customHeight="1"/>
    <row r="16" spans="1:10" ht="26.1" customHeight="1">
      <c r="A16" s="214" t="s">
        <v>32</v>
      </c>
      <c r="B16" s="215"/>
      <c r="C16" s="75" t="s">
        <v>33</v>
      </c>
      <c r="F16" s="49"/>
      <c r="G16" s="76"/>
      <c r="H16" s="49"/>
      <c r="I16" s="49"/>
    </row>
    <row r="17" spans="1:9" ht="12.75" customHeight="1">
      <c r="A17" s="77">
        <v>1</v>
      </c>
      <c r="B17" s="78" t="s">
        <v>34</v>
      </c>
      <c r="C17" s="79" t="s">
        <v>35</v>
      </c>
      <c r="F17" s="49"/>
      <c r="G17" s="49"/>
    </row>
    <row r="18" spans="1:9" ht="12.75" customHeight="1">
      <c r="A18" s="77">
        <v>2</v>
      </c>
      <c r="B18" s="78" t="s">
        <v>36</v>
      </c>
      <c r="C18" s="79" t="s">
        <v>35</v>
      </c>
      <c r="F18" s="49"/>
      <c r="G18" s="49"/>
      <c r="H18" s="49"/>
      <c r="I18" s="80"/>
    </row>
    <row r="19" spans="1:9" ht="12.75" customHeight="1">
      <c r="A19" s="77">
        <v>3</v>
      </c>
      <c r="B19" s="78" t="s">
        <v>37</v>
      </c>
      <c r="C19" s="79" t="s">
        <v>35</v>
      </c>
      <c r="F19" s="49"/>
      <c r="G19" s="49"/>
      <c r="H19" s="81"/>
      <c r="I19" s="82"/>
    </row>
    <row r="20" spans="1:9">
      <c r="A20" s="77">
        <v>4</v>
      </c>
      <c r="B20" s="78" t="s">
        <v>38</v>
      </c>
      <c r="C20" s="83" t="s">
        <v>35</v>
      </c>
      <c r="F20" s="49"/>
      <c r="G20" s="49"/>
      <c r="H20" s="49"/>
      <c r="I20" s="49"/>
    </row>
    <row r="21" spans="1:9">
      <c r="A21" s="77">
        <v>5</v>
      </c>
      <c r="B21" s="78" t="s">
        <v>39</v>
      </c>
      <c r="C21" s="83" t="s">
        <v>35</v>
      </c>
      <c r="F21" s="49"/>
    </row>
    <row r="22" spans="1:9">
      <c r="A22" s="77">
        <v>6</v>
      </c>
      <c r="B22" s="78" t="s">
        <v>40</v>
      </c>
      <c r="C22" s="83"/>
      <c r="H22" s="49"/>
    </row>
    <row r="23" spans="1:9">
      <c r="H23" s="84"/>
      <c r="I23" s="85"/>
    </row>
    <row r="24" spans="1:9">
      <c r="A24" s="6" t="s">
        <v>41</v>
      </c>
    </row>
    <row r="26" spans="1:9">
      <c r="I26" s="74">
        <v>1000000</v>
      </c>
    </row>
    <row r="27" spans="1:9">
      <c r="I27" s="74">
        <v>1190000</v>
      </c>
    </row>
    <row r="28" spans="1:9">
      <c r="H28" s="84" t="s">
        <v>42</v>
      </c>
      <c r="I28" s="85">
        <v>2190000</v>
      </c>
    </row>
  </sheetData>
  <mergeCells count="3">
    <mergeCell ref="A1:E2"/>
    <mergeCell ref="F1:G2"/>
    <mergeCell ref="A16:B16"/>
  </mergeCells>
  <dataValidations count="2">
    <dataValidation type="list" allowBlank="1" showInputMessage="1" sqref="A14:C14" xr:uid="{076A89D1-E150-4529-9F71-FBD163195B73}">
      <formula1>LstStaffs</formula1>
    </dataValidation>
    <dataValidation type="list" allowBlank="1" showInputMessage="1" sqref="D14:E14" xr:uid="{C77DF358-B413-4473-8C01-8669C6DD4E80}">
      <formula1>LstLevel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C664-6248-4C33-818B-92B2C602446F}">
  <sheetPr>
    <tabColor rgb="FFFF0000"/>
  </sheetPr>
  <dimension ref="B2:E26"/>
  <sheetViews>
    <sheetView zoomScaleNormal="100" workbookViewId="0">
      <selection activeCell="G23" sqref="G23"/>
    </sheetView>
  </sheetViews>
  <sheetFormatPr defaultColWidth="8.7109375" defaultRowHeight="15"/>
  <cols>
    <col min="2" max="2" width="31" bestFit="1" customWidth="1"/>
    <col min="3" max="3" width="21.7109375" customWidth="1"/>
    <col min="4" max="4" width="17.7109375" customWidth="1"/>
    <col min="5" max="5" width="12.140625" customWidth="1"/>
    <col min="7" max="7" width="31" bestFit="1" customWidth="1"/>
    <col min="8" max="8" width="20.140625" customWidth="1"/>
  </cols>
  <sheetData>
    <row r="2" spans="2:5" ht="15.75" thickBot="1">
      <c r="B2" s="7"/>
      <c r="C2" s="7"/>
    </row>
    <row r="3" spans="2:5">
      <c r="B3" s="9" t="s">
        <v>43</v>
      </c>
      <c r="C3" s="41">
        <f>PTTDigital_Manday!O60</f>
        <v>28000</v>
      </c>
    </row>
    <row r="4" spans="2:5">
      <c r="B4" s="10" t="s">
        <v>44</v>
      </c>
      <c r="C4" s="42">
        <f>PTTDigital_Manday!O61</f>
        <v>3972000</v>
      </c>
    </row>
    <row r="5" spans="2:5">
      <c r="B5" s="10" t="s">
        <v>45</v>
      </c>
      <c r="C5" s="42">
        <f>E13+E19</f>
        <v>0</v>
      </c>
    </row>
    <row r="6" spans="2:5" ht="15.75" thickBot="1">
      <c r="B6" s="11" t="s">
        <v>42</v>
      </c>
      <c r="C6" s="43">
        <f>SUM(C3:C5)</f>
        <v>4000000</v>
      </c>
    </row>
    <row r="7" spans="2:5" ht="15.75" thickTop="1"/>
    <row r="8" spans="2:5" ht="15.75" thickBot="1"/>
    <row r="9" spans="2:5">
      <c r="B9" s="45" t="s">
        <v>46</v>
      </c>
      <c r="C9" s="45" t="s">
        <v>47</v>
      </c>
      <c r="D9" s="45" t="s">
        <v>48</v>
      </c>
      <c r="E9" s="45" t="s">
        <v>49</v>
      </c>
    </row>
    <row r="10" spans="2:5">
      <c r="B10" s="46" t="s">
        <v>35</v>
      </c>
      <c r="C10" s="46">
        <v>0</v>
      </c>
      <c r="D10" s="46">
        <v>2500</v>
      </c>
      <c r="E10" s="46">
        <f>C10*D10</f>
        <v>0</v>
      </c>
    </row>
    <row r="11" spans="2:5">
      <c r="B11" s="46"/>
      <c r="C11" s="46"/>
      <c r="D11" s="46"/>
      <c r="E11" s="46">
        <f t="shared" ref="E11:E12" si="0">C11*D11</f>
        <v>0</v>
      </c>
    </row>
    <row r="12" spans="2:5">
      <c r="B12" s="46"/>
      <c r="C12" s="46"/>
      <c r="D12" s="46"/>
      <c r="E12" s="46">
        <f t="shared" si="0"/>
        <v>0</v>
      </c>
    </row>
    <row r="13" spans="2:5" ht="15.75" thickBot="1">
      <c r="D13" t="s">
        <v>42</v>
      </c>
      <c r="E13" s="47">
        <f>SUM(E10:E12)</f>
        <v>0</v>
      </c>
    </row>
    <row r="14" spans="2:5" ht="23.25" thickTop="1" thickBot="1">
      <c r="B14" s="31"/>
    </row>
    <row r="15" spans="2:5">
      <c r="B15" s="45" t="s">
        <v>50</v>
      </c>
      <c r="C15" s="45" t="s">
        <v>47</v>
      </c>
      <c r="D15" s="45" t="s">
        <v>48</v>
      </c>
      <c r="E15" s="45" t="s">
        <v>51</v>
      </c>
    </row>
    <row r="16" spans="2:5">
      <c r="B16" s="46" t="s">
        <v>35</v>
      </c>
      <c r="C16" s="46">
        <v>0</v>
      </c>
      <c r="D16" s="46">
        <v>600</v>
      </c>
      <c r="E16" s="46">
        <f>C16*D16</f>
        <v>0</v>
      </c>
    </row>
    <row r="17" spans="2:5">
      <c r="B17" s="46" t="s">
        <v>35</v>
      </c>
      <c r="C17" s="46"/>
      <c r="D17" s="46">
        <v>600</v>
      </c>
      <c r="E17" s="46">
        <f t="shared" ref="E17:E18" si="1">C17*D17</f>
        <v>0</v>
      </c>
    </row>
    <row r="18" spans="2:5">
      <c r="B18" s="46" t="s">
        <v>35</v>
      </c>
      <c r="C18" s="46"/>
      <c r="D18" s="46">
        <v>600</v>
      </c>
      <c r="E18" s="46">
        <f t="shared" si="1"/>
        <v>0</v>
      </c>
    </row>
    <row r="19" spans="2:5" ht="15.75" thickBot="1">
      <c r="D19" t="s">
        <v>42</v>
      </c>
      <c r="E19" s="47">
        <f>SUM(E16:E18)</f>
        <v>0</v>
      </c>
    </row>
    <row r="20" spans="2:5" ht="15.75" thickTop="1"/>
    <row r="21" spans="2:5" ht="15.75" thickBot="1"/>
    <row r="22" spans="2:5" ht="15.75" thickBot="1">
      <c r="B22" s="37" t="s">
        <v>52</v>
      </c>
      <c r="C22" s="38" t="s">
        <v>53</v>
      </c>
      <c r="D22" s="39" t="s">
        <v>54</v>
      </c>
    </row>
    <row r="23" spans="2:5">
      <c r="B23" s="34" t="s">
        <v>55</v>
      </c>
      <c r="C23" s="35">
        <v>0.4</v>
      </c>
      <c r="D23" s="36">
        <f>$C$6*C23</f>
        <v>1600000</v>
      </c>
    </row>
    <row r="24" spans="2:5">
      <c r="B24" s="146" t="s">
        <v>56</v>
      </c>
      <c r="C24" s="147">
        <v>0.3</v>
      </c>
      <c r="D24" s="36">
        <f t="shared" ref="D24:D25" si="2">$C$6*C24</f>
        <v>1200000</v>
      </c>
    </row>
    <row r="25" spans="2:5">
      <c r="B25" s="146" t="s">
        <v>57</v>
      </c>
      <c r="C25" s="147">
        <v>0.3</v>
      </c>
      <c r="D25" s="36">
        <f t="shared" si="2"/>
        <v>1200000</v>
      </c>
    </row>
    <row r="26" spans="2:5" ht="15.75" thickBot="1">
      <c r="B26" s="32"/>
      <c r="C26" s="33">
        <f>SUM(C23:C25)</f>
        <v>1</v>
      </c>
      <c r="D26" s="40">
        <f>SUM(D23:D25)</f>
        <v>4000000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6369-D7A3-9F4F-B713-35F66DC83316}">
  <sheetPr>
    <tabColor rgb="FFFF0000"/>
    <pageSetUpPr fitToPage="1"/>
  </sheetPr>
  <dimension ref="A1:P73"/>
  <sheetViews>
    <sheetView zoomScale="110" zoomScaleNormal="110" workbookViewId="0">
      <pane xSplit="3" ySplit="4" topLeftCell="D26" activePane="bottomRight" state="frozen"/>
      <selection pane="topRight" activeCell="D1" sqref="D1"/>
      <selection pane="bottomLeft" activeCell="A5" sqref="A5"/>
      <selection pane="bottomRight" activeCell="I40" sqref="I40"/>
    </sheetView>
  </sheetViews>
  <sheetFormatPr defaultColWidth="8.7109375" defaultRowHeight="15"/>
  <cols>
    <col min="1" max="1" width="18.140625" customWidth="1"/>
    <col min="2" max="2" width="45.7109375" customWidth="1"/>
    <col min="3" max="3" width="18.140625" customWidth="1"/>
    <col min="4" max="7" width="12" customWidth="1"/>
    <col min="8" max="8" width="13.28515625" customWidth="1"/>
    <col min="9" max="9" width="12" customWidth="1"/>
    <col min="10" max="10" width="13.85546875" customWidth="1"/>
    <col min="11" max="11" width="18.7109375" customWidth="1"/>
    <col min="12" max="13" width="14.140625" customWidth="1"/>
    <col min="14" max="14" width="13.140625" hidden="1" customWidth="1"/>
    <col min="15" max="15" width="24" customWidth="1"/>
  </cols>
  <sheetData>
    <row r="1" spans="1:15">
      <c r="A1" s="12" t="s">
        <v>58</v>
      </c>
      <c r="B1" s="13"/>
      <c r="C1" s="13"/>
      <c r="D1" s="13"/>
      <c r="E1" s="13"/>
      <c r="F1" s="13"/>
      <c r="G1" s="13"/>
      <c r="H1" s="13"/>
      <c r="I1" s="13"/>
      <c r="J1" s="13"/>
      <c r="K1" s="13"/>
      <c r="M1" s="13"/>
      <c r="N1" s="13"/>
    </row>
    <row r="2" spans="1:15" ht="15.75" thickBot="1">
      <c r="A2" s="14" t="s">
        <v>59</v>
      </c>
      <c r="B2" s="15"/>
      <c r="C2" s="15"/>
      <c r="D2" s="15" t="s">
        <v>60</v>
      </c>
      <c r="E2" s="15" t="s">
        <v>61</v>
      </c>
      <c r="F2" s="15" t="s">
        <v>61</v>
      </c>
      <c r="G2" s="15" t="s">
        <v>61</v>
      </c>
      <c r="H2" s="15" t="s">
        <v>61</v>
      </c>
      <c r="I2" s="15" t="s">
        <v>61</v>
      </c>
      <c r="J2" s="15" t="s">
        <v>61</v>
      </c>
      <c r="K2" s="15" t="s">
        <v>61</v>
      </c>
      <c r="L2" s="15" t="s">
        <v>61</v>
      </c>
      <c r="M2" s="15" t="s">
        <v>61</v>
      </c>
      <c r="N2" s="15" t="s">
        <v>61</v>
      </c>
      <c r="O2" s="145"/>
    </row>
    <row r="3" spans="1:15" ht="14.25" customHeight="1">
      <c r="A3" s="185" t="s">
        <v>62</v>
      </c>
      <c r="B3" s="185" t="s">
        <v>63</v>
      </c>
      <c r="C3" s="187" t="s">
        <v>64</v>
      </c>
      <c r="D3" s="16" t="s">
        <v>65</v>
      </c>
      <c r="E3" s="86" t="s">
        <v>66</v>
      </c>
      <c r="F3" s="86" t="s">
        <v>67</v>
      </c>
      <c r="G3" s="86" t="s">
        <v>67</v>
      </c>
      <c r="H3" s="86" t="s">
        <v>23</v>
      </c>
      <c r="I3" s="86" t="s">
        <v>68</v>
      </c>
      <c r="J3" s="86" t="s">
        <v>25</v>
      </c>
      <c r="K3" s="16" t="s">
        <v>27</v>
      </c>
      <c r="L3" s="138" t="s">
        <v>29</v>
      </c>
      <c r="M3" s="138" t="s">
        <v>31</v>
      </c>
      <c r="N3" s="140" t="s">
        <v>69</v>
      </c>
      <c r="O3" s="145"/>
    </row>
    <row r="4" spans="1:15" ht="20.25" customHeight="1">
      <c r="A4" s="186"/>
      <c r="B4" s="186"/>
      <c r="C4" s="188"/>
      <c r="D4" s="88" t="s">
        <v>70</v>
      </c>
      <c r="E4" s="88" t="s">
        <v>71</v>
      </c>
      <c r="F4" s="88" t="s">
        <v>72</v>
      </c>
      <c r="G4" s="88" t="s">
        <v>73</v>
      </c>
      <c r="H4" s="88" t="s">
        <v>74</v>
      </c>
      <c r="I4" s="88" t="s">
        <v>75</v>
      </c>
      <c r="J4" s="88" t="s">
        <v>76</v>
      </c>
      <c r="K4" s="88" t="s">
        <v>77</v>
      </c>
      <c r="L4" s="139" t="s">
        <v>78</v>
      </c>
      <c r="M4" s="139" t="s">
        <v>79</v>
      </c>
      <c r="N4" s="141" t="s">
        <v>3</v>
      </c>
      <c r="O4" s="145"/>
    </row>
    <row r="5" spans="1:15">
      <c r="A5" s="189" t="s">
        <v>80</v>
      </c>
      <c r="B5" s="116" t="s">
        <v>81</v>
      </c>
      <c r="C5" s="192" t="s">
        <v>82</v>
      </c>
      <c r="D5" s="198">
        <v>2</v>
      </c>
      <c r="E5" s="124"/>
      <c r="F5" s="124"/>
      <c r="G5" s="124"/>
      <c r="H5" s="124"/>
      <c r="I5" s="124"/>
      <c r="J5" s="124"/>
      <c r="K5" s="124"/>
      <c r="L5" s="124"/>
      <c r="M5" s="137"/>
      <c r="N5" s="193"/>
      <c r="O5" s="145"/>
    </row>
    <row r="6" spans="1:15">
      <c r="A6" s="190"/>
      <c r="B6" s="117" t="s">
        <v>83</v>
      </c>
      <c r="C6" s="192"/>
      <c r="D6" s="199"/>
      <c r="E6" s="124"/>
      <c r="F6" s="124"/>
      <c r="G6" s="124"/>
      <c r="H6" s="124"/>
      <c r="I6" s="124"/>
      <c r="J6" s="124"/>
      <c r="K6" s="124"/>
      <c r="L6" s="124"/>
      <c r="M6" s="137"/>
      <c r="N6" s="193"/>
      <c r="O6" s="145"/>
    </row>
    <row r="7" spans="1:15">
      <c r="A7" s="190"/>
      <c r="B7" s="117" t="s">
        <v>84</v>
      </c>
      <c r="C7" s="192"/>
      <c r="D7" s="199"/>
      <c r="E7" s="124"/>
      <c r="F7" s="124"/>
      <c r="G7" s="124"/>
      <c r="H7" s="124"/>
      <c r="I7" s="124"/>
      <c r="J7" s="124"/>
      <c r="K7" s="124"/>
      <c r="L7" s="124"/>
      <c r="M7" s="137"/>
      <c r="N7" s="193"/>
      <c r="O7" s="145"/>
    </row>
    <row r="8" spans="1:15">
      <c r="A8" s="191"/>
      <c r="B8" s="118" t="s">
        <v>85</v>
      </c>
      <c r="C8" s="192"/>
      <c r="D8" s="200"/>
      <c r="E8" s="124"/>
      <c r="F8" s="124"/>
      <c r="G8" s="124"/>
      <c r="H8" s="124"/>
      <c r="I8" s="124"/>
      <c r="J8" s="124"/>
      <c r="K8" s="124"/>
      <c r="L8" s="124"/>
      <c r="M8" s="137"/>
      <c r="N8" s="193"/>
      <c r="O8" s="145"/>
    </row>
    <row r="9" spans="1:15">
      <c r="A9" s="194" t="s">
        <v>86</v>
      </c>
      <c r="B9" s="114" t="s">
        <v>87</v>
      </c>
      <c r="C9" s="197"/>
      <c r="D9" s="198">
        <v>6</v>
      </c>
      <c r="E9" s="124"/>
      <c r="F9" s="124"/>
      <c r="G9" s="124"/>
      <c r="H9" s="124"/>
      <c r="I9" s="124"/>
      <c r="J9" s="124"/>
      <c r="K9" s="124"/>
      <c r="L9" s="124"/>
      <c r="M9" s="137"/>
      <c r="N9" s="193"/>
      <c r="O9" s="145"/>
    </row>
    <row r="10" spans="1:15" ht="22.5">
      <c r="A10" s="195"/>
      <c r="B10" s="114" t="s">
        <v>88</v>
      </c>
      <c r="C10" s="197"/>
      <c r="D10" s="199"/>
      <c r="E10" s="124"/>
      <c r="F10" s="124"/>
      <c r="G10" s="124"/>
      <c r="H10" s="124"/>
      <c r="I10" s="124"/>
      <c r="J10" s="124"/>
      <c r="K10" s="124"/>
      <c r="L10" s="124"/>
      <c r="M10" s="137"/>
      <c r="N10" s="193"/>
      <c r="O10" s="145"/>
    </row>
    <row r="11" spans="1:15">
      <c r="A11" s="195"/>
      <c r="B11" s="114" t="s">
        <v>89</v>
      </c>
      <c r="C11" s="197"/>
      <c r="D11" s="199"/>
      <c r="E11" s="124"/>
      <c r="F11" s="124"/>
      <c r="G11" s="124"/>
      <c r="H11" s="124"/>
      <c r="I11" s="124"/>
      <c r="J11" s="124"/>
      <c r="K11" s="124"/>
      <c r="L11" s="124"/>
      <c r="M11" s="137"/>
      <c r="N11" s="193"/>
      <c r="O11" s="145"/>
    </row>
    <row r="12" spans="1:15">
      <c r="A12" s="195"/>
      <c r="B12" s="114" t="s">
        <v>90</v>
      </c>
      <c r="C12" s="197"/>
      <c r="D12" s="199"/>
      <c r="E12" s="124"/>
      <c r="F12" s="124"/>
      <c r="G12" s="124"/>
      <c r="H12" s="124"/>
      <c r="I12" s="124"/>
      <c r="J12" s="124"/>
      <c r="K12" s="124"/>
      <c r="L12" s="124"/>
      <c r="M12" s="137"/>
      <c r="N12" s="193"/>
      <c r="O12" s="145"/>
    </row>
    <row r="13" spans="1:15">
      <c r="A13" s="196"/>
      <c r="B13" s="115" t="s">
        <v>91</v>
      </c>
      <c r="C13" s="197"/>
      <c r="D13" s="200"/>
      <c r="E13" s="124"/>
      <c r="F13" s="124"/>
      <c r="G13" s="124"/>
      <c r="H13" s="124"/>
      <c r="I13" s="124"/>
      <c r="J13" s="124"/>
      <c r="K13" s="124"/>
      <c r="L13" s="124"/>
      <c r="M13" s="137"/>
      <c r="N13" s="193"/>
      <c r="O13" s="145"/>
    </row>
    <row r="14" spans="1:15">
      <c r="A14" s="194" t="s">
        <v>92</v>
      </c>
      <c r="B14" s="114" t="s">
        <v>93</v>
      </c>
      <c r="C14" s="197"/>
      <c r="D14" s="198">
        <v>6</v>
      </c>
      <c r="E14" s="198">
        <v>5</v>
      </c>
      <c r="F14" s="198"/>
      <c r="G14" s="126"/>
      <c r="H14" s="198"/>
      <c r="I14" s="198">
        <v>8</v>
      </c>
      <c r="J14" s="124"/>
      <c r="K14" s="124"/>
      <c r="L14" s="124"/>
      <c r="M14" s="137"/>
      <c r="N14" s="193"/>
      <c r="O14" s="145"/>
    </row>
    <row r="15" spans="1:15">
      <c r="A15" s="195"/>
      <c r="B15" s="114" t="s">
        <v>94</v>
      </c>
      <c r="C15" s="197"/>
      <c r="D15" s="199"/>
      <c r="E15" s="199"/>
      <c r="F15" s="199"/>
      <c r="G15" s="127"/>
      <c r="H15" s="199"/>
      <c r="I15" s="199"/>
      <c r="J15" s="124"/>
      <c r="K15" s="124"/>
      <c r="L15" s="124"/>
      <c r="M15" s="137"/>
      <c r="N15" s="193"/>
      <c r="O15" s="145"/>
    </row>
    <row r="16" spans="1:15">
      <c r="A16" s="195"/>
      <c r="B16" s="114" t="s">
        <v>95</v>
      </c>
      <c r="C16" s="197"/>
      <c r="D16" s="199"/>
      <c r="E16" s="199"/>
      <c r="F16" s="199"/>
      <c r="G16" s="127"/>
      <c r="H16" s="199"/>
      <c r="I16" s="199"/>
      <c r="J16" s="124"/>
      <c r="K16" s="124"/>
      <c r="L16" s="124"/>
      <c r="M16" s="137"/>
      <c r="N16" s="193"/>
      <c r="O16" s="145"/>
    </row>
    <row r="17" spans="1:16">
      <c r="A17" s="195"/>
      <c r="B17" s="114" t="s">
        <v>96</v>
      </c>
      <c r="C17" s="197"/>
      <c r="D17" s="199"/>
      <c r="E17" s="199"/>
      <c r="F17" s="199"/>
      <c r="G17" s="127"/>
      <c r="H17" s="199"/>
      <c r="I17" s="199"/>
      <c r="J17" s="124"/>
      <c r="K17" s="124"/>
      <c r="L17" s="124"/>
      <c r="M17" s="137"/>
      <c r="N17" s="193"/>
      <c r="O17" s="145"/>
    </row>
    <row r="18" spans="1:16">
      <c r="A18" s="195"/>
      <c r="B18" s="114" t="s">
        <v>97</v>
      </c>
      <c r="C18" s="197"/>
      <c r="D18" s="199"/>
      <c r="E18" s="199"/>
      <c r="F18" s="199"/>
      <c r="G18" s="127"/>
      <c r="H18" s="199"/>
      <c r="I18" s="199"/>
      <c r="J18" s="124"/>
      <c r="K18" s="124"/>
      <c r="L18" s="124"/>
      <c r="M18" s="137"/>
      <c r="N18" s="193"/>
      <c r="O18" s="145"/>
    </row>
    <row r="19" spans="1:16">
      <c r="A19" s="196"/>
      <c r="B19" s="115" t="s">
        <v>98</v>
      </c>
      <c r="C19" s="197"/>
      <c r="D19" s="200"/>
      <c r="E19" s="200"/>
      <c r="F19" s="200"/>
      <c r="G19" s="128"/>
      <c r="H19" s="200"/>
      <c r="I19" s="200"/>
      <c r="J19" s="124"/>
      <c r="K19" s="124"/>
      <c r="L19" s="124"/>
      <c r="M19" s="137"/>
      <c r="N19" s="193"/>
      <c r="O19" s="145"/>
    </row>
    <row r="20" spans="1:16">
      <c r="A20" s="194" t="s">
        <v>99</v>
      </c>
      <c r="B20" s="114" t="s">
        <v>100</v>
      </c>
      <c r="C20" s="197" t="s">
        <v>101</v>
      </c>
      <c r="D20" s="198">
        <v>2</v>
      </c>
      <c r="E20" s="198">
        <v>5</v>
      </c>
      <c r="F20" s="198"/>
      <c r="G20" s="126"/>
      <c r="H20" s="124"/>
      <c r="I20" s="198">
        <v>2</v>
      </c>
      <c r="J20" s="124"/>
      <c r="K20" s="124"/>
      <c r="L20" s="124"/>
      <c r="M20" s="137"/>
      <c r="N20" s="193"/>
      <c r="O20" s="145"/>
    </row>
    <row r="21" spans="1:16">
      <c r="A21" s="195"/>
      <c r="B21" s="114" t="s">
        <v>102</v>
      </c>
      <c r="C21" s="197"/>
      <c r="D21" s="199"/>
      <c r="E21" s="199"/>
      <c r="F21" s="199"/>
      <c r="G21" s="127"/>
      <c r="H21" s="124"/>
      <c r="I21" s="199"/>
      <c r="J21" s="124"/>
      <c r="K21" s="124"/>
      <c r="L21" s="124"/>
      <c r="M21" s="137"/>
      <c r="N21" s="193"/>
      <c r="O21" s="145"/>
    </row>
    <row r="22" spans="1:16">
      <c r="A22" s="195"/>
      <c r="B22" s="114" t="s">
        <v>103</v>
      </c>
      <c r="C22" s="197"/>
      <c r="D22" s="199"/>
      <c r="E22" s="199"/>
      <c r="F22" s="199"/>
      <c r="G22" s="127"/>
      <c r="H22" s="124"/>
      <c r="I22" s="199"/>
      <c r="J22" s="124"/>
      <c r="K22" s="124"/>
      <c r="L22" s="124"/>
      <c r="M22" s="137"/>
      <c r="N22" s="193"/>
      <c r="O22" s="145"/>
    </row>
    <row r="23" spans="1:16">
      <c r="A23" s="196"/>
      <c r="B23" s="115" t="s">
        <v>104</v>
      </c>
      <c r="C23" s="197"/>
      <c r="D23" s="200"/>
      <c r="E23" s="200"/>
      <c r="F23" s="200"/>
      <c r="G23" s="128"/>
      <c r="H23" s="124"/>
      <c r="I23" s="200"/>
      <c r="J23" s="124"/>
      <c r="K23" s="124"/>
      <c r="L23" s="124"/>
      <c r="M23" s="137"/>
      <c r="N23" s="193"/>
      <c r="O23" s="145"/>
    </row>
    <row r="24" spans="1:16" ht="27" customHeight="1">
      <c r="A24" s="148" t="s">
        <v>105</v>
      </c>
      <c r="B24" s="119" t="s">
        <v>106</v>
      </c>
      <c r="C24" s="153"/>
      <c r="D24" s="125"/>
      <c r="E24" s="125"/>
      <c r="F24" s="125"/>
      <c r="G24" s="125"/>
      <c r="H24" s="125"/>
      <c r="I24" s="125"/>
      <c r="J24" s="125"/>
      <c r="K24" s="87"/>
      <c r="L24" s="87"/>
      <c r="M24" s="136"/>
      <c r="N24" s="142"/>
      <c r="O24" s="145"/>
    </row>
    <row r="25" spans="1:16">
      <c r="A25" s="149"/>
      <c r="B25" s="114" t="s">
        <v>107</v>
      </c>
      <c r="C25" s="165"/>
      <c r="D25" s="201">
        <v>17</v>
      </c>
      <c r="E25" s="166">
        <v>7</v>
      </c>
      <c r="F25" s="166">
        <v>17</v>
      </c>
      <c r="G25" s="166">
        <v>5</v>
      </c>
      <c r="H25" s="166">
        <v>9</v>
      </c>
      <c r="I25" s="166">
        <v>6</v>
      </c>
      <c r="J25" s="166"/>
      <c r="K25" s="166"/>
      <c r="L25" s="166"/>
      <c r="M25" s="166"/>
      <c r="N25" s="143"/>
      <c r="O25" s="145"/>
      <c r="P25" s="145"/>
    </row>
    <row r="26" spans="1:16">
      <c r="A26" s="149"/>
      <c r="B26" s="114"/>
      <c r="C26" s="165"/>
      <c r="D26" s="202"/>
      <c r="E26" s="156"/>
      <c r="F26" s="156"/>
      <c r="G26" s="156"/>
      <c r="H26" s="156"/>
      <c r="I26" s="156"/>
      <c r="J26" s="156"/>
      <c r="K26" s="166"/>
      <c r="L26" s="166"/>
      <c r="M26" s="166"/>
      <c r="N26" s="143"/>
      <c r="O26" s="145"/>
      <c r="P26" s="145"/>
    </row>
    <row r="27" spans="1:16">
      <c r="A27" s="149"/>
      <c r="B27" s="114" t="s">
        <v>108</v>
      </c>
      <c r="C27" s="165"/>
      <c r="D27" s="202"/>
      <c r="E27" s="166">
        <v>7</v>
      </c>
      <c r="F27" s="166">
        <v>11</v>
      </c>
      <c r="G27" s="166">
        <v>10</v>
      </c>
      <c r="H27" s="166">
        <v>9</v>
      </c>
      <c r="I27" s="166">
        <v>6</v>
      </c>
      <c r="J27" s="166"/>
      <c r="K27" s="166"/>
      <c r="L27" s="166"/>
      <c r="M27" s="166"/>
      <c r="N27" s="143"/>
      <c r="O27" s="145"/>
    </row>
    <row r="28" spans="1:16">
      <c r="A28" s="149"/>
      <c r="B28" s="114"/>
      <c r="C28" s="165"/>
      <c r="D28" s="202"/>
      <c r="E28" s="156"/>
      <c r="F28" s="156"/>
      <c r="G28" s="156"/>
      <c r="H28" s="156"/>
      <c r="I28" s="156"/>
      <c r="J28" s="156"/>
      <c r="K28" s="166"/>
      <c r="L28" s="166"/>
      <c r="M28" s="166"/>
      <c r="N28" s="143"/>
      <c r="O28" s="145"/>
    </row>
    <row r="29" spans="1:16">
      <c r="A29" s="149"/>
      <c r="B29" s="114" t="s">
        <v>109</v>
      </c>
      <c r="C29" s="165"/>
      <c r="D29" s="202"/>
      <c r="E29" s="166">
        <v>9</v>
      </c>
      <c r="F29" s="166">
        <v>16</v>
      </c>
      <c r="G29" s="166">
        <v>10</v>
      </c>
      <c r="H29" s="166">
        <v>9</v>
      </c>
      <c r="I29" s="166">
        <v>6</v>
      </c>
      <c r="J29" s="166"/>
      <c r="K29" s="166"/>
      <c r="L29" s="166"/>
      <c r="M29" s="166"/>
      <c r="N29" s="143"/>
      <c r="O29" s="145"/>
    </row>
    <row r="30" spans="1:16">
      <c r="A30" s="149"/>
      <c r="B30" s="114"/>
      <c r="C30" s="165"/>
      <c r="D30" s="202"/>
      <c r="E30" s="156"/>
      <c r="F30" s="156"/>
      <c r="G30" s="156"/>
      <c r="H30" s="156"/>
      <c r="I30" s="156"/>
      <c r="J30" s="166"/>
      <c r="K30" s="166"/>
      <c r="L30" s="166"/>
      <c r="M30" s="166"/>
      <c r="N30" s="143"/>
      <c r="O30" s="145"/>
    </row>
    <row r="31" spans="1:16" ht="22.5">
      <c r="A31" s="149"/>
      <c r="B31" s="114" t="s">
        <v>110</v>
      </c>
      <c r="C31" s="165"/>
      <c r="D31" s="202"/>
      <c r="E31" s="166">
        <v>18</v>
      </c>
      <c r="F31" s="166">
        <v>100</v>
      </c>
      <c r="G31" s="166">
        <v>64</v>
      </c>
      <c r="H31" s="166">
        <v>17</v>
      </c>
      <c r="I31" s="166">
        <v>29</v>
      </c>
      <c r="J31" s="166"/>
      <c r="K31" s="166"/>
      <c r="L31" s="166"/>
      <c r="M31" s="166"/>
      <c r="N31" s="144"/>
      <c r="O31" s="145"/>
    </row>
    <row r="32" spans="1:16">
      <c r="A32" s="149"/>
      <c r="B32" s="114"/>
      <c r="C32" s="165"/>
      <c r="D32" s="202"/>
      <c r="E32" s="167"/>
      <c r="F32" s="156"/>
      <c r="G32" s="156"/>
      <c r="H32" s="156"/>
      <c r="I32" s="167"/>
      <c r="J32" s="156"/>
      <c r="K32" s="166"/>
      <c r="L32" s="166"/>
      <c r="M32" s="166"/>
      <c r="N32" s="144"/>
      <c r="O32" s="145"/>
    </row>
    <row r="33" spans="1:15">
      <c r="A33" s="149" t="s">
        <v>111</v>
      </c>
      <c r="B33" s="119" t="s">
        <v>112</v>
      </c>
      <c r="C33" s="153" t="s">
        <v>113</v>
      </c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136"/>
      <c r="O33" s="145"/>
    </row>
    <row r="34" spans="1:15">
      <c r="A34" s="149"/>
      <c r="B34" s="114" t="s">
        <v>114</v>
      </c>
      <c r="C34" s="151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44"/>
      <c r="O34" s="145"/>
    </row>
    <row r="35" spans="1:15">
      <c r="A35" s="149"/>
      <c r="B35" s="114" t="s">
        <v>115</v>
      </c>
      <c r="C35" s="151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44"/>
      <c r="O35" s="145"/>
    </row>
    <row r="36" spans="1:15">
      <c r="A36" s="149"/>
      <c r="B36" s="114" t="s">
        <v>116</v>
      </c>
      <c r="C36" s="151"/>
      <c r="D36" s="150">
        <v>1</v>
      </c>
      <c r="E36" s="150">
        <v>1</v>
      </c>
      <c r="F36" s="150"/>
      <c r="G36" s="150"/>
      <c r="H36" s="150"/>
      <c r="I36" s="150"/>
      <c r="J36" s="150"/>
      <c r="K36" s="150"/>
      <c r="L36" s="150"/>
      <c r="M36" s="150"/>
      <c r="N36" s="144"/>
      <c r="O36" s="145"/>
    </row>
    <row r="37" spans="1:15">
      <c r="A37" s="149"/>
      <c r="B37" s="114" t="s">
        <v>117</v>
      </c>
      <c r="C37" s="151"/>
      <c r="D37" s="150">
        <v>1</v>
      </c>
      <c r="E37" s="150">
        <v>1</v>
      </c>
      <c r="F37" s="150"/>
      <c r="G37" s="150"/>
      <c r="H37" s="150"/>
      <c r="I37" s="150"/>
      <c r="J37" s="150"/>
      <c r="K37" s="150"/>
      <c r="L37" s="150"/>
      <c r="M37" s="150"/>
      <c r="N37" s="144"/>
      <c r="O37" s="145"/>
    </row>
    <row r="38" spans="1:15">
      <c r="A38" s="149"/>
      <c r="B38" s="114" t="s">
        <v>118</v>
      </c>
      <c r="C38" s="151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44"/>
      <c r="O38" s="145"/>
    </row>
    <row r="39" spans="1:15">
      <c r="A39" s="149"/>
      <c r="B39" s="114" t="s">
        <v>119</v>
      </c>
      <c r="C39" s="151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44"/>
      <c r="O39" s="145"/>
    </row>
    <row r="40" spans="1:15">
      <c r="A40" s="149"/>
      <c r="B40" s="114" t="s">
        <v>120</v>
      </c>
      <c r="C40" s="151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44"/>
      <c r="O40" s="145"/>
    </row>
    <row r="41" spans="1:15">
      <c r="A41" s="149"/>
      <c r="B41" s="120" t="s">
        <v>121</v>
      </c>
      <c r="C41" s="151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44"/>
      <c r="O41" s="145"/>
    </row>
    <row r="42" spans="1:15">
      <c r="A42" s="149"/>
      <c r="B42" s="115"/>
      <c r="C42" s="151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44"/>
      <c r="O42" s="145"/>
    </row>
    <row r="43" spans="1:15">
      <c r="A43" s="194" t="s">
        <v>122</v>
      </c>
      <c r="B43" s="113" t="s">
        <v>123</v>
      </c>
      <c r="C43" s="197" t="s">
        <v>124</v>
      </c>
      <c r="D43" s="198">
        <v>2</v>
      </c>
      <c r="E43" s="198">
        <v>5</v>
      </c>
      <c r="F43" s="198"/>
      <c r="G43" s="198"/>
      <c r="H43" s="198"/>
      <c r="I43" s="198"/>
      <c r="J43" s="198">
        <v>2</v>
      </c>
      <c r="K43" s="198">
        <v>2</v>
      </c>
      <c r="L43" s="198">
        <v>2</v>
      </c>
      <c r="M43" s="198">
        <v>2</v>
      </c>
      <c r="N43" s="203"/>
      <c r="O43" s="145"/>
    </row>
    <row r="44" spans="1:15">
      <c r="A44" s="195"/>
      <c r="B44" s="114" t="s">
        <v>125</v>
      </c>
      <c r="C44" s="197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203"/>
      <c r="O44" s="145"/>
    </row>
    <row r="45" spans="1:15">
      <c r="A45" s="195"/>
      <c r="B45" s="114" t="s">
        <v>126</v>
      </c>
      <c r="C45" s="197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203"/>
      <c r="O45" s="145"/>
    </row>
    <row r="46" spans="1:15">
      <c r="A46" s="195"/>
      <c r="B46" s="114" t="s">
        <v>127</v>
      </c>
      <c r="C46" s="197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203"/>
      <c r="O46" s="145"/>
    </row>
    <row r="47" spans="1:15">
      <c r="A47" s="195"/>
      <c r="B47" s="114" t="s">
        <v>128</v>
      </c>
      <c r="C47" s="197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203"/>
      <c r="O47" s="145"/>
    </row>
    <row r="48" spans="1:15">
      <c r="A48" s="195"/>
      <c r="B48" s="114" t="s">
        <v>129</v>
      </c>
      <c r="C48" s="197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203"/>
      <c r="O48" s="145"/>
    </row>
    <row r="49" spans="1:15">
      <c r="A49" s="195"/>
      <c r="B49" s="114" t="s">
        <v>130</v>
      </c>
      <c r="C49" s="197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203"/>
      <c r="O49" s="145"/>
    </row>
    <row r="50" spans="1:15">
      <c r="A50" s="195"/>
      <c r="B50" s="114" t="s">
        <v>131</v>
      </c>
      <c r="C50" s="197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203"/>
      <c r="O50" s="145"/>
    </row>
    <row r="51" spans="1:15">
      <c r="A51" s="196"/>
      <c r="B51" s="115" t="s">
        <v>132</v>
      </c>
      <c r="C51" s="197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3"/>
      <c r="O51" s="145"/>
    </row>
    <row r="52" spans="1:15">
      <c r="A52" s="194" t="s">
        <v>133</v>
      </c>
      <c r="B52" s="4" t="s">
        <v>134</v>
      </c>
      <c r="C52" s="207" t="s">
        <v>135</v>
      </c>
      <c r="D52" s="204">
        <v>1</v>
      </c>
      <c r="E52" s="204"/>
      <c r="F52" s="204"/>
      <c r="G52" s="204"/>
      <c r="H52" s="198"/>
      <c r="I52" s="204"/>
      <c r="J52" s="204">
        <v>2</v>
      </c>
      <c r="K52" s="204">
        <v>2</v>
      </c>
      <c r="L52" s="204">
        <v>2</v>
      </c>
      <c r="M52" s="204">
        <v>2</v>
      </c>
      <c r="N52" s="207"/>
      <c r="O52" s="135"/>
    </row>
    <row r="53" spans="1:15">
      <c r="A53" s="195"/>
      <c r="B53" s="2" t="s">
        <v>136</v>
      </c>
      <c r="C53" s="207"/>
      <c r="D53" s="204"/>
      <c r="E53" s="204"/>
      <c r="F53" s="204"/>
      <c r="G53" s="204"/>
      <c r="H53" s="199"/>
      <c r="I53" s="204"/>
      <c r="J53" s="204"/>
      <c r="K53" s="204"/>
      <c r="L53" s="204"/>
      <c r="M53" s="204"/>
      <c r="N53" s="207"/>
      <c r="O53" s="135"/>
    </row>
    <row r="54" spans="1:15">
      <c r="A54" s="195"/>
      <c r="B54" s="2" t="s">
        <v>137</v>
      </c>
      <c r="C54" s="207"/>
      <c r="D54" s="204"/>
      <c r="E54" s="204"/>
      <c r="F54" s="204"/>
      <c r="G54" s="204"/>
      <c r="H54" s="199"/>
      <c r="I54" s="204"/>
      <c r="J54" s="204"/>
      <c r="K54" s="204"/>
      <c r="L54" s="204"/>
      <c r="M54" s="204"/>
      <c r="N54" s="207"/>
      <c r="O54" s="135"/>
    </row>
    <row r="55" spans="1:15">
      <c r="A55" s="196"/>
      <c r="B55" s="3" t="s">
        <v>138</v>
      </c>
      <c r="C55" s="208"/>
      <c r="D55" s="205"/>
      <c r="E55" s="205"/>
      <c r="F55" s="205"/>
      <c r="G55" s="205"/>
      <c r="H55" s="206"/>
      <c r="I55" s="205"/>
      <c r="J55" s="205"/>
      <c r="K55" s="205"/>
      <c r="L55" s="205"/>
      <c r="M55" s="205"/>
      <c r="N55" s="208"/>
      <c r="O55" s="135"/>
    </row>
    <row r="56" spans="1:15">
      <c r="A56" s="8" t="s">
        <v>42</v>
      </c>
      <c r="B56" s="5"/>
      <c r="C56" s="1"/>
      <c r="D56" s="1">
        <f t="shared" ref="D56:N56" si="0">SUM(D5:D55)</f>
        <v>38</v>
      </c>
      <c r="E56" s="1">
        <f t="shared" si="0"/>
        <v>58</v>
      </c>
      <c r="F56" s="1">
        <f t="shared" si="0"/>
        <v>144</v>
      </c>
      <c r="G56" s="1">
        <f t="shared" si="0"/>
        <v>89</v>
      </c>
      <c r="H56" s="1">
        <f t="shared" si="0"/>
        <v>44</v>
      </c>
      <c r="I56" s="1">
        <f t="shared" si="0"/>
        <v>57</v>
      </c>
      <c r="J56" s="1">
        <f t="shared" si="0"/>
        <v>4</v>
      </c>
      <c r="K56" s="1">
        <f t="shared" si="0"/>
        <v>4</v>
      </c>
      <c r="L56" s="1">
        <f t="shared" si="0"/>
        <v>4</v>
      </c>
      <c r="M56" s="1">
        <f t="shared" si="0"/>
        <v>4</v>
      </c>
      <c r="N56" s="1">
        <f t="shared" si="0"/>
        <v>0</v>
      </c>
    </row>
    <row r="57" spans="1:15" s="6" customFormat="1" ht="12.75">
      <c r="A57" s="123" t="s">
        <v>139</v>
      </c>
    </row>
    <row r="58" spans="1:15" ht="19.5" thickBot="1">
      <c r="B58" s="23" t="s">
        <v>140</v>
      </c>
      <c r="C58" t="s">
        <v>141</v>
      </c>
      <c r="O58" s="30" t="s">
        <v>142</v>
      </c>
    </row>
    <row r="59" spans="1:15">
      <c r="B59" s="23" t="s">
        <v>143</v>
      </c>
      <c r="C59" s="17" t="s">
        <v>144</v>
      </c>
      <c r="D59" s="18">
        <v>14000</v>
      </c>
      <c r="E59" s="18">
        <v>8500</v>
      </c>
      <c r="F59" s="18">
        <v>8500</v>
      </c>
      <c r="G59" s="18">
        <v>8500</v>
      </c>
      <c r="H59" s="18">
        <v>8500</v>
      </c>
      <c r="I59" s="18">
        <v>8500</v>
      </c>
      <c r="J59" s="18">
        <v>8500</v>
      </c>
      <c r="K59" s="18">
        <v>8500</v>
      </c>
      <c r="L59" s="18">
        <v>8500</v>
      </c>
      <c r="M59" s="18">
        <v>8500</v>
      </c>
      <c r="N59" s="24">
        <v>8500</v>
      </c>
      <c r="O59" s="27"/>
    </row>
    <row r="60" spans="1:15" ht="18.75">
      <c r="C60" s="19" t="s">
        <v>145</v>
      </c>
      <c r="D60" s="20">
        <f t="shared" ref="D60:N60" si="1">D5*D59</f>
        <v>28000</v>
      </c>
      <c r="E60" s="20">
        <f t="shared" si="1"/>
        <v>0</v>
      </c>
      <c r="F60" s="20">
        <f t="shared" si="1"/>
        <v>0</v>
      </c>
      <c r="G60" s="20">
        <f t="shared" si="1"/>
        <v>0</v>
      </c>
      <c r="H60" s="20">
        <f t="shared" si="1"/>
        <v>0</v>
      </c>
      <c r="I60" s="20">
        <f t="shared" si="1"/>
        <v>0</v>
      </c>
      <c r="J60" s="20">
        <f t="shared" si="1"/>
        <v>0</v>
      </c>
      <c r="K60" s="20">
        <f t="shared" si="1"/>
        <v>0</v>
      </c>
      <c r="L60" s="20">
        <f t="shared" si="1"/>
        <v>0</v>
      </c>
      <c r="M60" s="20">
        <f t="shared" si="1"/>
        <v>0</v>
      </c>
      <c r="N60" s="25">
        <f t="shared" si="1"/>
        <v>0</v>
      </c>
      <c r="O60" s="28">
        <f>SUM(D60:N60)</f>
        <v>28000</v>
      </c>
    </row>
    <row r="61" spans="1:15" ht="19.5" thickBot="1">
      <c r="C61" s="21" t="s">
        <v>146</v>
      </c>
      <c r="D61" s="22">
        <f t="shared" ref="D61:N61" si="2">(D56-D5)*D59</f>
        <v>504000</v>
      </c>
      <c r="E61" s="22">
        <f t="shared" si="2"/>
        <v>493000</v>
      </c>
      <c r="F61" s="22">
        <f>(F56-F5)*F59</f>
        <v>1224000</v>
      </c>
      <c r="G61" s="22">
        <f t="shared" si="2"/>
        <v>756500</v>
      </c>
      <c r="H61" s="22">
        <f t="shared" si="2"/>
        <v>374000</v>
      </c>
      <c r="I61" s="22">
        <f t="shared" si="2"/>
        <v>484500</v>
      </c>
      <c r="J61" s="22">
        <f t="shared" si="2"/>
        <v>34000</v>
      </c>
      <c r="K61" s="22">
        <f t="shared" si="2"/>
        <v>34000</v>
      </c>
      <c r="L61" s="22">
        <f t="shared" si="2"/>
        <v>34000</v>
      </c>
      <c r="M61" s="22">
        <f t="shared" si="2"/>
        <v>34000</v>
      </c>
      <c r="N61" s="26">
        <f t="shared" si="2"/>
        <v>0</v>
      </c>
      <c r="O61" s="29">
        <f>SUM(D61:N61)</f>
        <v>3972000</v>
      </c>
    </row>
    <row r="62" spans="1:15" ht="19.5" thickBot="1">
      <c r="O62" s="44">
        <f>SUM(O60:O61)</f>
        <v>4000000</v>
      </c>
    </row>
    <row r="67" spans="14:15">
      <c r="N67">
        <f t="shared" ref="N67" si="3">N56*N66</f>
        <v>0</v>
      </c>
    </row>
    <row r="72" spans="14:15">
      <c r="O72" s="158"/>
    </row>
    <row r="73" spans="14:15">
      <c r="O73" s="157"/>
    </row>
  </sheetData>
  <mergeCells count="53">
    <mergeCell ref="M52:M55"/>
    <mergeCell ref="N52:N55"/>
    <mergeCell ref="J43:J51"/>
    <mergeCell ref="J52:J55"/>
    <mergeCell ref="K52:K55"/>
    <mergeCell ref="A52:A55"/>
    <mergeCell ref="C52:C55"/>
    <mergeCell ref="D52:D55"/>
    <mergeCell ref="E52:E55"/>
    <mergeCell ref="F52:F55"/>
    <mergeCell ref="G52:G55"/>
    <mergeCell ref="H43:H51"/>
    <mergeCell ref="I43:I51"/>
    <mergeCell ref="K43:K51"/>
    <mergeCell ref="L43:L51"/>
    <mergeCell ref="H52:H55"/>
    <mergeCell ref="I52:I55"/>
    <mergeCell ref="L52:L55"/>
    <mergeCell ref="D25:D32"/>
    <mergeCell ref="M43:M51"/>
    <mergeCell ref="N43:N51"/>
    <mergeCell ref="A43:A51"/>
    <mergeCell ref="C43:C51"/>
    <mergeCell ref="D43:D51"/>
    <mergeCell ref="E43:E51"/>
    <mergeCell ref="F43:F51"/>
    <mergeCell ref="G43:G51"/>
    <mergeCell ref="H14:H19"/>
    <mergeCell ref="I14:I19"/>
    <mergeCell ref="N14:N19"/>
    <mergeCell ref="A20:A23"/>
    <mergeCell ref="C20:C23"/>
    <mergeCell ref="D20:D23"/>
    <mergeCell ref="E20:E23"/>
    <mergeCell ref="F20:F23"/>
    <mergeCell ref="I20:I23"/>
    <mergeCell ref="N20:N23"/>
    <mergeCell ref="A14:A19"/>
    <mergeCell ref="C14:C19"/>
    <mergeCell ref="D14:D19"/>
    <mergeCell ref="E14:E19"/>
    <mergeCell ref="F14:F19"/>
    <mergeCell ref="N5:N8"/>
    <mergeCell ref="A9:A13"/>
    <mergeCell ref="C9:C13"/>
    <mergeCell ref="D9:D13"/>
    <mergeCell ref="N9:N13"/>
    <mergeCell ref="D5:D8"/>
    <mergeCell ref="A3:A4"/>
    <mergeCell ref="B3:B4"/>
    <mergeCell ref="C3:C4"/>
    <mergeCell ref="A5:A8"/>
    <mergeCell ref="C5:C8"/>
  </mergeCells>
  <dataValidations count="1">
    <dataValidation type="list" allowBlank="1" showInputMessage="1" showErrorMessage="1" sqref="D2:N2" xr:uid="{06E6328D-4AB3-1A4E-806B-995B0EC62201}">
      <formula1>"Sr1, Sr2, Of1, Of2"</formula1>
    </dataValidation>
  </dataValidations>
  <pageMargins left="0.7" right="0.7" top="0.75" bottom="0.75" header="0.3" footer="0.3"/>
  <pageSetup paperSize="9" scale="5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28A1-FE1A-4850-A706-77F66B823A5E}">
  <dimension ref="B3:J12"/>
  <sheetViews>
    <sheetView workbookViewId="0">
      <selection activeCell="I15" sqref="I15"/>
    </sheetView>
  </sheetViews>
  <sheetFormatPr defaultColWidth="8.7109375" defaultRowHeight="15"/>
  <cols>
    <col min="1" max="1" width="2.28515625" customWidth="1"/>
    <col min="3" max="3" width="18.140625" customWidth="1"/>
    <col min="4" max="4" width="10" bestFit="1" customWidth="1"/>
    <col min="9" max="9" width="12.140625" customWidth="1"/>
    <col min="10" max="10" width="9.140625" bestFit="1" customWidth="1"/>
  </cols>
  <sheetData>
    <row r="3" spans="2:10" ht="15.75" thickBot="1"/>
    <row r="4" spans="2:10" ht="15.75" thickBot="1">
      <c r="B4" s="89" t="s">
        <v>46</v>
      </c>
      <c r="C4" s="216" t="s">
        <v>147</v>
      </c>
      <c r="D4" s="217"/>
      <c r="E4" s="89"/>
      <c r="F4" s="216" t="s">
        <v>148</v>
      </c>
      <c r="G4" s="217"/>
      <c r="H4" s="90" t="s">
        <v>149</v>
      </c>
      <c r="I4" s="91" t="s">
        <v>150</v>
      </c>
      <c r="J4" s="92" t="s">
        <v>151</v>
      </c>
    </row>
    <row r="5" spans="2:10">
      <c r="B5" s="89"/>
      <c r="C5" s="96" t="s">
        <v>152</v>
      </c>
      <c r="D5" s="99">
        <v>0</v>
      </c>
      <c r="E5" s="89"/>
      <c r="F5" s="93" t="s">
        <v>46</v>
      </c>
      <c r="G5" s="94">
        <v>2500</v>
      </c>
      <c r="H5" s="94">
        <v>0</v>
      </c>
      <c r="I5" s="94">
        <v>0</v>
      </c>
      <c r="J5" s="95">
        <f>G5*H5*I5</f>
        <v>0</v>
      </c>
    </row>
    <row r="6" spans="2:10">
      <c r="B6" s="89"/>
      <c r="C6" s="96" t="s">
        <v>153</v>
      </c>
      <c r="D6" s="99">
        <v>0</v>
      </c>
      <c r="E6" s="89"/>
      <c r="F6" s="96" t="s">
        <v>154</v>
      </c>
      <c r="G6" s="97">
        <v>2500</v>
      </c>
      <c r="H6" s="97">
        <v>0</v>
      </c>
      <c r="I6" s="97">
        <v>0</v>
      </c>
      <c r="J6" s="98">
        <f t="shared" ref="J6:J7" si="0">G6*H6*I6</f>
        <v>0</v>
      </c>
    </row>
    <row r="7" spans="2:10" ht="15.75" thickBot="1">
      <c r="B7" s="89"/>
      <c r="C7" s="102" t="s">
        <v>155</v>
      </c>
      <c r="D7" s="107"/>
      <c r="E7" s="89"/>
      <c r="F7" s="96" t="s">
        <v>50</v>
      </c>
      <c r="G7" s="97">
        <v>600</v>
      </c>
      <c r="H7" s="97">
        <v>0</v>
      </c>
      <c r="I7" s="100">
        <v>0</v>
      </c>
      <c r="J7" s="101">
        <f t="shared" si="0"/>
        <v>0</v>
      </c>
    </row>
    <row r="8" spans="2:10" ht="15.75" thickBot="1">
      <c r="B8" s="89"/>
      <c r="C8" s="108" t="s">
        <v>42</v>
      </c>
      <c r="D8" s="109">
        <f>SUM(D5:D7)</f>
        <v>0</v>
      </c>
      <c r="E8" s="89"/>
      <c r="F8" s="102"/>
      <c r="G8" s="103"/>
      <c r="H8" s="104"/>
      <c r="I8" s="105" t="s">
        <v>49</v>
      </c>
      <c r="J8" s="106">
        <f>SUM(J5:J7)</f>
        <v>0</v>
      </c>
    </row>
    <row r="9" spans="2:10">
      <c r="B9" s="89"/>
      <c r="E9" s="89"/>
      <c r="F9" s="89"/>
      <c r="G9" s="89"/>
      <c r="H9" s="89"/>
      <c r="I9" s="89"/>
      <c r="J9" s="89"/>
    </row>
    <row r="10" spans="2:10">
      <c r="B10" s="89"/>
      <c r="E10" s="89"/>
      <c r="F10" s="89"/>
      <c r="G10" s="89"/>
      <c r="H10" s="89"/>
      <c r="I10" s="89"/>
      <c r="J10" s="89"/>
    </row>
    <row r="11" spans="2:10">
      <c r="B11" s="89"/>
      <c r="E11" s="89"/>
      <c r="F11" s="89"/>
      <c r="G11" s="89"/>
      <c r="H11" s="89"/>
      <c r="I11" s="89"/>
      <c r="J11" s="89"/>
    </row>
    <row r="12" spans="2:10">
      <c r="B12" s="89"/>
      <c r="E12" s="89"/>
      <c r="F12" s="89"/>
      <c r="G12" s="89"/>
      <c r="H12" s="89"/>
      <c r="I12" s="89"/>
      <c r="J12" s="89"/>
    </row>
  </sheetData>
  <mergeCells count="2">
    <mergeCell ref="F4:G4"/>
    <mergeCell ref="C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C625-4FA4-4467-B92A-5A69D6344560}">
  <sheetPr>
    <tabColor rgb="FF92D050"/>
    <outlinePr summaryRight="0"/>
  </sheetPr>
  <dimension ref="A1:AX2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K29" sqref="K29"/>
    </sheetView>
  </sheetViews>
  <sheetFormatPr defaultColWidth="8.7109375" defaultRowHeight="12.75"/>
  <cols>
    <col min="1" max="1" width="8.7109375" style="111" customWidth="1"/>
    <col min="2" max="2" width="38.7109375" style="112" customWidth="1"/>
    <col min="3" max="50" width="4.28515625" style="111" customWidth="1"/>
    <col min="51" max="102" width="1.28515625" style="111" customWidth="1"/>
    <col min="103" max="16384" width="8.7109375" style="111"/>
  </cols>
  <sheetData>
    <row r="1" spans="1:50" ht="15">
      <c r="A1" s="221" t="s">
        <v>185</v>
      </c>
      <c r="B1" s="222"/>
      <c r="C1" s="223">
        <v>46204</v>
      </c>
      <c r="D1" s="219"/>
      <c r="E1" s="219"/>
      <c r="F1" s="220"/>
      <c r="G1" s="218">
        <v>46235</v>
      </c>
      <c r="H1" s="219"/>
      <c r="I1" s="219"/>
      <c r="J1" s="220"/>
      <c r="K1" s="223">
        <v>46266</v>
      </c>
      <c r="L1" s="219"/>
      <c r="M1" s="219"/>
      <c r="N1" s="220"/>
      <c r="O1" s="218">
        <v>46296</v>
      </c>
      <c r="P1" s="219"/>
      <c r="Q1" s="219"/>
      <c r="R1" s="220"/>
      <c r="S1" s="223">
        <v>46327</v>
      </c>
      <c r="T1" s="219"/>
      <c r="U1" s="219"/>
      <c r="V1" s="220"/>
      <c r="W1" s="218">
        <v>46357</v>
      </c>
      <c r="X1" s="219"/>
      <c r="Y1" s="219"/>
      <c r="Z1" s="220"/>
      <c r="AA1" s="223">
        <v>46388</v>
      </c>
      <c r="AB1" s="219"/>
      <c r="AC1" s="219"/>
      <c r="AD1" s="220"/>
      <c r="AE1" s="218">
        <v>46419</v>
      </c>
      <c r="AF1" s="219"/>
      <c r="AG1" s="219"/>
      <c r="AH1" s="220"/>
      <c r="AI1" s="223">
        <v>46447</v>
      </c>
      <c r="AJ1" s="219"/>
      <c r="AK1" s="219"/>
      <c r="AL1" s="220"/>
      <c r="AM1" s="218">
        <v>46478</v>
      </c>
      <c r="AN1" s="219"/>
      <c r="AO1" s="219"/>
      <c r="AP1" s="220"/>
      <c r="AQ1" s="223">
        <v>46508</v>
      </c>
      <c r="AR1" s="219"/>
      <c r="AS1" s="219"/>
      <c r="AT1" s="220"/>
      <c r="AU1" s="218">
        <v>46539</v>
      </c>
      <c r="AV1" s="219"/>
      <c r="AW1" s="219"/>
      <c r="AX1" s="220"/>
    </row>
    <row r="2" spans="1:50" ht="15">
      <c r="A2" s="159" t="s">
        <v>156</v>
      </c>
      <c r="B2" s="160" t="s">
        <v>157</v>
      </c>
      <c r="C2" s="173" t="s">
        <v>158</v>
      </c>
      <c r="D2" s="173" t="s">
        <v>159</v>
      </c>
      <c r="E2" s="173" t="s">
        <v>160</v>
      </c>
      <c r="F2" s="173" t="s">
        <v>161</v>
      </c>
      <c r="G2" s="173" t="s">
        <v>158</v>
      </c>
      <c r="H2" s="173" t="s">
        <v>159</v>
      </c>
      <c r="I2" s="173" t="s">
        <v>160</v>
      </c>
      <c r="J2" s="173" t="s">
        <v>161</v>
      </c>
      <c r="K2" s="173" t="s">
        <v>158</v>
      </c>
      <c r="L2" s="173" t="s">
        <v>159</v>
      </c>
      <c r="M2" s="173" t="s">
        <v>160</v>
      </c>
      <c r="N2" s="173" t="s">
        <v>161</v>
      </c>
      <c r="O2" s="177" t="s">
        <v>158</v>
      </c>
      <c r="P2" s="177" t="s">
        <v>159</v>
      </c>
      <c r="Q2" s="177" t="s">
        <v>160</v>
      </c>
      <c r="R2" s="177" t="s">
        <v>161</v>
      </c>
      <c r="S2" s="177" t="s">
        <v>158</v>
      </c>
      <c r="T2" s="177" t="s">
        <v>159</v>
      </c>
      <c r="U2" s="177" t="s">
        <v>160</v>
      </c>
      <c r="V2" s="177" t="s">
        <v>161</v>
      </c>
      <c r="W2" s="177" t="s">
        <v>158</v>
      </c>
      <c r="X2" s="177" t="s">
        <v>159</v>
      </c>
      <c r="Y2" s="177" t="s">
        <v>160</v>
      </c>
      <c r="Z2" s="177" t="s">
        <v>161</v>
      </c>
      <c r="AA2" s="177" t="s">
        <v>158</v>
      </c>
      <c r="AB2" s="177" t="s">
        <v>159</v>
      </c>
      <c r="AC2" s="177" t="s">
        <v>160</v>
      </c>
      <c r="AD2" s="177" t="s">
        <v>161</v>
      </c>
      <c r="AE2" s="177" t="s">
        <v>158</v>
      </c>
      <c r="AF2" s="177" t="s">
        <v>159</v>
      </c>
      <c r="AG2" s="177" t="s">
        <v>160</v>
      </c>
      <c r="AH2" s="177" t="s">
        <v>161</v>
      </c>
      <c r="AI2" s="177" t="s">
        <v>158</v>
      </c>
      <c r="AJ2" s="177" t="s">
        <v>159</v>
      </c>
      <c r="AK2" s="177" t="s">
        <v>160</v>
      </c>
      <c r="AL2" s="177" t="s">
        <v>161</v>
      </c>
      <c r="AM2" s="177" t="s">
        <v>158</v>
      </c>
      <c r="AN2" s="177" t="s">
        <v>159</v>
      </c>
      <c r="AO2" s="177" t="s">
        <v>160</v>
      </c>
      <c r="AP2" s="177" t="s">
        <v>161</v>
      </c>
      <c r="AQ2" s="177" t="s">
        <v>158</v>
      </c>
      <c r="AR2" s="177" t="s">
        <v>159</v>
      </c>
      <c r="AS2" s="177" t="s">
        <v>160</v>
      </c>
      <c r="AT2" s="177" t="s">
        <v>161</v>
      </c>
      <c r="AU2" s="177" t="s">
        <v>158</v>
      </c>
      <c r="AV2" s="177" t="s">
        <v>159</v>
      </c>
      <c r="AW2" s="177" t="s">
        <v>160</v>
      </c>
      <c r="AX2" s="177" t="s">
        <v>161</v>
      </c>
    </row>
    <row r="3" spans="1:50" ht="15">
      <c r="A3" s="161">
        <v>1</v>
      </c>
      <c r="B3" s="162" t="s">
        <v>162</v>
      </c>
      <c r="C3" s="174"/>
      <c r="D3" s="174"/>
      <c r="E3" s="175"/>
      <c r="F3" s="175"/>
      <c r="G3" s="175"/>
      <c r="H3" s="175"/>
      <c r="I3" s="175"/>
      <c r="J3" s="175"/>
      <c r="K3" s="175"/>
      <c r="L3" s="175"/>
      <c r="M3" s="175"/>
      <c r="N3" s="178"/>
      <c r="O3" s="179"/>
      <c r="P3" s="179"/>
      <c r="Q3" s="179"/>
      <c r="R3" s="179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</row>
    <row r="4" spans="1:50" ht="15">
      <c r="A4" s="161">
        <v>2</v>
      </c>
      <c r="B4" s="168" t="s">
        <v>163</v>
      </c>
      <c r="C4" s="175"/>
      <c r="D4" s="174"/>
      <c r="E4" s="175"/>
      <c r="F4" s="175"/>
      <c r="G4" s="175"/>
      <c r="H4" s="175"/>
      <c r="I4" s="175"/>
      <c r="J4" s="175"/>
      <c r="K4" s="175"/>
      <c r="L4" s="175"/>
      <c r="M4" s="175"/>
      <c r="N4" s="178"/>
      <c r="O4" s="179"/>
      <c r="P4" s="179"/>
      <c r="Q4" s="179"/>
      <c r="R4" s="179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</row>
    <row r="5" spans="1:50" ht="15">
      <c r="A5" s="161">
        <v>3</v>
      </c>
      <c r="B5" s="163" t="s">
        <v>164</v>
      </c>
      <c r="C5" s="176"/>
      <c r="D5" s="174"/>
      <c r="E5" s="174"/>
      <c r="F5" s="174"/>
      <c r="G5" s="175"/>
      <c r="H5" s="175"/>
      <c r="I5" s="175"/>
      <c r="J5" s="175"/>
      <c r="K5" s="175"/>
      <c r="L5" s="175"/>
      <c r="M5" s="175"/>
      <c r="N5" s="181"/>
      <c r="O5" s="182"/>
      <c r="P5" s="182"/>
      <c r="Q5" s="182"/>
      <c r="R5" s="182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</row>
    <row r="6" spans="1:50" ht="15">
      <c r="A6" s="161">
        <v>4</v>
      </c>
      <c r="B6" s="163" t="s">
        <v>165</v>
      </c>
      <c r="C6" s="176"/>
      <c r="D6" s="176"/>
      <c r="E6" s="174"/>
      <c r="F6" s="174"/>
      <c r="G6" s="174"/>
      <c r="H6" s="174"/>
      <c r="I6" s="174"/>
      <c r="J6" s="174"/>
      <c r="K6" s="174"/>
      <c r="L6" s="174"/>
      <c r="M6" s="174"/>
      <c r="N6" s="178"/>
      <c r="O6" s="182"/>
      <c r="P6" s="182"/>
      <c r="Q6" s="182"/>
      <c r="R6" s="182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</row>
    <row r="7" spans="1:50" ht="15">
      <c r="A7" s="161">
        <v>5</v>
      </c>
      <c r="B7" s="164" t="s">
        <v>166</v>
      </c>
      <c r="C7" s="176"/>
      <c r="D7" s="176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80"/>
      <c r="AP7" s="180"/>
      <c r="AQ7" s="180"/>
      <c r="AR7" s="180"/>
      <c r="AS7" s="180"/>
      <c r="AT7" s="180"/>
      <c r="AU7" s="180"/>
      <c r="AV7" s="180"/>
      <c r="AW7" s="180"/>
      <c r="AX7" s="180"/>
    </row>
    <row r="8" spans="1:50" ht="15">
      <c r="A8" s="161">
        <v>6</v>
      </c>
      <c r="B8" s="163" t="s">
        <v>167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224" t="s">
        <v>168</v>
      </c>
      <c r="Q8" s="183"/>
      <c r="R8" s="184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2"/>
      <c r="AD8" s="176"/>
      <c r="AE8" s="176"/>
      <c r="AF8" s="176"/>
      <c r="AG8" s="176"/>
      <c r="AH8" s="176"/>
      <c r="AI8" s="176"/>
      <c r="AJ8" s="176"/>
      <c r="AK8" s="176"/>
      <c r="AL8" s="176"/>
      <c r="AM8" s="224" t="s">
        <v>169</v>
      </c>
      <c r="AN8" s="225"/>
      <c r="AO8" s="238"/>
      <c r="AP8" s="229"/>
      <c r="AQ8" s="229"/>
      <c r="AR8" s="227"/>
      <c r="AS8" s="227"/>
      <c r="AT8" s="227"/>
      <c r="AU8" s="229"/>
      <c r="AV8" s="229"/>
      <c r="AW8" s="227"/>
      <c r="AX8" s="227"/>
    </row>
    <row r="9" spans="1:50" ht="15">
      <c r="A9" s="161">
        <v>7</v>
      </c>
      <c r="B9" s="163" t="s">
        <v>153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224" t="s">
        <v>170</v>
      </c>
      <c r="T9" s="225"/>
      <c r="U9" s="226"/>
      <c r="V9" s="227"/>
      <c r="W9" s="228"/>
      <c r="X9" s="228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228"/>
      <c r="AN9" s="228"/>
      <c r="AO9" s="224" t="s">
        <v>171</v>
      </c>
      <c r="AP9" s="238"/>
      <c r="AQ9" s="229"/>
      <c r="AR9" s="229"/>
      <c r="AS9" s="227"/>
      <c r="AT9" s="227"/>
      <c r="AU9" s="229"/>
      <c r="AV9" s="229"/>
      <c r="AW9" s="227"/>
      <c r="AX9" s="227"/>
    </row>
    <row r="10" spans="1:50" ht="15">
      <c r="A10" s="161">
        <v>8</v>
      </c>
      <c r="B10" s="163" t="s">
        <v>172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80"/>
      <c r="S10" s="229"/>
      <c r="T10" s="229"/>
      <c r="U10" s="230" t="s">
        <v>173</v>
      </c>
      <c r="V10" s="231"/>
      <c r="W10" s="228"/>
      <c r="X10" s="228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228"/>
      <c r="AN10" s="228"/>
      <c r="AO10" s="228"/>
      <c r="AP10" s="228"/>
      <c r="AQ10" s="230" t="s">
        <v>174</v>
      </c>
      <c r="AR10" s="239"/>
      <c r="AS10" s="227"/>
      <c r="AT10" s="227"/>
      <c r="AU10" s="229"/>
      <c r="AV10" s="229"/>
      <c r="AW10" s="227"/>
      <c r="AX10" s="227"/>
    </row>
    <row r="11" spans="1:50" ht="15">
      <c r="A11" s="161">
        <v>9</v>
      </c>
      <c r="B11" s="163" t="s">
        <v>175</v>
      </c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80"/>
      <c r="S11" s="229"/>
      <c r="T11" s="229"/>
      <c r="U11" s="232" t="s">
        <v>176</v>
      </c>
      <c r="V11" s="233"/>
      <c r="W11" s="228"/>
      <c r="X11" s="228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228"/>
      <c r="AN11" s="228"/>
      <c r="AO11" s="228"/>
      <c r="AP11" s="228"/>
      <c r="AQ11" s="232" t="s">
        <v>177</v>
      </c>
      <c r="AR11" s="240"/>
      <c r="AS11" s="227"/>
      <c r="AT11" s="227"/>
      <c r="AU11" s="229"/>
      <c r="AV11" s="229"/>
      <c r="AW11" s="227"/>
      <c r="AX11" s="227"/>
    </row>
    <row r="12" spans="1:50" ht="15">
      <c r="A12" s="161">
        <v>10</v>
      </c>
      <c r="B12" s="163" t="s">
        <v>183</v>
      </c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80"/>
      <c r="S12" s="229"/>
      <c r="T12" s="229"/>
      <c r="U12" s="229"/>
      <c r="V12" s="229"/>
      <c r="W12" s="234" t="s">
        <v>184</v>
      </c>
      <c r="X12" s="235"/>
      <c r="Y12" s="176"/>
      <c r="Z12" s="176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229"/>
      <c r="AN12" s="229"/>
      <c r="AO12" s="229"/>
      <c r="AP12" s="229"/>
      <c r="AQ12" s="229"/>
      <c r="AR12" s="229"/>
      <c r="AS12" s="227"/>
      <c r="AT12" s="227"/>
      <c r="AU12" s="229"/>
      <c r="AV12" s="229"/>
      <c r="AW12" s="227"/>
      <c r="AX12" s="227"/>
    </row>
    <row r="13" spans="1:50" ht="15">
      <c r="A13" s="161">
        <v>11</v>
      </c>
      <c r="B13" s="163" t="s">
        <v>178</v>
      </c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80"/>
      <c r="S13" s="229"/>
      <c r="T13" s="229"/>
      <c r="U13" s="236" t="s">
        <v>179</v>
      </c>
      <c r="V13" s="237"/>
      <c r="W13" s="228"/>
      <c r="X13" s="228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228"/>
      <c r="AN13" s="228"/>
      <c r="AO13" s="228"/>
      <c r="AP13" s="228"/>
      <c r="AQ13" s="236" t="s">
        <v>180</v>
      </c>
      <c r="AR13" s="241"/>
      <c r="AS13" s="227"/>
      <c r="AT13" s="227"/>
      <c r="AU13" s="229"/>
      <c r="AV13" s="229"/>
      <c r="AW13" s="227"/>
      <c r="AX13" s="227"/>
    </row>
    <row r="14" spans="1:50" ht="15">
      <c r="A14" s="161">
        <v>12</v>
      </c>
      <c r="B14" s="163" t="s">
        <v>181</v>
      </c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80"/>
      <c r="S14" s="229"/>
      <c r="T14" s="229"/>
      <c r="U14" s="228"/>
      <c r="V14" s="228"/>
      <c r="W14" s="228"/>
      <c r="X14" s="228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228"/>
      <c r="AN14" s="228"/>
      <c r="AO14" s="228"/>
      <c r="AP14" s="228"/>
      <c r="AQ14" s="228"/>
      <c r="AR14" s="228"/>
      <c r="AS14" s="242" t="s">
        <v>181</v>
      </c>
      <c r="AT14" s="243"/>
      <c r="AU14" s="243"/>
      <c r="AV14" s="244"/>
      <c r="AW14" s="227"/>
      <c r="AX14" s="227"/>
    </row>
    <row r="15" spans="1:50" ht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50">
      <c r="B16" s="110" t="s">
        <v>182</v>
      </c>
    </row>
    <row r="27" spans="2:2">
      <c r="B27" s="111"/>
    </row>
    <row r="28" spans="2:2">
      <c r="B28" s="111"/>
    </row>
  </sheetData>
  <mergeCells count="15">
    <mergeCell ref="W12:X12"/>
    <mergeCell ref="AI1:AL1"/>
    <mergeCell ref="AM1:AP1"/>
    <mergeCell ref="S1:V1"/>
    <mergeCell ref="W1:Z1"/>
    <mergeCell ref="AA1:AD1"/>
    <mergeCell ref="AE1:AH1"/>
    <mergeCell ref="A1:B1"/>
    <mergeCell ref="C1:F1"/>
    <mergeCell ref="G1:J1"/>
    <mergeCell ref="K1:N1"/>
    <mergeCell ref="O1:R1"/>
    <mergeCell ref="AQ1:AT1"/>
    <mergeCell ref="AU1:AX1"/>
    <mergeCell ref="AS14:AV14"/>
  </mergeCells>
  <phoneticPr fontId="29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3" ma:contentTypeDescription="Create a new document." ma:contentTypeScope="" ma:versionID="722d95d4363024040424463134520e7a">
  <xsd:schema xmlns:xsd="http://www.w3.org/2001/XMLSchema" xmlns:xs="http://www.w3.org/2001/XMLSchema" xmlns:p="http://schemas.microsoft.com/office/2006/metadata/properties" xmlns:ns2="0d60e298-e065-4f1a-805f-2baba955768a" targetNamespace="http://schemas.microsoft.com/office/2006/metadata/properties" ma:root="true" ma:fieldsID="eee0e4e90eab3d4101eac401d0ef5437" ns2:_="">
    <xsd:import namespace="0d60e298-e065-4f1a-805f-2baba9557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0e298-e065-4f1a-805f-2baba9557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88A01D-3EEA-4557-B2D7-9D28D117EA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3B68FB-0CD3-4C34-825F-A9E78F4C6EBB}">
  <ds:schemaRefs>
    <ds:schemaRef ds:uri="http://schemas.microsoft.com/office/2006/metadata/properties"/>
    <ds:schemaRef ds:uri="http://schemas.microsoft.com/office/infopath/2007/PartnerControls"/>
    <ds:schemaRef ds:uri="970f9921-72a7-4897-8cd2-dfc8bbc67876"/>
    <ds:schemaRef ds:uri="eed6edd6-8bb5-4795-8dc2-94a15ec7de9e"/>
  </ds:schemaRefs>
</ds:datastoreItem>
</file>

<file path=customXml/itemProps3.xml><?xml version="1.0" encoding="utf-8"?>
<ds:datastoreItem xmlns:ds="http://schemas.openxmlformats.org/officeDocument/2006/customXml" ds:itemID="{AEEF66F6-AB79-432F-807C-A60C0B53E5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Resource</vt:lpstr>
      <vt:lpstr>Total</vt:lpstr>
      <vt:lpstr>PTTDigital_Manday</vt:lpstr>
      <vt:lpstr>Travel Cost</vt:lpstr>
      <vt:lpstr>Project Timeline</vt:lpstr>
    </vt:vector>
  </TitlesOfParts>
  <Manager/>
  <Company>PTTICT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Wannika Jipibhop</dc:creator>
  <cp:keywords/>
  <dc:description/>
  <cp:lastModifiedBy>Pongpat Tunchuvong</cp:lastModifiedBy>
  <cp:revision/>
  <dcterms:created xsi:type="dcterms:W3CDTF">2014-03-05T16:20:38Z</dcterms:created>
  <dcterms:modified xsi:type="dcterms:W3CDTF">2026-06-15T02:48:57Z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</Properties>
</file>