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pttgrp-my.sharepoint.com/personal/jirathitigorn_m_pttdigital_com/Documents/jirathitigorn.m/Desktop/PTT Digital/04 Project/01 PTT/PTT NewCTRM - dual run SMT &amp; OT/"/>
    </mc:Choice>
  </mc:AlternateContent>
  <xr:revisionPtr revIDLastSave="917" documentId="13_ncr:1_{DF03D2BB-74F1-49E1-B350-F2EE28EC13A2}" xr6:coauthVersionLast="47" xr6:coauthVersionMax="47" xr10:uidLastSave="{7DE0C64B-263E-48CA-AD70-1D97616D79B3}"/>
  <bookViews>
    <workbookView xWindow="19090" yWindow="-110" windowWidth="19420" windowHeight="10300" xr2:uid="{00000000-000D-0000-FFFF-FFFF00000000}"/>
  </bookViews>
  <sheets>
    <sheet name="CostSheet" sheetId="39" r:id="rId1"/>
    <sheet name="Timeline" sheetId="44" r:id="rId2"/>
    <sheet name="Deliverable &amp; Installment" sheetId="35" r:id="rId3"/>
  </sheets>
  <definedNames>
    <definedName name="_xlnm._FilterDatabase" localSheetId="0" hidden="1">CostSheet!$A$2:$H$29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6" i="39" l="1"/>
  <c r="AB6" i="39" s="1"/>
  <c r="X17" i="39" l="1"/>
  <c r="AB17" i="39" s="1"/>
  <c r="X18" i="39"/>
  <c r="AB18" i="39" s="1"/>
  <c r="X19" i="39"/>
  <c r="AB19" i="39" s="1"/>
  <c r="X20" i="39"/>
  <c r="AB20" i="39" s="1"/>
  <c r="X29" i="39" l="1"/>
  <c r="AB29" i="39" l="1"/>
  <c r="Z29" i="39"/>
  <c r="W13" i="39" l="1"/>
  <c r="X13" i="39" s="1"/>
  <c r="AB13" i="39" s="1"/>
  <c r="X28" i="39"/>
  <c r="X25" i="39"/>
  <c r="X21" i="39"/>
  <c r="X12" i="39"/>
  <c r="X16" i="39"/>
  <c r="AB16" i="39" s="1"/>
  <c r="X15" i="39"/>
  <c r="Z15" i="39" s="1"/>
  <c r="Z13" i="39" l="1"/>
  <c r="Z28" i="39"/>
  <c r="AB28" i="39"/>
  <c r="AB25" i="39"/>
  <c r="Z25" i="39"/>
  <c r="AB21" i="39"/>
  <c r="Z21" i="39"/>
  <c r="AB12" i="39"/>
  <c r="Z12" i="39"/>
  <c r="AB15" i="39"/>
  <c r="Z16" i="39"/>
  <c r="X4" i="39" l="1"/>
  <c r="AB4" i="39" s="1"/>
  <c r="AB30" i="39"/>
  <c r="X27" i="39"/>
  <c r="AB27" i="39" s="1"/>
  <c r="X26" i="39"/>
  <c r="X24" i="39"/>
  <c r="Z24" i="39" s="1"/>
  <c r="X22" i="39"/>
  <c r="X23" i="39"/>
  <c r="X14" i="39"/>
  <c r="X11" i="39"/>
  <c r="X10" i="39"/>
  <c r="Z10" i="39" s="1"/>
  <c r="X9" i="39"/>
  <c r="X8" i="39"/>
  <c r="AB8" i="39" s="1"/>
  <c r="X7" i="39"/>
  <c r="X5" i="39"/>
  <c r="AB7" i="39" l="1"/>
  <c r="Z7" i="39"/>
  <c r="X31" i="39"/>
  <c r="Z4" i="39"/>
  <c r="AB11" i="39"/>
  <c r="Z11" i="39"/>
  <c r="Z23" i="39"/>
  <c r="AB23" i="39"/>
  <c r="AB22" i="39"/>
  <c r="Z22" i="39"/>
  <c r="AB9" i="39"/>
  <c r="Z9" i="39"/>
  <c r="AB5" i="39"/>
  <c r="Z5" i="39"/>
  <c r="Z14" i="39"/>
  <c r="AB14" i="39"/>
  <c r="AB26" i="39"/>
  <c r="Z26" i="39"/>
  <c r="Z8" i="39"/>
  <c r="AB10" i="39"/>
  <c r="AB24" i="39"/>
  <c r="Z6" i="39"/>
  <c r="Z27" i="39"/>
  <c r="AB31" i="39" l="1"/>
  <c r="AB33" i="39" s="1"/>
  <c r="AB34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Morradok Thanomsub</author>
  </authors>
  <commentList>
    <comment ref="A5" authorId="0" shapeId="0" xr:uid="{131AA7D8-868F-4166-BB09-34EAFB085751}">
      <text>
        <r>
          <rPr>
            <b/>
            <sz val="9"/>
            <color indexed="81"/>
            <rFont val="Tahoma"/>
            <family val="2"/>
          </rPr>
          <t>T1 Account &amp; Procurment</t>
        </r>
      </text>
    </comment>
    <comment ref="A6" authorId="0" shapeId="0" xr:uid="{C90F73AA-C745-48FE-BC61-AA3C72C545AB}">
      <text>
        <r>
          <rPr>
            <b/>
            <sz val="9"/>
            <color indexed="81"/>
            <rFont val="Tahoma"/>
            <family val="2"/>
          </rPr>
          <t>T1 Account &amp; Procurment</t>
        </r>
      </text>
    </comment>
    <comment ref="A21" authorId="0" shapeId="0" xr:uid="{75A6CF12-758F-41FB-B810-7C5D2E525B26}">
      <text>
        <r>
          <rPr>
            <b/>
            <sz val="9"/>
            <color indexed="81"/>
            <rFont val="Tahoma"/>
            <family val="2"/>
          </rPr>
          <t>T1 Account &amp; Procurment</t>
        </r>
      </text>
    </comment>
  </commentList>
</comments>
</file>

<file path=xl/sharedStrings.xml><?xml version="1.0" encoding="utf-8"?>
<sst xmlns="http://schemas.openxmlformats.org/spreadsheetml/2006/main" count="218" uniqueCount="123">
  <si>
    <t>Position</t>
  </si>
  <si>
    <t>Resource</t>
  </si>
  <si>
    <t>Cost per Unit</t>
  </si>
  <si>
    <t>Team</t>
  </si>
  <si>
    <t>Senior Officer</t>
  </si>
  <si>
    <t>Role</t>
  </si>
  <si>
    <t>AOU/O</t>
  </si>
  <si>
    <t>Total</t>
  </si>
  <si>
    <t>Total Revenue</t>
  </si>
  <si>
    <t>Sale Price per Unit</t>
  </si>
  <si>
    <t>PTT Digital</t>
  </si>
  <si>
    <t>ATA/B</t>
  </si>
  <si>
    <t>Aug</t>
  </si>
  <si>
    <t>Sep</t>
  </si>
  <si>
    <t>Oct</t>
  </si>
  <si>
    <t>Nov</t>
  </si>
  <si>
    <t>Jul</t>
  </si>
  <si>
    <t>Dec</t>
  </si>
  <si>
    <t>Jan</t>
  </si>
  <si>
    <t>Feb</t>
  </si>
  <si>
    <t>Mar</t>
  </si>
  <si>
    <t>#</t>
  </si>
  <si>
    <t>Base</t>
  </si>
  <si>
    <t xml:space="preserve">Name </t>
  </si>
  <si>
    <t>TOTAL</t>
  </si>
  <si>
    <t>PT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</si>
  <si>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</si>
  <si>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</si>
  <si>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</si>
  <si>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</si>
  <si>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</si>
  <si>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</si>
  <si>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</si>
  <si>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</si>
  <si>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</si>
  <si>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</si>
  <si>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</si>
  <si>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Apr</t>
  </si>
  <si>
    <t>May</t>
  </si>
  <si>
    <t>Jun</t>
  </si>
  <si>
    <t>Total Cost
(THB)</t>
  </si>
  <si>
    <t>Project Manager (PMO)</t>
  </si>
  <si>
    <t>M12</t>
  </si>
  <si>
    <t>M13</t>
  </si>
  <si>
    <t>HeadCount</t>
  </si>
  <si>
    <t>IFM/O</t>
  </si>
  <si>
    <t>GRAND Total</t>
  </si>
  <si>
    <t>Deliverable</t>
  </si>
  <si>
    <t>Thaninnut Siriphapsophon</t>
  </si>
  <si>
    <t>Atawee Yongchooyot</t>
  </si>
  <si>
    <t>Suriya Boonaramrueng</t>
  </si>
  <si>
    <t>Kanoksak Tameeruksa</t>
  </si>
  <si>
    <t>Kadesuda Tantisaereerat</t>
  </si>
  <si>
    <t>Suchawalee Nandee</t>
  </si>
  <si>
    <t>Officer</t>
  </si>
  <si>
    <t xml:space="preserve">BA - FO-Physical </t>
  </si>
  <si>
    <t>TC</t>
  </si>
  <si>
    <t>Legacy - Data Lake</t>
  </si>
  <si>
    <t>Legacy - Salesforce (Credit One)</t>
  </si>
  <si>
    <t xml:space="preserve">Legacy - Memorandum </t>
  </si>
  <si>
    <t xml:space="preserve">Legacy - Credit Bureau </t>
  </si>
  <si>
    <t>Legacy - MoFi</t>
  </si>
  <si>
    <t>AOU/API</t>
  </si>
  <si>
    <t>Boripan Chatree</t>
  </si>
  <si>
    <t>APR/O</t>
  </si>
  <si>
    <t xml:space="preserve">Akarachai Atakulreka </t>
  </si>
  <si>
    <t xml:space="preserve">Thanawadee Tunrachanchai </t>
  </si>
  <si>
    <t>BA - Mid Office</t>
  </si>
  <si>
    <t>BA - BO-AP, AR</t>
  </si>
  <si>
    <t>BA - BO-Credit</t>
  </si>
  <si>
    <t>BA - FO-Physical Storage</t>
  </si>
  <si>
    <t xml:space="preserve">BA - FO-Derivatives </t>
  </si>
  <si>
    <t>Thanakrit Yimyam</t>
  </si>
  <si>
    <t>Infra. Admin (base on PTT Azure cloud)</t>
  </si>
  <si>
    <t>ATA/S</t>
  </si>
  <si>
    <t xml:space="preserve">Legacy-SMT-SA  </t>
  </si>
  <si>
    <t>Phonthep Jamroenkanokkul</t>
  </si>
  <si>
    <t>Pornchai Kukiatanan</t>
  </si>
  <si>
    <t xml:space="preserve">Functional Lead
BA - FO-Chartering </t>
  </si>
  <si>
    <t>Kavin Iamsila</t>
  </si>
  <si>
    <t xml:space="preserve">Ariya Kluankloi </t>
  </si>
  <si>
    <t>Milestone</t>
  </si>
  <si>
    <t>Deliver within (day)*</t>
  </si>
  <si>
    <t>Total Man-day</t>
  </si>
  <si>
    <t>(1)
SIT</t>
  </si>
  <si>
    <t>1) Project Detail Plan</t>
  </si>
  <si>
    <t>2) Functional Specification (if any)</t>
  </si>
  <si>
    <t>3) SIT Script &amp; Result</t>
  </si>
  <si>
    <t>1) UAT Result</t>
  </si>
  <si>
    <t>1) Functional Specification (if any)</t>
  </si>
  <si>
    <t>2) SIT Script &amp; Result</t>
  </si>
  <si>
    <t>3) UAT Script &amp; Result</t>
  </si>
  <si>
    <t>4) Source Code / Security Scan</t>
  </si>
  <si>
    <t>5) Deployment List</t>
  </si>
  <si>
    <t xml:space="preserve"> Phase 1: Due date is count from the day receiving a purchase order</t>
  </si>
  <si>
    <r>
      <t xml:space="preserve"> </t>
    </r>
    <r>
      <rPr>
        <b/>
        <sz val="12"/>
        <color theme="1"/>
        <rFont val="Calibri"/>
        <family val="2"/>
        <scheme val="minor"/>
      </rPr>
      <t>Phase 2: Due date is count from the day receiving PTT's notice letter to proceed with Phase 2</t>
    </r>
  </si>
  <si>
    <t>Installment (%)</t>
  </si>
  <si>
    <t>Jirathitigorn Maneekord</t>
  </si>
  <si>
    <t>AOU</t>
  </si>
  <si>
    <t>Arithat Netipitchayapong</t>
  </si>
  <si>
    <t>Nawat Sangchot</t>
  </si>
  <si>
    <t>BTRD</t>
  </si>
  <si>
    <t>Jaruayporn Thongudom</t>
  </si>
  <si>
    <t>Thanapol Kuakamjad</t>
  </si>
  <si>
    <t>Sarun Anuchitkittikul</t>
  </si>
  <si>
    <t>Narut Tripopnat</t>
  </si>
  <si>
    <t>Kraisorn Khajornchaisak</t>
  </si>
  <si>
    <t>Amonrat Janfung</t>
  </si>
  <si>
    <t>Legacy - FXBidding</t>
  </si>
  <si>
    <t>Legacy - LCS</t>
  </si>
  <si>
    <t>Legacy - E-Ticket</t>
  </si>
  <si>
    <t>Legacy - SAP Master</t>
  </si>
  <si>
    <t>Legacy - RPA</t>
  </si>
  <si>
    <t>WSO2</t>
  </si>
  <si>
    <t>Phase 2</t>
  </si>
  <si>
    <t>Phase 1</t>
  </si>
  <si>
    <t>(2)
Complete Phase 1</t>
  </si>
  <si>
    <t>(3)
Complete Phase 2</t>
  </si>
  <si>
    <t>2) Regression Test (if any)</t>
  </si>
  <si>
    <t>3) Source Code / Security Scan</t>
  </si>
  <si>
    <t>4) Deployment List</t>
  </si>
  <si>
    <t>4) UAT Scenario</t>
  </si>
  <si>
    <t>Panita Yongyuth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</si>
</sst>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charset val="22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D9F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0" fontId="7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</cellStyleXfs>
  <cellXfs count="116">
    <xf numFmtId="0" fontId="0" fillId="0" borderId="0" xfId="0"/>
    <xf numFmtId="16" fontId="8" fillId="6" borderId="3" xfId="1" applyNumberFormat="1" applyFont="1" applyFill="1" applyBorder="1" applyAlignment="1">
      <alignment horizontal="center" vertical="center"/>
    </xf>
    <xf numFmtId="0" fontId="7" fillId="0" borderId="0" xfId="1" applyAlignment="1">
      <alignment vertical="center"/>
    </xf>
    <xf numFmtId="0" fontId="10" fillId="0" borderId="0" xfId="4" applyAlignment="1">
      <alignment vertical="center"/>
    </xf>
    <xf numFmtId="0" fontId="6" fillId="0" borderId="0" xfId="9"/>
    <xf numFmtId="0" fontId="6" fillId="0" borderId="0" xfId="1" applyFont="1" applyAlignment="1">
      <alignment horizontal="center" vertical="center"/>
    </xf>
    <xf numFmtId="16" fontId="8" fillId="8" borderId="16" xfId="1" applyNumberFormat="1" applyFont="1" applyFill="1" applyBorder="1" applyAlignment="1">
      <alignment horizontal="center" vertical="center"/>
    </xf>
    <xf numFmtId="0" fontId="11" fillId="9" borderId="0" xfId="9" applyFont="1" applyFill="1"/>
    <xf numFmtId="164" fontId="11" fillId="9" borderId="0" xfId="10" applyFont="1" applyFill="1" applyAlignment="1">
      <alignment vertical="center"/>
    </xf>
    <xf numFmtId="16" fontId="8" fillId="8" borderId="22" xfId="1" applyNumberFormat="1" applyFont="1" applyFill="1" applyBorder="1" applyAlignment="1">
      <alignment horizontal="center" vertical="center"/>
    </xf>
    <xf numFmtId="16" fontId="8" fillId="8" borderId="23" xfId="1" applyNumberFormat="1" applyFont="1" applyFill="1" applyBorder="1" applyAlignment="1">
      <alignment horizontal="center" vertical="center"/>
    </xf>
    <xf numFmtId="16" fontId="13" fillId="6" borderId="24" xfId="1" applyNumberFormat="1" applyFont="1" applyFill="1" applyBorder="1" applyAlignment="1">
      <alignment horizontal="center" vertical="center"/>
    </xf>
    <xf numFmtId="16" fontId="8" fillId="8" borderId="25" xfId="1" applyNumberFormat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16" fontId="8" fillId="10" borderId="21" xfId="1" applyNumberFormat="1" applyFont="1" applyFill="1" applyBorder="1" applyAlignment="1">
      <alignment horizontal="center" vertical="center"/>
    </xf>
    <xf numFmtId="16" fontId="8" fillId="10" borderId="29" xfId="1" applyNumberFormat="1" applyFont="1" applyFill="1" applyBorder="1" applyAlignment="1">
      <alignment horizontal="center" vertical="center"/>
    </xf>
    <xf numFmtId="164" fontId="11" fillId="5" borderId="22" xfId="2" applyFont="1" applyFill="1" applyBorder="1" applyAlignment="1">
      <alignment horizontal="center" vertical="center" wrapText="1"/>
    </xf>
    <xf numFmtId="164" fontId="11" fillId="5" borderId="25" xfId="2" applyFont="1" applyFill="1" applyBorder="1" applyAlignment="1">
      <alignment horizontal="center" vertical="center" wrapText="1"/>
    </xf>
    <xf numFmtId="4" fontId="11" fillId="7" borderId="22" xfId="1" applyNumberFormat="1" applyFont="1" applyFill="1" applyBorder="1" applyAlignment="1">
      <alignment horizontal="center" vertical="center"/>
    </xf>
    <xf numFmtId="4" fontId="11" fillId="7" borderId="23" xfId="1" applyNumberFormat="1" applyFont="1" applyFill="1" applyBorder="1" applyAlignment="1">
      <alignment horizontal="center" vertical="center"/>
    </xf>
    <xf numFmtId="0" fontId="15" fillId="0" borderId="0" xfId="4" applyFont="1" applyAlignment="1">
      <alignment vertical="center"/>
    </xf>
    <xf numFmtId="16" fontId="13" fillId="6" borderId="10" xfId="1" applyNumberFormat="1" applyFont="1" applyFill="1" applyBorder="1" applyAlignment="1">
      <alignment horizontal="center" vertical="center"/>
    </xf>
    <xf numFmtId="16" fontId="8" fillId="6" borderId="9" xfId="1" applyNumberFormat="1" applyFont="1" applyFill="1" applyBorder="1" applyAlignment="1">
      <alignment horizontal="center" vertical="center"/>
    </xf>
    <xf numFmtId="16" fontId="8" fillId="6" borderId="0" xfId="1" applyNumberFormat="1" applyFont="1" applyFill="1" applyAlignment="1">
      <alignment horizontal="center" vertical="center"/>
    </xf>
    <xf numFmtId="16" fontId="8" fillId="8" borderId="0" xfId="1" applyNumberFormat="1" applyFont="1" applyFill="1" applyAlignment="1">
      <alignment horizontal="center" vertical="center"/>
    </xf>
    <xf numFmtId="16" fontId="8" fillId="8" borderId="14" xfId="1" applyNumberFormat="1" applyFont="1" applyFill="1" applyBorder="1" applyAlignment="1">
      <alignment horizontal="center" vertical="center"/>
    </xf>
    <xf numFmtId="16" fontId="8" fillId="8" borderId="26" xfId="1" applyNumberFormat="1" applyFont="1" applyFill="1" applyBorder="1" applyAlignment="1">
      <alignment horizontal="center" vertical="center"/>
    </xf>
    <xf numFmtId="16" fontId="8" fillId="10" borderId="0" xfId="1" applyNumberFormat="1" applyFont="1" applyFill="1" applyAlignment="1">
      <alignment horizontal="center" vertical="center"/>
    </xf>
    <xf numFmtId="164" fontId="11" fillId="5" borderId="0" xfId="2" applyFont="1" applyFill="1" applyBorder="1" applyAlignment="1">
      <alignment horizontal="center" vertical="center" wrapText="1"/>
    </xf>
    <xf numFmtId="4" fontId="11" fillId="7" borderId="14" xfId="1" applyNumberFormat="1" applyFont="1" applyFill="1" applyBorder="1" applyAlignment="1">
      <alignment horizontal="center" vertical="center"/>
    </xf>
    <xf numFmtId="4" fontId="11" fillId="7" borderId="26" xfId="1" applyNumberFormat="1" applyFont="1" applyFill="1" applyBorder="1" applyAlignment="1">
      <alignment horizontal="center" vertical="center"/>
    </xf>
    <xf numFmtId="0" fontId="11" fillId="3" borderId="0" xfId="9" applyFont="1" applyFill="1" applyAlignment="1">
      <alignment vertical="center"/>
    </xf>
    <xf numFmtId="165" fontId="11" fillId="3" borderId="0" xfId="2" applyNumberFormat="1" applyFont="1" applyFill="1" applyAlignment="1">
      <alignment vertical="center"/>
    </xf>
    <xf numFmtId="0" fontId="11" fillId="8" borderId="0" xfId="9" applyFont="1" applyFill="1" applyAlignment="1">
      <alignment vertical="center"/>
    </xf>
    <xf numFmtId="164" fontId="11" fillId="8" borderId="0" xfId="10" applyFont="1" applyFill="1" applyAlignment="1">
      <alignment vertical="center"/>
    </xf>
    <xf numFmtId="10" fontId="11" fillId="0" borderId="0" xfId="3" applyNumberFormat="1" applyFont="1" applyAlignment="1">
      <alignment horizontal="center"/>
    </xf>
    <xf numFmtId="0" fontId="15" fillId="0" borderId="0" xfId="9" applyFont="1"/>
    <xf numFmtId="0" fontId="17" fillId="0" borderId="0" xfId="0" applyFont="1"/>
    <xf numFmtId="0" fontId="18" fillId="13" borderId="17" xfId="0" applyFont="1" applyFill="1" applyBorder="1" applyAlignment="1">
      <alignment horizontal="center" vertical="center" wrapText="1"/>
    </xf>
    <xf numFmtId="0" fontId="18" fillId="13" borderId="6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0" fontId="19" fillId="4" borderId="6" xfId="0" applyFont="1" applyFill="1" applyBorder="1" applyAlignment="1">
      <alignment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16" fontId="8" fillId="10" borderId="8" xfId="1" applyNumberFormat="1" applyFont="1" applyFill="1" applyBorder="1" applyAlignment="1">
      <alignment horizontal="center" vertical="center"/>
    </xf>
    <xf numFmtId="16" fontId="8" fillId="8" borderId="32" xfId="1" applyNumberFormat="1" applyFont="1" applyFill="1" applyBorder="1" applyAlignment="1">
      <alignment horizontal="center" vertical="center"/>
    </xf>
    <xf numFmtId="16" fontId="8" fillId="8" borderId="33" xfId="1" applyNumberFormat="1" applyFont="1" applyFill="1" applyBorder="1" applyAlignment="1">
      <alignment horizontal="center" vertical="center"/>
    </xf>
    <xf numFmtId="16" fontId="8" fillId="11" borderId="33" xfId="1" applyNumberFormat="1" applyFont="1" applyFill="1" applyBorder="1" applyAlignment="1">
      <alignment horizontal="center" vertical="center"/>
    </xf>
    <xf numFmtId="16" fontId="8" fillId="8" borderId="2" xfId="1" applyNumberFormat="1" applyFont="1" applyFill="1" applyBorder="1" applyAlignment="1">
      <alignment horizontal="center" vertical="center"/>
    </xf>
    <xf numFmtId="16" fontId="8" fillId="11" borderId="2" xfId="1" applyNumberFormat="1" applyFont="1" applyFill="1" applyBorder="1" applyAlignment="1">
      <alignment horizontal="center" vertical="center"/>
    </xf>
    <xf numFmtId="0" fontId="6" fillId="12" borderId="0" xfId="9" applyFill="1"/>
    <xf numFmtId="0" fontId="6" fillId="12" borderId="15" xfId="9" applyFill="1" applyBorder="1"/>
    <xf numFmtId="164" fontId="5" fillId="0" borderId="14" xfId="10" applyFont="1" applyFill="1" applyBorder="1" applyAlignment="1">
      <alignment vertical="center"/>
    </xf>
    <xf numFmtId="0" fontId="6" fillId="0" borderId="35" xfId="1" applyFont="1" applyBorder="1" applyAlignment="1">
      <alignment horizontal="center" vertical="center"/>
    </xf>
    <xf numFmtId="16" fontId="8" fillId="2" borderId="33" xfId="1" applyNumberFormat="1" applyFont="1" applyFill="1" applyBorder="1" applyAlignment="1">
      <alignment horizontal="center" vertical="center"/>
    </xf>
    <xf numFmtId="16" fontId="8" fillId="2" borderId="2" xfId="1" applyNumberFormat="1" applyFont="1" applyFill="1" applyBorder="1" applyAlignment="1">
      <alignment horizontal="center" vertical="center"/>
    </xf>
    <xf numFmtId="0" fontId="14" fillId="0" borderId="9" xfId="1" applyFont="1" applyBorder="1" applyAlignment="1">
      <alignment vertical="center"/>
    </xf>
    <xf numFmtId="0" fontId="6" fillId="0" borderId="14" xfId="9" applyBorder="1"/>
    <xf numFmtId="0" fontId="14" fillId="0" borderId="0" xfId="4" applyFont="1" applyAlignment="1">
      <alignment vertical="center"/>
    </xf>
    <xf numFmtId="0" fontId="14" fillId="0" borderId="4" xfId="1" applyFont="1" applyBorder="1" applyAlignment="1">
      <alignment horizontal="left" vertical="center"/>
    </xf>
    <xf numFmtId="0" fontId="14" fillId="0" borderId="14" xfId="1" applyFont="1" applyBorder="1" applyAlignment="1">
      <alignment vertical="center"/>
    </xf>
    <xf numFmtId="0" fontId="6" fillId="0" borderId="26" xfId="1" applyFont="1" applyBorder="1" applyAlignment="1">
      <alignment horizontal="center" vertical="top"/>
    </xf>
    <xf numFmtId="0" fontId="14" fillId="0" borderId="0" xfId="1" applyFont="1" applyAlignment="1">
      <alignment vertical="center"/>
    </xf>
    <xf numFmtId="0" fontId="14" fillId="0" borderId="10" xfId="1" applyFont="1" applyBorder="1" applyAlignment="1">
      <alignment vertical="center"/>
    </xf>
    <xf numFmtId="0" fontId="7" fillId="0" borderId="30" xfId="1" applyBorder="1" applyAlignment="1">
      <alignment vertical="center"/>
    </xf>
    <xf numFmtId="43" fontId="5" fillId="0" borderId="0" xfId="1" applyNumberFormat="1" applyFont="1" applyAlignment="1">
      <alignment vertical="center"/>
    </xf>
    <xf numFmtId="164" fontId="6" fillId="0" borderId="14" xfId="10" applyFont="1" applyFill="1" applyBorder="1" applyAlignment="1">
      <alignment vertical="center"/>
    </xf>
    <xf numFmtId="164" fontId="7" fillId="0" borderId="26" xfId="1" applyNumberFormat="1" applyBorder="1" applyAlignment="1">
      <alignment vertical="center"/>
    </xf>
    <xf numFmtId="0" fontId="14" fillId="0" borderId="4" xfId="4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14" fillId="0" borderId="9" xfId="4" applyFont="1" applyBorder="1" applyAlignment="1">
      <alignment vertical="center"/>
    </xf>
    <xf numFmtId="0" fontId="14" fillId="0" borderId="5" xfId="4" applyFont="1" applyBorder="1" applyAlignment="1">
      <alignment vertical="center"/>
    </xf>
    <xf numFmtId="0" fontId="14" fillId="0" borderId="26" xfId="1" applyFont="1" applyBorder="1" applyAlignment="1">
      <alignment horizontal="center" vertical="top"/>
    </xf>
    <xf numFmtId="0" fontId="14" fillId="0" borderId="4" xfId="4" applyFont="1" applyBorder="1" applyAlignment="1">
      <alignment vertical="center"/>
    </xf>
    <xf numFmtId="0" fontId="5" fillId="0" borderId="4" xfId="4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4" xfId="1" applyFont="1" applyBorder="1" applyAlignment="1">
      <alignment horizontal="left" vertical="center"/>
    </xf>
    <xf numFmtId="0" fontId="5" fillId="0" borderId="0" xfId="4" applyFont="1" applyAlignment="1">
      <alignment vertical="center"/>
    </xf>
    <xf numFmtId="0" fontId="4" fillId="0" borderId="14" xfId="1" applyFont="1" applyBorder="1" applyAlignment="1">
      <alignment vertical="center"/>
    </xf>
    <xf numFmtId="0" fontId="5" fillId="0" borderId="26" xfId="1" applyFont="1" applyBorder="1" applyAlignment="1">
      <alignment horizontal="center" vertical="top"/>
    </xf>
    <xf numFmtId="0" fontId="5" fillId="0" borderId="0" xfId="9" applyFont="1"/>
    <xf numFmtId="0" fontId="4" fillId="0" borderId="9" xfId="4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6" fillId="0" borderId="26" xfId="9" applyBorder="1" applyAlignment="1">
      <alignment horizontal="center" vertical="center"/>
    </xf>
    <xf numFmtId="0" fontId="6" fillId="0" borderId="34" xfId="9" applyBorder="1"/>
    <xf numFmtId="0" fontId="3" fillId="0" borderId="0" xfId="9" applyFont="1"/>
    <xf numFmtId="0" fontId="5" fillId="0" borderId="14" xfId="9" applyFont="1" applyBorder="1"/>
    <xf numFmtId="0" fontId="5" fillId="0" borderId="26" xfId="9" applyFont="1" applyBorder="1" applyAlignment="1">
      <alignment horizontal="center" vertical="center"/>
    </xf>
    <xf numFmtId="0" fontId="3" fillId="0" borderId="9" xfId="4" applyFont="1" applyBorder="1" applyAlignment="1">
      <alignment vertical="center"/>
    </xf>
    <xf numFmtId="0" fontId="3" fillId="0" borderId="4" xfId="1" applyFont="1" applyBorder="1" applyAlignment="1">
      <alignment horizontal="left" vertical="center"/>
    </xf>
    <xf numFmtId="0" fontId="6" fillId="0" borderId="4" xfId="1" applyFont="1" applyBorder="1" applyAlignment="1">
      <alignment vertical="center"/>
    </xf>
    <xf numFmtId="0" fontId="5" fillId="0" borderId="5" xfId="4" applyFont="1" applyBorder="1" applyAlignment="1">
      <alignment vertical="center"/>
    </xf>
    <xf numFmtId="0" fontId="4" fillId="0" borderId="14" xfId="9" applyFont="1" applyBorder="1"/>
    <xf numFmtId="0" fontId="5" fillId="0" borderId="4" xfId="1" applyFont="1" applyBorder="1" applyAlignment="1">
      <alignment vertical="center"/>
    </xf>
    <xf numFmtId="0" fontId="5" fillId="0" borderId="11" xfId="1" applyFont="1" applyBorder="1" applyAlignment="1">
      <alignment horizontal="center" vertical="top"/>
    </xf>
    <xf numFmtId="0" fontId="5" fillId="0" borderId="7" xfId="9" applyFont="1" applyBorder="1"/>
    <xf numFmtId="0" fontId="5" fillId="0" borderId="27" xfId="9" applyFont="1" applyBorder="1"/>
    <xf numFmtId="0" fontId="5" fillId="0" borderId="28" xfId="9" applyFont="1" applyBorder="1"/>
    <xf numFmtId="0" fontId="5" fillId="0" borderId="12" xfId="9" applyFont="1" applyBorder="1"/>
    <xf numFmtId="0" fontId="7" fillId="0" borderId="31" xfId="1" applyBorder="1" applyAlignment="1">
      <alignment vertical="center"/>
    </xf>
    <xf numFmtId="0" fontId="7" fillId="0" borderId="7" xfId="1" applyBorder="1" applyAlignment="1">
      <alignment vertical="center"/>
    </xf>
    <xf numFmtId="164" fontId="5" fillId="0" borderId="27" xfId="10" applyFont="1" applyFill="1" applyBorder="1" applyAlignment="1">
      <alignment vertical="center"/>
    </xf>
    <xf numFmtId="164" fontId="7" fillId="0" borderId="28" xfId="1" applyNumberFormat="1" applyBorder="1" applyAlignment="1">
      <alignment vertical="center"/>
    </xf>
    <xf numFmtId="0" fontId="2" fillId="0" borderId="9" xfId="4" applyFont="1" applyBorder="1" applyAlignment="1">
      <alignment vertical="center"/>
    </xf>
    <xf numFmtId="0" fontId="2" fillId="0" borderId="0" xfId="9" applyFont="1"/>
    <xf numFmtId="164" fontId="6" fillId="0" borderId="0" xfId="2" applyFont="1"/>
    <xf numFmtId="43" fontId="6" fillId="0" borderId="0" xfId="9" applyNumberFormat="1"/>
    <xf numFmtId="0" fontId="1" fillId="0" borderId="0" xfId="9" applyFont="1"/>
    <xf numFmtId="0" fontId="11" fillId="0" borderId="7" xfId="9" applyFont="1" applyBorder="1" applyAlignment="1">
      <alignment horizontal="center"/>
    </xf>
    <xf numFmtId="0" fontId="17" fillId="0" borderId="2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3" fillId="0" borderId="5" xfId="9" applyFont="1" applyBorder="1"/>
    <xf numFmtId="0" fontId="6" fillId="0" borderId="36" xfId="1" applyFont="1" applyBorder="1" applyAlignment="1">
      <alignment horizontal="center" vertical="center"/>
    </xf>
  </cellXfs>
  <cellStyles count="11">
    <cellStyle name="Comma" xfId="2" builtinId="3"/>
    <cellStyle name="Comma 2" xfId="8" xr:uid="{2E8A783A-609D-4910-9F6C-561A138EE8F3}"/>
    <cellStyle name="Comma 3" xfId="10" xr:uid="{964F0C67-194F-420F-AFC4-B56FC7AE72CE}"/>
    <cellStyle name="Comma 4" xfId="5" xr:uid="{3F3DCF19-125D-4DDE-9058-7AECFC47FECC}"/>
    <cellStyle name="Normal" xfId="0" builtinId="0"/>
    <cellStyle name="Normal 2" xfId="7" xr:uid="{0855BDB6-C4A8-4537-851A-91F41971341E}"/>
    <cellStyle name="Normal 3" xfId="1" xr:uid="{00000000-0005-0000-0000-000002000000}"/>
    <cellStyle name="Normal 4" xfId="4" xr:uid="{F3BEBEA8-3BD9-4E48-A91C-893596813A07}"/>
    <cellStyle name="Normal 5" xfId="9" xr:uid="{48F61A83-C9D9-4267-AAC4-509FC009E546}"/>
    <cellStyle name="Percent" xfId="3" builtinId="5"/>
    <cellStyle name="Percent 2" xfId="6" xr:uid="{95D70D8D-92CC-4341-9D1C-AB90EAB741EC}"/>
  </cellStyles>
  <dxfs count="0"/>
  <tableStyles count="0" defaultTableStyle="TableStyleMedium2" defaultPivotStyle="PivotStyleLight16"/>
  <colors>
    <mruColors>
      <color rgb="FFFF33CC"/>
      <color rgb="FFFFCCCC"/>
      <color rgb="FFFFCCFF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31750</xdr:rowOff>
    </xdr:from>
    <xdr:to>
      <xdr:col>15</xdr:col>
      <xdr:colOff>50800</xdr:colOff>
      <xdr:row>26</xdr:row>
      <xdr:rowOff>13259</xdr:rowOff>
    </xdr:to>
    <xdr:pic>
      <xdr:nvPicPr>
        <xdr:cNvPr id="3" name="Picture 2" descr="A diagram of a project&#10;&#10;Description automatically generated">
          <a:extLst>
            <a:ext uri="{FF2B5EF4-FFF2-40B4-BE49-F238E27FC236}">
              <a16:creationId xmlns:a16="http://schemas.microsoft.com/office/drawing/2014/main" id="{802DBF0F-3269-99E8-742F-27DBF20BB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800" y="215900"/>
          <a:ext cx="8375650" cy="458525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D7BE-3FA2-4B0D-B33A-EE48B4DF5465}">
  <dimension ref="A1:AJ34"/>
  <sheetViews>
    <sheetView tabSelected="1" zoomScaleNormal="100" workbookViewId="0">
      <selection activeCell="B4" sqref="B4"/>
    </sheetView>
  </sheetViews>
  <sheetFormatPr defaultColWidth="9.1796875" defaultRowHeight="14.5" outlineLevelCol="1"/>
  <cols>
    <col min="1" max="1" width="9.1796875" style="4"/>
    <col min="2" max="2" width="33.81640625" style="4" bestFit="1" customWidth="1"/>
    <col min="3" max="3" width="11.453125" style="4" customWidth="1"/>
    <col min="4" max="4" width="25" style="4" bestFit="1" customWidth="1"/>
    <col min="5" max="5" width="15.26953125" style="4" customWidth="1"/>
    <col min="6" max="6" width="17.7265625" style="4" customWidth="1"/>
    <col min="7" max="7" width="9.1796875" style="4" customWidth="1"/>
    <col min="8" max="8" width="19.1796875" style="4" customWidth="1"/>
    <col min="9" max="9" width="2.08984375" style="52" customWidth="1"/>
    <col min="10" max="22" width="4.81640625" style="4" hidden="1" customWidth="1" outlineLevel="1"/>
    <col min="23" max="23" width="9.1796875" style="4" collapsed="1"/>
    <col min="24" max="24" width="14.1796875" style="4" customWidth="1"/>
    <col min="25" max="25" width="18.08984375" style="4" customWidth="1"/>
    <col min="26" max="26" width="17.26953125" style="4" customWidth="1"/>
    <col min="27" max="28" width="17.81640625" style="4" customWidth="1"/>
    <col min="29" max="29" width="15.7265625" style="4" bestFit="1" customWidth="1"/>
    <col min="30" max="30" width="13.36328125" style="4" bestFit="1" customWidth="1"/>
    <col min="31" max="31" width="11.7265625" style="4" bestFit="1" customWidth="1"/>
    <col min="32" max="33" width="11.26953125" style="4" bestFit="1" customWidth="1"/>
    <col min="34" max="16384" width="9.1796875" style="4"/>
  </cols>
  <sheetData>
    <row r="1" spans="1:36" ht="15" thickBot="1">
      <c r="J1" s="110" t="s">
        <v>115</v>
      </c>
      <c r="K1" s="110"/>
      <c r="L1" s="110"/>
      <c r="M1" s="110"/>
      <c r="N1" s="110"/>
      <c r="O1" s="110"/>
      <c r="P1" s="110"/>
      <c r="S1" s="110" t="s">
        <v>114</v>
      </c>
      <c r="T1" s="110"/>
      <c r="AC1" s="35"/>
    </row>
    <row r="2" spans="1:36" ht="29">
      <c r="A2" s="11" t="s">
        <v>21</v>
      </c>
      <c r="B2" s="1" t="s">
        <v>5</v>
      </c>
      <c r="C2" s="1" t="s">
        <v>22</v>
      </c>
      <c r="D2" s="6" t="s">
        <v>23</v>
      </c>
      <c r="E2" s="9" t="s">
        <v>1</v>
      </c>
      <c r="F2" s="12" t="s">
        <v>0</v>
      </c>
      <c r="G2" s="9" t="s">
        <v>3</v>
      </c>
      <c r="H2" s="10" t="s">
        <v>44</v>
      </c>
      <c r="I2" s="53"/>
      <c r="J2" s="47" t="s">
        <v>26</v>
      </c>
      <c r="K2" s="48" t="s">
        <v>27</v>
      </c>
      <c r="L2" s="48" t="s">
        <v>28</v>
      </c>
      <c r="M2" s="48" t="s">
        <v>29</v>
      </c>
      <c r="N2" s="48" t="s">
        <v>30</v>
      </c>
      <c r="O2" s="48" t="s">
        <v>31</v>
      </c>
      <c r="P2" s="48" t="s">
        <v>32</v>
      </c>
      <c r="Q2" s="56" t="s">
        <v>33</v>
      </c>
      <c r="R2" s="56" t="s">
        <v>34</v>
      </c>
      <c r="S2" s="49" t="s">
        <v>35</v>
      </c>
      <c r="T2" s="49" t="s">
        <v>36</v>
      </c>
      <c r="U2" s="56" t="s">
        <v>42</v>
      </c>
      <c r="V2" s="56" t="s">
        <v>43</v>
      </c>
      <c r="W2" s="14" t="s">
        <v>7</v>
      </c>
      <c r="X2" s="15" t="s">
        <v>46</v>
      </c>
      <c r="Y2" s="16" t="s">
        <v>2</v>
      </c>
      <c r="Z2" s="17" t="s">
        <v>40</v>
      </c>
      <c r="AA2" s="18" t="s">
        <v>9</v>
      </c>
      <c r="AB2" s="19" t="s">
        <v>8</v>
      </c>
      <c r="AC2" s="35"/>
    </row>
    <row r="3" spans="1:36">
      <c r="A3" s="21"/>
      <c r="B3" s="22"/>
      <c r="C3" s="23"/>
      <c r="D3" s="24"/>
      <c r="E3" s="24"/>
      <c r="F3" s="24"/>
      <c r="G3" s="25"/>
      <c r="H3" s="26"/>
      <c r="J3" s="50" t="s">
        <v>18</v>
      </c>
      <c r="K3" s="50" t="s">
        <v>19</v>
      </c>
      <c r="L3" s="50" t="s">
        <v>20</v>
      </c>
      <c r="M3" s="50" t="s">
        <v>37</v>
      </c>
      <c r="N3" s="50" t="s">
        <v>38</v>
      </c>
      <c r="O3" s="50" t="s">
        <v>39</v>
      </c>
      <c r="P3" s="50" t="s">
        <v>16</v>
      </c>
      <c r="Q3" s="57" t="s">
        <v>12</v>
      </c>
      <c r="R3" s="57" t="s">
        <v>13</v>
      </c>
      <c r="S3" s="51" t="s">
        <v>14</v>
      </c>
      <c r="T3" s="51" t="s">
        <v>15</v>
      </c>
      <c r="U3" s="57" t="s">
        <v>17</v>
      </c>
      <c r="V3" s="57" t="s">
        <v>39</v>
      </c>
      <c r="W3" s="46"/>
      <c r="X3" s="27"/>
      <c r="Y3" s="28"/>
      <c r="Z3" s="28"/>
      <c r="AA3" s="29"/>
      <c r="AB3" s="30"/>
      <c r="AC3" s="35"/>
    </row>
    <row r="4" spans="1:36" s="2" customFormat="1" ht="15.75" customHeight="1">
      <c r="A4" s="13">
        <v>1</v>
      </c>
      <c r="B4" s="58" t="s">
        <v>41</v>
      </c>
      <c r="C4" s="59" t="s">
        <v>25</v>
      </c>
      <c r="D4" s="60" t="s">
        <v>97</v>
      </c>
      <c r="E4" s="61" t="s">
        <v>10</v>
      </c>
      <c r="F4" s="60" t="s">
        <v>4</v>
      </c>
      <c r="G4" s="62" t="s">
        <v>98</v>
      </c>
      <c r="H4" s="63">
        <v>1</v>
      </c>
      <c r="I4" s="64"/>
      <c r="J4" s="65">
        <v>3</v>
      </c>
      <c r="K4" s="64">
        <v>5</v>
      </c>
      <c r="L4" s="64">
        <v>5</v>
      </c>
      <c r="M4" s="64">
        <v>5</v>
      </c>
      <c r="N4" s="64">
        <v>5</v>
      </c>
      <c r="O4" s="64">
        <v>5</v>
      </c>
      <c r="P4" s="64">
        <v>3</v>
      </c>
      <c r="Q4" s="64"/>
      <c r="R4" s="64"/>
      <c r="S4" s="64">
        <v>22</v>
      </c>
      <c r="T4" s="64">
        <v>22</v>
      </c>
      <c r="U4" s="64"/>
      <c r="V4" s="64"/>
      <c r="W4" s="66">
        <v>75</v>
      </c>
      <c r="X4" s="2">
        <f>W4</f>
        <v>75</v>
      </c>
      <c r="Y4" s="54"/>
      <c r="Z4" s="67">
        <f>Y4*X4</f>
        <v>0</v>
      </c>
      <c r="AA4" s="68">
        <v>14000</v>
      </c>
      <c r="AB4" s="69">
        <f>AA4*X4</f>
        <v>1050000</v>
      </c>
      <c r="AC4" s="35"/>
      <c r="AD4" s="4"/>
      <c r="AE4" s="4"/>
      <c r="AF4" s="4"/>
      <c r="AG4" s="4"/>
      <c r="AH4" s="4"/>
      <c r="AI4" s="4"/>
      <c r="AJ4" s="4"/>
    </row>
    <row r="5" spans="1:36" s="3" customFormat="1" ht="31.5" customHeight="1">
      <c r="A5" s="13">
        <v>2</v>
      </c>
      <c r="B5" s="70" t="s">
        <v>78</v>
      </c>
      <c r="C5" s="71" t="s">
        <v>25</v>
      </c>
      <c r="D5" s="72" t="s">
        <v>48</v>
      </c>
      <c r="E5" s="61" t="s">
        <v>10</v>
      </c>
      <c r="F5" s="73" t="s">
        <v>4</v>
      </c>
      <c r="G5" s="62" t="s">
        <v>6</v>
      </c>
      <c r="H5" s="74">
        <v>1</v>
      </c>
      <c r="I5" s="64"/>
      <c r="J5" s="65"/>
      <c r="K5" s="64">
        <v>1</v>
      </c>
      <c r="L5" s="64">
        <v>1</v>
      </c>
      <c r="M5" s="64">
        <v>1</v>
      </c>
      <c r="N5" s="64">
        <v>1</v>
      </c>
      <c r="O5" s="64">
        <v>1</v>
      </c>
      <c r="P5" s="64">
        <v>1</v>
      </c>
      <c r="Q5" s="64"/>
      <c r="R5" s="64"/>
      <c r="S5" s="64">
        <v>1</v>
      </c>
      <c r="T5" s="64">
        <v>1</v>
      </c>
      <c r="U5" s="64"/>
      <c r="V5" s="64"/>
      <c r="W5" s="66">
        <v>8</v>
      </c>
      <c r="X5" s="2">
        <f t="shared" ref="X5:X27" si="0">W5</f>
        <v>8</v>
      </c>
      <c r="Y5" s="54"/>
      <c r="Z5" s="67">
        <f t="shared" ref="Z5:Z27" si="1">Y5*X5</f>
        <v>0</v>
      </c>
      <c r="AA5" s="68">
        <v>14000</v>
      </c>
      <c r="AB5" s="69">
        <f t="shared" ref="AB5:AB14" si="2">AA5*X5</f>
        <v>112000</v>
      </c>
      <c r="AC5" s="35"/>
      <c r="AD5" s="4"/>
      <c r="AE5" s="4"/>
      <c r="AF5" s="4"/>
      <c r="AG5" s="4"/>
      <c r="AH5" s="4"/>
      <c r="AI5" s="4"/>
      <c r="AJ5" s="4"/>
    </row>
    <row r="6" spans="1:36" s="3" customFormat="1" ht="15.5">
      <c r="A6" s="13">
        <v>3</v>
      </c>
      <c r="B6" s="75" t="s">
        <v>55</v>
      </c>
      <c r="C6" s="71" t="s">
        <v>25</v>
      </c>
      <c r="D6" s="72" t="s">
        <v>49</v>
      </c>
      <c r="E6" s="61" t="s">
        <v>10</v>
      </c>
      <c r="F6" s="73" t="s">
        <v>4</v>
      </c>
      <c r="G6" s="62" t="s">
        <v>6</v>
      </c>
      <c r="H6" s="74">
        <v>1</v>
      </c>
      <c r="I6" s="64"/>
      <c r="J6" s="65">
        <v>1</v>
      </c>
      <c r="K6" s="64">
        <v>4</v>
      </c>
      <c r="L6" s="64">
        <v>4</v>
      </c>
      <c r="M6" s="64">
        <v>3</v>
      </c>
      <c r="N6" s="64">
        <v>3</v>
      </c>
      <c r="O6" s="64">
        <v>1</v>
      </c>
      <c r="P6" s="64">
        <v>1</v>
      </c>
      <c r="Q6" s="64"/>
      <c r="R6" s="64"/>
      <c r="S6" s="64">
        <v>3</v>
      </c>
      <c r="T6" s="64">
        <v>3</v>
      </c>
      <c r="U6" s="64"/>
      <c r="V6" s="64"/>
      <c r="W6" s="66">
        <v>27</v>
      </c>
      <c r="X6" s="2">
        <f t="shared" si="0"/>
        <v>27</v>
      </c>
      <c r="Y6" s="54"/>
      <c r="Z6" s="67">
        <f t="shared" si="1"/>
        <v>0</v>
      </c>
      <c r="AA6" s="68">
        <v>14000</v>
      </c>
      <c r="AB6" s="69">
        <f>AA6*X6</f>
        <v>378000</v>
      </c>
      <c r="AC6" s="35"/>
      <c r="AD6" s="4"/>
      <c r="AE6" s="4"/>
      <c r="AF6" s="4"/>
      <c r="AG6" s="4"/>
      <c r="AH6" s="4"/>
      <c r="AI6" s="4"/>
      <c r="AJ6" s="4"/>
    </row>
    <row r="7" spans="1:36" s="3" customFormat="1" ht="15.5">
      <c r="A7" s="13">
        <v>4</v>
      </c>
      <c r="B7" s="75" t="s">
        <v>67</v>
      </c>
      <c r="C7" s="71" t="s">
        <v>25</v>
      </c>
      <c r="D7" s="72" t="s">
        <v>50</v>
      </c>
      <c r="E7" s="61" t="s">
        <v>10</v>
      </c>
      <c r="F7" s="73" t="s">
        <v>4</v>
      </c>
      <c r="G7" s="62" t="s">
        <v>6</v>
      </c>
      <c r="H7" s="74">
        <v>1</v>
      </c>
      <c r="I7" s="64"/>
      <c r="J7" s="65">
        <v>1</v>
      </c>
      <c r="K7" s="64">
        <v>2</v>
      </c>
      <c r="L7" s="64">
        <v>2</v>
      </c>
      <c r="M7" s="64">
        <v>2</v>
      </c>
      <c r="N7" s="64">
        <v>2</v>
      </c>
      <c r="O7" s="64">
        <v>1</v>
      </c>
      <c r="P7" s="64">
        <v>1</v>
      </c>
      <c r="Q7" s="64"/>
      <c r="R7" s="64"/>
      <c r="S7" s="64">
        <v>2</v>
      </c>
      <c r="T7" s="64">
        <v>2</v>
      </c>
      <c r="U7" s="64"/>
      <c r="V7" s="64"/>
      <c r="W7" s="66">
        <v>15</v>
      </c>
      <c r="X7" s="2">
        <f t="shared" si="0"/>
        <v>15</v>
      </c>
      <c r="Y7" s="54"/>
      <c r="Z7" s="67">
        <f t="shared" si="1"/>
        <v>0</v>
      </c>
      <c r="AA7" s="68">
        <v>14000</v>
      </c>
      <c r="AB7" s="69">
        <f t="shared" si="2"/>
        <v>210000</v>
      </c>
      <c r="AC7" s="35"/>
      <c r="AD7" s="4"/>
      <c r="AE7" s="4"/>
      <c r="AF7" s="4"/>
      <c r="AG7" s="4"/>
      <c r="AH7" s="4"/>
      <c r="AI7" s="4"/>
      <c r="AJ7" s="4"/>
    </row>
    <row r="8" spans="1:36" s="3" customFormat="1" ht="15.5">
      <c r="A8" s="13">
        <v>5</v>
      </c>
      <c r="B8" s="75" t="s">
        <v>68</v>
      </c>
      <c r="C8" s="71" t="s">
        <v>25</v>
      </c>
      <c r="D8" s="72" t="s">
        <v>51</v>
      </c>
      <c r="E8" s="61" t="s">
        <v>10</v>
      </c>
      <c r="F8" s="73" t="s">
        <v>4</v>
      </c>
      <c r="G8" s="62" t="s">
        <v>6</v>
      </c>
      <c r="H8" s="74">
        <v>1</v>
      </c>
      <c r="I8" s="64"/>
      <c r="J8" s="65">
        <v>1</v>
      </c>
      <c r="K8" s="64">
        <v>2</v>
      </c>
      <c r="L8" s="64">
        <v>2</v>
      </c>
      <c r="M8" s="64">
        <v>2</v>
      </c>
      <c r="N8" s="64">
        <v>2</v>
      </c>
      <c r="O8" s="64">
        <v>1</v>
      </c>
      <c r="P8" s="64">
        <v>1</v>
      </c>
      <c r="Q8" s="64"/>
      <c r="R8" s="64"/>
      <c r="S8" s="64">
        <v>2</v>
      </c>
      <c r="T8" s="64">
        <v>2</v>
      </c>
      <c r="U8" s="64"/>
      <c r="V8" s="64"/>
      <c r="W8" s="66">
        <v>15</v>
      </c>
      <c r="X8" s="2">
        <f t="shared" si="0"/>
        <v>15</v>
      </c>
      <c r="Y8" s="54"/>
      <c r="Z8" s="67">
        <f t="shared" si="1"/>
        <v>0</v>
      </c>
      <c r="AA8" s="68">
        <v>14000</v>
      </c>
      <c r="AB8" s="69">
        <f t="shared" si="2"/>
        <v>210000</v>
      </c>
      <c r="AC8" s="35"/>
      <c r="AD8" s="4"/>
      <c r="AE8" s="4"/>
      <c r="AF8" s="4"/>
      <c r="AG8" s="4"/>
      <c r="AH8" s="4"/>
      <c r="AI8" s="4"/>
      <c r="AJ8" s="4"/>
    </row>
    <row r="9" spans="1:36" s="3" customFormat="1" ht="15.5">
      <c r="A9" s="13">
        <v>6</v>
      </c>
      <c r="B9" s="75" t="s">
        <v>69</v>
      </c>
      <c r="C9" s="71" t="s">
        <v>25</v>
      </c>
      <c r="D9" s="72" t="s">
        <v>52</v>
      </c>
      <c r="E9" s="61" t="s">
        <v>10</v>
      </c>
      <c r="F9" s="73" t="s">
        <v>54</v>
      </c>
      <c r="G9" s="62" t="s">
        <v>6</v>
      </c>
      <c r="H9" s="74">
        <v>1</v>
      </c>
      <c r="I9" s="64"/>
      <c r="J9" s="65">
        <v>1</v>
      </c>
      <c r="K9" s="64">
        <v>2</v>
      </c>
      <c r="L9" s="64">
        <v>1</v>
      </c>
      <c r="M9" s="64">
        <v>1</v>
      </c>
      <c r="N9" s="64">
        <v>1</v>
      </c>
      <c r="O9" s="64">
        <v>1</v>
      </c>
      <c r="P9" s="64">
        <v>1</v>
      </c>
      <c r="Q9" s="64"/>
      <c r="R9" s="64"/>
      <c r="S9" s="64">
        <v>2</v>
      </c>
      <c r="T9" s="64">
        <v>2</v>
      </c>
      <c r="U9" s="64"/>
      <c r="V9" s="64"/>
      <c r="W9" s="66">
        <v>12</v>
      </c>
      <c r="X9" s="2">
        <f t="shared" si="0"/>
        <v>12</v>
      </c>
      <c r="Y9" s="54"/>
      <c r="Z9" s="67">
        <f t="shared" si="1"/>
        <v>0</v>
      </c>
      <c r="AA9" s="68">
        <v>8500</v>
      </c>
      <c r="AB9" s="69">
        <f t="shared" si="2"/>
        <v>102000</v>
      </c>
      <c r="AC9" s="35"/>
      <c r="AD9" s="4"/>
      <c r="AE9" s="4"/>
      <c r="AF9" s="4"/>
      <c r="AG9" s="4"/>
      <c r="AH9" s="4"/>
      <c r="AI9" s="4"/>
      <c r="AJ9" s="4"/>
    </row>
    <row r="10" spans="1:36" s="3" customFormat="1" ht="15.5">
      <c r="A10" s="13">
        <v>7</v>
      </c>
      <c r="B10" s="75" t="s">
        <v>70</v>
      </c>
      <c r="C10" s="71" t="s">
        <v>25</v>
      </c>
      <c r="D10" s="72" t="s">
        <v>53</v>
      </c>
      <c r="E10" s="61" t="s">
        <v>10</v>
      </c>
      <c r="F10" s="73" t="s">
        <v>54</v>
      </c>
      <c r="G10" s="62" t="s">
        <v>6</v>
      </c>
      <c r="H10" s="74">
        <v>1</v>
      </c>
      <c r="I10" s="64"/>
      <c r="J10" s="65"/>
      <c r="K10" s="64">
        <v>1</v>
      </c>
      <c r="L10" s="64">
        <v>1</v>
      </c>
      <c r="M10" s="64">
        <v>1</v>
      </c>
      <c r="N10" s="64">
        <v>1</v>
      </c>
      <c r="O10" s="64">
        <v>1</v>
      </c>
      <c r="P10" s="64">
        <v>1</v>
      </c>
      <c r="Q10" s="64"/>
      <c r="R10" s="64"/>
      <c r="S10" s="64">
        <v>2</v>
      </c>
      <c r="T10" s="64">
        <v>2</v>
      </c>
      <c r="U10" s="64"/>
      <c r="V10" s="64"/>
      <c r="W10" s="66">
        <v>10</v>
      </c>
      <c r="X10" s="2">
        <f t="shared" si="0"/>
        <v>10</v>
      </c>
      <c r="Y10" s="54"/>
      <c r="Z10" s="67">
        <f t="shared" si="1"/>
        <v>0</v>
      </c>
      <c r="AA10" s="68">
        <v>8500</v>
      </c>
      <c r="AB10" s="69">
        <f t="shared" si="2"/>
        <v>85000</v>
      </c>
      <c r="AC10" s="35"/>
      <c r="AD10" s="4"/>
      <c r="AE10" s="4"/>
      <c r="AF10" s="4"/>
      <c r="AG10" s="4"/>
      <c r="AH10" s="4"/>
      <c r="AI10" s="4"/>
      <c r="AJ10" s="4"/>
    </row>
    <row r="11" spans="1:36" s="3" customFormat="1" ht="15.5">
      <c r="A11" s="13">
        <v>8</v>
      </c>
      <c r="B11" s="75" t="s">
        <v>71</v>
      </c>
      <c r="C11" s="71" t="s">
        <v>25</v>
      </c>
      <c r="D11" s="72" t="s">
        <v>99</v>
      </c>
      <c r="E11" s="61" t="s">
        <v>10</v>
      </c>
      <c r="F11" s="73" t="s">
        <v>54</v>
      </c>
      <c r="G11" s="62" t="s">
        <v>6</v>
      </c>
      <c r="H11" s="74">
        <v>1</v>
      </c>
      <c r="I11" s="64"/>
      <c r="J11" s="65"/>
      <c r="K11" s="64">
        <v>1</v>
      </c>
      <c r="L11" s="64">
        <v>1</v>
      </c>
      <c r="M11" s="64">
        <v>1</v>
      </c>
      <c r="N11" s="64">
        <v>1</v>
      </c>
      <c r="O11" s="64">
        <v>1</v>
      </c>
      <c r="P11" s="64">
        <v>1</v>
      </c>
      <c r="Q11" s="64"/>
      <c r="R11" s="64"/>
      <c r="S11" s="64">
        <v>2</v>
      </c>
      <c r="T11" s="64">
        <v>2</v>
      </c>
      <c r="U11" s="64"/>
      <c r="V11" s="64"/>
      <c r="W11" s="66">
        <v>10</v>
      </c>
      <c r="X11" s="2">
        <f t="shared" si="0"/>
        <v>10</v>
      </c>
      <c r="Y11" s="54"/>
      <c r="Z11" s="67">
        <f t="shared" si="1"/>
        <v>0</v>
      </c>
      <c r="AA11" s="68">
        <v>8500</v>
      </c>
      <c r="AB11" s="69">
        <f t="shared" si="2"/>
        <v>85000</v>
      </c>
      <c r="AC11" s="35"/>
      <c r="AD11" s="4"/>
      <c r="AE11" s="4"/>
      <c r="AF11" s="4"/>
      <c r="AG11" s="4"/>
      <c r="AH11" s="4"/>
      <c r="AI11" s="4"/>
      <c r="AJ11" s="4"/>
    </row>
    <row r="12" spans="1:36" s="20" customFormat="1" ht="15.5">
      <c r="A12" s="13">
        <v>9</v>
      </c>
      <c r="B12" s="76" t="s">
        <v>75</v>
      </c>
      <c r="C12" s="77" t="s">
        <v>25</v>
      </c>
      <c r="D12" s="105" t="s">
        <v>79</v>
      </c>
      <c r="E12" s="78" t="s">
        <v>10</v>
      </c>
      <c r="F12" s="79" t="s">
        <v>4</v>
      </c>
      <c r="G12" s="80" t="s">
        <v>74</v>
      </c>
      <c r="H12" s="81">
        <v>1</v>
      </c>
      <c r="I12" s="82"/>
      <c r="J12" s="65"/>
      <c r="K12" s="64">
        <v>10</v>
      </c>
      <c r="L12" s="64">
        <v>10</v>
      </c>
      <c r="M12" s="64">
        <v>2</v>
      </c>
      <c r="N12" s="64">
        <v>1</v>
      </c>
      <c r="O12" s="64">
        <v>1</v>
      </c>
      <c r="P12" s="64">
        <v>1</v>
      </c>
      <c r="Q12" s="64"/>
      <c r="R12" s="64"/>
      <c r="S12" s="64">
        <v>5</v>
      </c>
      <c r="T12" s="64">
        <v>5</v>
      </c>
      <c r="U12" s="64"/>
      <c r="V12" s="64"/>
      <c r="W12" s="66">
        <v>35</v>
      </c>
      <c r="X12" s="2">
        <f t="shared" ref="X12" si="3">W12</f>
        <v>35</v>
      </c>
      <c r="Y12" s="54"/>
      <c r="Z12" s="67">
        <f t="shared" ref="Z12" si="4">Y12*X12</f>
        <v>0</v>
      </c>
      <c r="AA12" s="54">
        <v>14000</v>
      </c>
      <c r="AB12" s="69">
        <f t="shared" si="2"/>
        <v>490000</v>
      </c>
      <c r="AC12" s="35"/>
      <c r="AD12" s="4"/>
      <c r="AE12" s="4"/>
      <c r="AF12" s="4"/>
      <c r="AG12" s="4"/>
      <c r="AH12" s="4"/>
      <c r="AI12" s="4"/>
      <c r="AJ12" s="4"/>
    </row>
    <row r="13" spans="1:36" s="3" customFormat="1" ht="15.5">
      <c r="A13" s="13">
        <v>11</v>
      </c>
      <c r="B13" s="76" t="s">
        <v>75</v>
      </c>
      <c r="C13" s="77" t="s">
        <v>25</v>
      </c>
      <c r="D13" s="105" t="s">
        <v>103</v>
      </c>
      <c r="E13" s="78" t="s">
        <v>10</v>
      </c>
      <c r="F13" s="79" t="s">
        <v>54</v>
      </c>
      <c r="G13" s="84" t="s">
        <v>74</v>
      </c>
      <c r="H13" s="81">
        <v>1</v>
      </c>
      <c r="I13" s="82"/>
      <c r="J13" s="65"/>
      <c r="K13" s="64">
        <v>10</v>
      </c>
      <c r="L13" s="64">
        <v>5</v>
      </c>
      <c r="M13" s="64">
        <v>2</v>
      </c>
      <c r="N13" s="64">
        <v>1</v>
      </c>
      <c r="O13" s="64">
        <v>1</v>
      </c>
      <c r="P13" s="64">
        <v>1</v>
      </c>
      <c r="Q13" s="64"/>
      <c r="R13" s="64"/>
      <c r="S13" s="64">
        <v>5</v>
      </c>
      <c r="T13" s="64">
        <v>5</v>
      </c>
      <c r="U13" s="64"/>
      <c r="V13" s="64"/>
      <c r="W13" s="66">
        <f t="shared" ref="W13" si="5">SUM(J13:V13)</f>
        <v>30</v>
      </c>
      <c r="X13" s="2">
        <f t="shared" ref="X13" si="6">W13</f>
        <v>30</v>
      </c>
      <c r="Y13" s="54"/>
      <c r="Z13" s="67">
        <f t="shared" ref="Z13" si="7">Y13*X13</f>
        <v>0</v>
      </c>
      <c r="AA13" s="54">
        <v>8500</v>
      </c>
      <c r="AB13" s="69">
        <f t="shared" ref="AB13" si="8">AA13*X13</f>
        <v>255000</v>
      </c>
      <c r="AC13" s="35"/>
      <c r="AD13" s="4"/>
      <c r="AE13" s="4"/>
      <c r="AF13" s="4"/>
      <c r="AG13" s="4"/>
      <c r="AH13" s="4"/>
      <c r="AI13" s="4"/>
      <c r="AJ13" s="4"/>
    </row>
    <row r="14" spans="1:36" ht="15.5">
      <c r="A14" s="13">
        <v>13</v>
      </c>
      <c r="B14" s="72" t="s">
        <v>73</v>
      </c>
      <c r="C14" s="59" t="s">
        <v>25</v>
      </c>
      <c r="D14" s="106" t="s">
        <v>72</v>
      </c>
      <c r="E14" s="61" t="s">
        <v>10</v>
      </c>
      <c r="F14" s="4" t="s">
        <v>54</v>
      </c>
      <c r="G14" s="86" t="s">
        <v>45</v>
      </c>
      <c r="H14" s="85">
        <v>1</v>
      </c>
      <c r="I14" s="4"/>
      <c r="J14" s="65"/>
      <c r="K14" s="64"/>
      <c r="L14" s="64"/>
      <c r="M14" s="64"/>
      <c r="N14" s="64"/>
      <c r="O14" s="64"/>
      <c r="P14" s="64">
        <v>3</v>
      </c>
      <c r="Q14" s="64"/>
      <c r="R14" s="64"/>
      <c r="S14" s="64"/>
      <c r="T14" s="64"/>
      <c r="U14" s="64"/>
      <c r="V14" s="64"/>
      <c r="W14" s="66">
        <v>3</v>
      </c>
      <c r="X14" s="2">
        <f t="shared" si="0"/>
        <v>3</v>
      </c>
      <c r="Y14" s="54"/>
      <c r="Z14" s="67">
        <f t="shared" si="1"/>
        <v>0</v>
      </c>
      <c r="AA14" s="68">
        <v>8500</v>
      </c>
      <c r="AB14" s="69">
        <f t="shared" si="2"/>
        <v>25500</v>
      </c>
      <c r="AC14" s="35"/>
    </row>
    <row r="15" spans="1:36" ht="15.5">
      <c r="A15" s="13">
        <v>16</v>
      </c>
      <c r="B15" s="87" t="s">
        <v>111</v>
      </c>
      <c r="C15" s="88" t="s">
        <v>25</v>
      </c>
      <c r="D15" s="109" t="s">
        <v>122</v>
      </c>
      <c r="E15" s="78" t="s">
        <v>10</v>
      </c>
      <c r="F15" s="79" t="s">
        <v>4</v>
      </c>
      <c r="G15" s="88" t="s">
        <v>62</v>
      </c>
      <c r="H15" s="89">
        <v>1</v>
      </c>
      <c r="I15" s="82"/>
      <c r="J15" s="65">
        <v>1</v>
      </c>
      <c r="K15" s="64">
        <v>1</v>
      </c>
      <c r="L15" s="64">
        <v>1</v>
      </c>
      <c r="M15" s="64">
        <v>1</v>
      </c>
      <c r="N15" s="64">
        <v>1</v>
      </c>
      <c r="O15" s="64">
        <v>1</v>
      </c>
      <c r="P15" s="64">
        <v>1</v>
      </c>
      <c r="Q15" s="64"/>
      <c r="R15" s="64"/>
      <c r="S15" s="64"/>
      <c r="T15" s="64"/>
      <c r="U15" s="64"/>
      <c r="V15" s="64"/>
      <c r="W15" s="66">
        <v>7</v>
      </c>
      <c r="X15" s="2">
        <f t="shared" ref="X15:X21" si="9">W15</f>
        <v>7</v>
      </c>
      <c r="Y15" s="54"/>
      <c r="Z15" s="67">
        <f t="shared" ref="Z15:Z21" si="10">Y15*X15</f>
        <v>0</v>
      </c>
      <c r="AA15" s="54">
        <v>14000</v>
      </c>
      <c r="AB15" s="69">
        <f t="shared" ref="AB15:AB21" si="11">AA15*X15</f>
        <v>98000</v>
      </c>
      <c r="AC15" s="35"/>
    </row>
    <row r="16" spans="1:36" s="36" customFormat="1" ht="15.5">
      <c r="A16" s="13">
        <v>17</v>
      </c>
      <c r="B16" s="87" t="s">
        <v>111</v>
      </c>
      <c r="C16" s="88" t="s">
        <v>25</v>
      </c>
      <c r="D16" s="106" t="s">
        <v>63</v>
      </c>
      <c r="E16" s="78" t="s">
        <v>10</v>
      </c>
      <c r="F16" s="82" t="s">
        <v>54</v>
      </c>
      <c r="G16" s="88" t="s">
        <v>62</v>
      </c>
      <c r="H16" s="89">
        <v>1</v>
      </c>
      <c r="I16" s="82"/>
      <c r="J16" s="65">
        <v>1</v>
      </c>
      <c r="K16" s="64">
        <v>2</v>
      </c>
      <c r="L16" s="64">
        <v>1</v>
      </c>
      <c r="M16" s="64">
        <v>1</v>
      </c>
      <c r="N16" s="64">
        <v>1</v>
      </c>
      <c r="O16" s="64">
        <v>1</v>
      </c>
      <c r="P16" s="64">
        <v>1</v>
      </c>
      <c r="Q16" s="64"/>
      <c r="R16" s="64"/>
      <c r="S16" s="64"/>
      <c r="T16" s="64"/>
      <c r="U16" s="64"/>
      <c r="V16" s="64"/>
      <c r="W16" s="66">
        <v>8</v>
      </c>
      <c r="X16" s="2">
        <f t="shared" si="9"/>
        <v>8</v>
      </c>
      <c r="Y16" s="54"/>
      <c r="Z16" s="67">
        <f t="shared" si="10"/>
        <v>0</v>
      </c>
      <c r="AA16" s="54">
        <v>8500</v>
      </c>
      <c r="AB16" s="69">
        <f t="shared" si="11"/>
        <v>68000</v>
      </c>
      <c r="AC16" s="35"/>
      <c r="AD16" s="4"/>
      <c r="AE16" s="4"/>
      <c r="AF16" s="4"/>
      <c r="AG16" s="4"/>
      <c r="AH16" s="4"/>
      <c r="AI16" s="4"/>
      <c r="AJ16" s="4"/>
    </row>
    <row r="17" spans="1:36" s="36" customFormat="1" ht="15.5">
      <c r="A17" s="13">
        <v>18</v>
      </c>
      <c r="B17" s="90" t="s">
        <v>112</v>
      </c>
      <c r="C17" s="88" t="s">
        <v>25</v>
      </c>
      <c r="D17" s="106" t="s">
        <v>104</v>
      </c>
      <c r="E17" s="91" t="s">
        <v>10</v>
      </c>
      <c r="F17" s="87" t="s">
        <v>4</v>
      </c>
      <c r="G17" s="88"/>
      <c r="H17" s="89">
        <v>1</v>
      </c>
      <c r="I17" s="82"/>
      <c r="J17" s="65">
        <v>1</v>
      </c>
      <c r="K17" s="64">
        <v>2</v>
      </c>
      <c r="L17" s="64">
        <v>2</v>
      </c>
      <c r="M17" s="64">
        <v>1</v>
      </c>
      <c r="N17" s="64">
        <v>1</v>
      </c>
      <c r="O17" s="64">
        <v>1</v>
      </c>
      <c r="P17" s="64">
        <v>1</v>
      </c>
      <c r="Q17" s="64"/>
      <c r="R17" s="64"/>
      <c r="S17" s="64"/>
      <c r="T17" s="64"/>
      <c r="U17" s="64"/>
      <c r="V17" s="64"/>
      <c r="W17" s="66">
        <v>9</v>
      </c>
      <c r="X17" s="2">
        <f t="shared" si="9"/>
        <v>9</v>
      </c>
      <c r="Y17" s="54"/>
      <c r="Z17" s="67"/>
      <c r="AA17" s="68">
        <v>14000</v>
      </c>
      <c r="AB17" s="69">
        <f t="shared" si="11"/>
        <v>126000</v>
      </c>
      <c r="AC17" s="35"/>
      <c r="AD17" s="4"/>
      <c r="AE17" s="4"/>
      <c r="AF17" s="4"/>
      <c r="AG17" s="4"/>
      <c r="AH17" s="4"/>
      <c r="AI17" s="4"/>
      <c r="AJ17" s="4"/>
    </row>
    <row r="18" spans="1:36" s="36" customFormat="1" ht="15.5">
      <c r="A18" s="13">
        <v>19</v>
      </c>
      <c r="B18" s="90" t="s">
        <v>112</v>
      </c>
      <c r="C18" s="88" t="s">
        <v>25</v>
      </c>
      <c r="D18" s="106" t="s">
        <v>105</v>
      </c>
      <c r="E18" s="91" t="s">
        <v>10</v>
      </c>
      <c r="F18" s="87" t="s">
        <v>4</v>
      </c>
      <c r="G18" s="88"/>
      <c r="H18" s="89">
        <v>1</v>
      </c>
      <c r="I18" s="82"/>
      <c r="J18" s="65">
        <v>1</v>
      </c>
      <c r="K18" s="64">
        <v>2</v>
      </c>
      <c r="L18" s="64">
        <v>1</v>
      </c>
      <c r="M18" s="64">
        <v>1</v>
      </c>
      <c r="N18" s="64"/>
      <c r="O18" s="64">
        <v>1</v>
      </c>
      <c r="P18" s="64"/>
      <c r="Q18" s="64"/>
      <c r="R18" s="64"/>
      <c r="S18" s="64"/>
      <c r="T18" s="64"/>
      <c r="U18" s="64"/>
      <c r="V18" s="64"/>
      <c r="W18" s="66">
        <v>6</v>
      </c>
      <c r="X18" s="2">
        <f t="shared" si="9"/>
        <v>6</v>
      </c>
      <c r="Y18" s="54"/>
      <c r="Z18" s="67"/>
      <c r="AA18" s="68">
        <v>14000</v>
      </c>
      <c r="AB18" s="69">
        <f t="shared" si="11"/>
        <v>84000</v>
      </c>
      <c r="AC18" s="35"/>
      <c r="AD18" s="4"/>
      <c r="AE18" s="4"/>
      <c r="AF18" s="4"/>
      <c r="AH18" s="4"/>
      <c r="AI18" s="4"/>
      <c r="AJ18" s="4"/>
    </row>
    <row r="19" spans="1:36" s="36" customFormat="1" ht="15.5">
      <c r="A19" s="13">
        <v>20</v>
      </c>
      <c r="B19" s="90" t="s">
        <v>112</v>
      </c>
      <c r="C19" s="88" t="s">
        <v>25</v>
      </c>
      <c r="D19" s="106" t="s">
        <v>106</v>
      </c>
      <c r="E19" s="91" t="s">
        <v>10</v>
      </c>
      <c r="F19" s="87" t="s">
        <v>4</v>
      </c>
      <c r="G19" s="88"/>
      <c r="H19" s="89">
        <v>1</v>
      </c>
      <c r="I19" s="82"/>
      <c r="J19" s="65">
        <v>1</v>
      </c>
      <c r="K19" s="64">
        <v>1</v>
      </c>
      <c r="L19" s="64">
        <v>1</v>
      </c>
      <c r="M19" s="64">
        <v>1</v>
      </c>
      <c r="N19" s="64">
        <v>1</v>
      </c>
      <c r="O19" s="64">
        <v>1</v>
      </c>
      <c r="P19" s="64">
        <v>1</v>
      </c>
      <c r="Q19" s="64"/>
      <c r="R19" s="64"/>
      <c r="S19" s="64"/>
      <c r="T19" s="64"/>
      <c r="U19" s="64"/>
      <c r="V19" s="64"/>
      <c r="W19" s="66">
        <v>8</v>
      </c>
      <c r="X19" s="2">
        <f t="shared" si="9"/>
        <v>8</v>
      </c>
      <c r="Y19" s="54"/>
      <c r="Z19" s="67"/>
      <c r="AA19" s="68">
        <v>14000</v>
      </c>
      <c r="AB19" s="69">
        <f t="shared" si="11"/>
        <v>112000</v>
      </c>
      <c r="AC19" s="35"/>
      <c r="AD19" s="4"/>
      <c r="AE19" s="4"/>
      <c r="AF19" s="4"/>
      <c r="AH19" s="4"/>
      <c r="AI19" s="4"/>
      <c r="AJ19" s="4"/>
    </row>
    <row r="20" spans="1:36" s="36" customFormat="1" ht="15.5">
      <c r="A20" s="13">
        <v>21</v>
      </c>
      <c r="B20" s="90" t="s">
        <v>112</v>
      </c>
      <c r="C20" s="88" t="s">
        <v>25</v>
      </c>
      <c r="D20" s="106" t="s">
        <v>107</v>
      </c>
      <c r="E20" s="91" t="s">
        <v>10</v>
      </c>
      <c r="F20" s="87" t="s">
        <v>54</v>
      </c>
      <c r="G20" s="88"/>
      <c r="H20" s="89">
        <v>1</v>
      </c>
      <c r="I20" s="82"/>
      <c r="J20" s="65">
        <v>2</v>
      </c>
      <c r="K20" s="64">
        <v>2</v>
      </c>
      <c r="L20" s="64">
        <v>2</v>
      </c>
      <c r="M20" s="64">
        <v>1</v>
      </c>
      <c r="N20" s="64">
        <v>1</v>
      </c>
      <c r="O20" s="64">
        <v>1</v>
      </c>
      <c r="P20" s="64">
        <v>1</v>
      </c>
      <c r="Q20" s="64"/>
      <c r="R20" s="64"/>
      <c r="S20" s="64"/>
      <c r="T20" s="64"/>
      <c r="U20" s="64"/>
      <c r="V20" s="64"/>
      <c r="W20" s="66">
        <v>10</v>
      </c>
      <c r="X20" s="2">
        <f t="shared" si="9"/>
        <v>10</v>
      </c>
      <c r="Y20" s="54"/>
      <c r="Z20" s="67"/>
      <c r="AA20" s="54">
        <v>8500</v>
      </c>
      <c r="AB20" s="69">
        <f t="shared" si="11"/>
        <v>85000</v>
      </c>
      <c r="AC20" s="35"/>
      <c r="AD20" s="4"/>
      <c r="AE20" s="4"/>
      <c r="AF20" s="4"/>
      <c r="AH20" s="4"/>
      <c r="AI20" s="4"/>
      <c r="AJ20" s="4"/>
    </row>
    <row r="21" spans="1:36" s="3" customFormat="1" ht="15.5">
      <c r="A21" s="115">
        <v>22</v>
      </c>
      <c r="B21" s="87" t="s">
        <v>110</v>
      </c>
      <c r="C21" s="92" t="s">
        <v>25</v>
      </c>
      <c r="D21" s="72" t="s">
        <v>49</v>
      </c>
      <c r="E21" s="61" t="s">
        <v>10</v>
      </c>
      <c r="F21" s="73" t="s">
        <v>4</v>
      </c>
      <c r="G21" s="62" t="s">
        <v>6</v>
      </c>
      <c r="H21" s="74">
        <v>1</v>
      </c>
      <c r="I21" s="64"/>
      <c r="J21" s="65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6"/>
      <c r="X21" s="2">
        <f t="shared" si="9"/>
        <v>0</v>
      </c>
      <c r="Y21" s="54"/>
      <c r="Z21" s="67">
        <f t="shared" si="10"/>
        <v>0</v>
      </c>
      <c r="AA21" s="68">
        <v>14000</v>
      </c>
      <c r="AB21" s="69">
        <f t="shared" si="11"/>
        <v>0</v>
      </c>
      <c r="AC21" s="35"/>
      <c r="AD21" s="4"/>
      <c r="AE21" s="4"/>
      <c r="AF21" s="4"/>
      <c r="AH21" s="4"/>
      <c r="AI21" s="4"/>
      <c r="AJ21" s="4"/>
    </row>
    <row r="22" spans="1:36" s="36" customFormat="1" ht="15.5">
      <c r="A22" s="115">
        <v>23</v>
      </c>
      <c r="B22" s="82" t="s">
        <v>59</v>
      </c>
      <c r="C22" s="88" t="s">
        <v>25</v>
      </c>
      <c r="D22" s="79" t="s">
        <v>80</v>
      </c>
      <c r="E22" s="78" t="s">
        <v>10</v>
      </c>
      <c r="F22" s="79" t="s">
        <v>4</v>
      </c>
      <c r="G22" s="88" t="s">
        <v>56</v>
      </c>
      <c r="H22" s="89">
        <v>1</v>
      </c>
      <c r="I22" s="82"/>
      <c r="J22" s="65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6"/>
      <c r="X22" s="2">
        <f>W22</f>
        <v>0</v>
      </c>
      <c r="Y22" s="54"/>
      <c r="Z22" s="67">
        <f>Y22*X22</f>
        <v>0</v>
      </c>
      <c r="AA22" s="54">
        <v>14000</v>
      </c>
      <c r="AB22" s="69">
        <f>AA22*X22</f>
        <v>0</v>
      </c>
      <c r="AC22" s="35"/>
      <c r="AD22" s="4"/>
      <c r="AE22" s="4"/>
      <c r="AF22" s="4"/>
      <c r="AH22" s="4"/>
      <c r="AI22" s="4"/>
      <c r="AJ22" s="4"/>
    </row>
    <row r="23" spans="1:36" ht="15.5">
      <c r="A23" s="115">
        <v>24</v>
      </c>
      <c r="B23" s="82" t="s">
        <v>58</v>
      </c>
      <c r="C23" s="88" t="s">
        <v>25</v>
      </c>
      <c r="D23" s="82" t="s">
        <v>66</v>
      </c>
      <c r="E23" s="78" t="s">
        <v>10</v>
      </c>
      <c r="F23" s="79" t="s">
        <v>4</v>
      </c>
      <c r="G23" s="88" t="s">
        <v>64</v>
      </c>
      <c r="H23" s="89">
        <v>1</v>
      </c>
      <c r="I23" s="82"/>
      <c r="J23" s="65">
        <v>1</v>
      </c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6">
        <v>1</v>
      </c>
      <c r="X23" s="2">
        <f t="shared" si="0"/>
        <v>1</v>
      </c>
      <c r="Y23" s="54"/>
      <c r="Z23" s="67">
        <f t="shared" si="1"/>
        <v>0</v>
      </c>
      <c r="AA23" s="54">
        <v>14000</v>
      </c>
      <c r="AB23" s="69">
        <f>AA23*X23</f>
        <v>14000</v>
      </c>
      <c r="AC23" s="35"/>
    </row>
    <row r="24" spans="1:36" s="36" customFormat="1" ht="15.5">
      <c r="A24" s="115">
        <v>25</v>
      </c>
      <c r="B24" s="82" t="s">
        <v>60</v>
      </c>
      <c r="C24" s="88" t="s">
        <v>25</v>
      </c>
      <c r="D24" s="82" t="s">
        <v>76</v>
      </c>
      <c r="E24" s="78" t="s">
        <v>10</v>
      </c>
      <c r="F24" s="93" t="s">
        <v>54</v>
      </c>
      <c r="G24" s="94" t="s">
        <v>101</v>
      </c>
      <c r="H24" s="89">
        <v>1</v>
      </c>
      <c r="I24" s="82"/>
      <c r="J24" s="65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66"/>
      <c r="X24" s="2">
        <f>W24</f>
        <v>0</v>
      </c>
      <c r="Y24" s="54"/>
      <c r="Z24" s="67">
        <f>Y24*X24</f>
        <v>0</v>
      </c>
      <c r="AA24" s="54">
        <v>8500</v>
      </c>
      <c r="AB24" s="69">
        <f>AA24*X24</f>
        <v>0</v>
      </c>
      <c r="AC24" s="35"/>
      <c r="AD24" s="4"/>
      <c r="AE24" s="4"/>
      <c r="AF24" s="4"/>
      <c r="AH24" s="4"/>
      <c r="AI24" s="4"/>
      <c r="AJ24" s="4"/>
    </row>
    <row r="25" spans="1:36" ht="15.5">
      <c r="A25" s="115">
        <v>26</v>
      </c>
      <c r="B25" s="87" t="s">
        <v>109</v>
      </c>
      <c r="C25" s="95" t="s">
        <v>25</v>
      </c>
      <c r="D25" s="83" t="s">
        <v>100</v>
      </c>
      <c r="E25" s="78" t="s">
        <v>10</v>
      </c>
      <c r="F25" s="93" t="s">
        <v>54</v>
      </c>
      <c r="G25" s="94" t="s">
        <v>101</v>
      </c>
      <c r="H25" s="89">
        <v>1</v>
      </c>
      <c r="I25" s="82"/>
      <c r="J25" s="65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66"/>
      <c r="X25" s="2">
        <f t="shared" ref="X25" si="12">W25</f>
        <v>0</v>
      </c>
      <c r="Y25" s="54"/>
      <c r="Z25" s="67">
        <f>Y25*X25</f>
        <v>0</v>
      </c>
      <c r="AA25" s="54">
        <v>8500</v>
      </c>
      <c r="AB25" s="69">
        <f t="shared" ref="AB25" si="13">AA25*X25</f>
        <v>0</v>
      </c>
      <c r="AC25" s="35"/>
    </row>
    <row r="26" spans="1:36" ht="15.5">
      <c r="A26" s="115">
        <v>27</v>
      </c>
      <c r="B26" s="82" t="s">
        <v>57</v>
      </c>
      <c r="C26" s="88" t="s">
        <v>25</v>
      </c>
      <c r="D26" s="82" t="s">
        <v>65</v>
      </c>
      <c r="E26" s="78" t="s">
        <v>10</v>
      </c>
      <c r="F26" s="79" t="s">
        <v>4</v>
      </c>
      <c r="G26" s="88" t="s">
        <v>11</v>
      </c>
      <c r="H26" s="89">
        <v>1</v>
      </c>
      <c r="I26" s="82"/>
      <c r="J26" s="65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66"/>
      <c r="X26" s="2">
        <f t="shared" si="0"/>
        <v>0</v>
      </c>
      <c r="Y26" s="54"/>
      <c r="Z26" s="67">
        <f t="shared" si="1"/>
        <v>0</v>
      </c>
      <c r="AA26" s="54">
        <v>14000</v>
      </c>
      <c r="AB26" s="69">
        <f t="shared" ref="AB26:AB27" si="14">AA26*X26</f>
        <v>0</v>
      </c>
      <c r="AC26" s="35"/>
    </row>
    <row r="27" spans="1:36" ht="15.5">
      <c r="A27" s="115">
        <v>28</v>
      </c>
      <c r="B27" s="82" t="s">
        <v>61</v>
      </c>
      <c r="C27" s="88" t="s">
        <v>25</v>
      </c>
      <c r="D27" s="82" t="s">
        <v>77</v>
      </c>
      <c r="E27" s="78" t="s">
        <v>10</v>
      </c>
      <c r="F27" s="79" t="s">
        <v>4</v>
      </c>
      <c r="G27" s="94" t="s">
        <v>101</v>
      </c>
      <c r="H27" s="89">
        <v>1</v>
      </c>
      <c r="I27" s="82"/>
      <c r="J27" s="65">
        <v>3</v>
      </c>
      <c r="K27" s="64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66">
        <v>3</v>
      </c>
      <c r="X27" s="2">
        <f t="shared" si="0"/>
        <v>3</v>
      </c>
      <c r="Y27" s="54"/>
      <c r="Z27" s="67">
        <f t="shared" si="1"/>
        <v>0</v>
      </c>
      <c r="AA27" s="54">
        <v>14000</v>
      </c>
      <c r="AB27" s="69">
        <f t="shared" si="14"/>
        <v>42000</v>
      </c>
      <c r="AC27" s="35"/>
    </row>
    <row r="28" spans="1:36" ht="15.5">
      <c r="A28" s="115">
        <v>29</v>
      </c>
      <c r="B28" s="114" t="s">
        <v>108</v>
      </c>
      <c r="C28" s="77" t="s">
        <v>25</v>
      </c>
      <c r="D28" s="83" t="s">
        <v>102</v>
      </c>
      <c r="E28" s="78" t="s">
        <v>10</v>
      </c>
      <c r="F28" s="79" t="s">
        <v>4</v>
      </c>
      <c r="G28" s="94" t="s">
        <v>101</v>
      </c>
      <c r="H28" s="96">
        <v>1</v>
      </c>
      <c r="I28" s="82"/>
      <c r="J28" s="65"/>
      <c r="K28" s="64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66"/>
      <c r="X28" s="2">
        <f t="shared" ref="X28:X29" si="15">W28</f>
        <v>0</v>
      </c>
      <c r="Y28" s="54"/>
      <c r="Z28" s="67">
        <f>Y28*X28</f>
        <v>0</v>
      </c>
      <c r="AA28" s="54">
        <v>14000</v>
      </c>
      <c r="AB28" s="69">
        <f t="shared" ref="AB28:AB29" si="16">AA28*X28</f>
        <v>0</v>
      </c>
      <c r="AC28" s="35"/>
    </row>
    <row r="29" spans="1:36" s="36" customFormat="1" ht="15.5">
      <c r="A29" s="115">
        <v>30</v>
      </c>
      <c r="B29" s="87" t="s">
        <v>113</v>
      </c>
      <c r="C29" s="88" t="s">
        <v>25</v>
      </c>
      <c r="D29" s="82" t="s">
        <v>63</v>
      </c>
      <c r="E29" s="78" t="s">
        <v>10</v>
      </c>
      <c r="F29" s="87" t="s">
        <v>54</v>
      </c>
      <c r="G29" s="88" t="s">
        <v>62</v>
      </c>
      <c r="H29" s="89">
        <v>1</v>
      </c>
      <c r="I29" s="82"/>
      <c r="J29" s="65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6"/>
      <c r="X29" s="2">
        <f t="shared" si="15"/>
        <v>0</v>
      </c>
      <c r="Y29" s="54"/>
      <c r="Z29" s="67">
        <f t="shared" ref="Z29" si="17">Y29*X29</f>
        <v>0</v>
      </c>
      <c r="AA29" s="54">
        <v>8500</v>
      </c>
      <c r="AB29" s="69">
        <f t="shared" si="16"/>
        <v>0</v>
      </c>
      <c r="AC29" s="35"/>
      <c r="AD29" s="4"/>
      <c r="AH29" s="4"/>
      <c r="AI29" s="4"/>
      <c r="AJ29" s="4"/>
    </row>
    <row r="30" spans="1:36" ht="16" thickBot="1">
      <c r="A30" s="55"/>
      <c r="B30" s="97"/>
      <c r="C30" s="98"/>
      <c r="D30" s="97"/>
      <c r="E30" s="98"/>
      <c r="F30" s="97"/>
      <c r="G30" s="98"/>
      <c r="H30" s="99"/>
      <c r="I30" s="82"/>
      <c r="J30" s="100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101"/>
      <c r="X30" s="102"/>
      <c r="Y30" s="97"/>
      <c r="Z30" s="97"/>
      <c r="AA30" s="103"/>
      <c r="AB30" s="104">
        <f>AA30*X30</f>
        <v>0</v>
      </c>
      <c r="AC30" s="35"/>
    </row>
    <row r="31" spans="1:36" ht="21.5" customHeight="1">
      <c r="A31" s="5"/>
      <c r="W31" s="31" t="s">
        <v>83</v>
      </c>
      <c r="X31" s="32">
        <f>SUM(X4:X30)</f>
        <v>292</v>
      </c>
      <c r="Y31" s="33"/>
      <c r="Z31" s="34"/>
      <c r="AA31" s="7" t="s">
        <v>24</v>
      </c>
      <c r="AB31" s="8">
        <f>SUM(AB4:AB30)</f>
        <v>3631500</v>
      </c>
      <c r="AC31" s="35"/>
    </row>
    <row r="32" spans="1:36">
      <c r="AB32" s="107">
        <v>3631500</v>
      </c>
    </row>
    <row r="33" spans="28:28">
      <c r="AB33" s="108">
        <f>AB31-AB32</f>
        <v>0</v>
      </c>
    </row>
    <row r="34" spans="28:28">
      <c r="AB34" s="108">
        <f>AB33/14000</f>
        <v>0</v>
      </c>
    </row>
  </sheetData>
  <autoFilter ref="A2:H29" xr:uid="{3574D7BE-3FA2-4B0D-B33A-EE48B4DF5465}"/>
  <mergeCells count="2">
    <mergeCell ref="S1:T1"/>
    <mergeCell ref="J1:P1"/>
  </mergeCells>
  <phoneticPr fontId="2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FBBB-3E0C-4EAA-A260-873E74B115BE}">
  <dimension ref="A1"/>
  <sheetViews>
    <sheetView showGridLines="0" workbookViewId="0">
      <selection activeCell="Q7" sqref="Q7"/>
    </sheetView>
  </sheetViews>
  <sheetFormatPr defaultRowHeight="14.5"/>
  <cols>
    <col min="1" max="1" width="3.1796875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2504-8107-47F6-B5E4-216882245DBA}">
  <dimension ref="B1:E21"/>
  <sheetViews>
    <sheetView showGridLines="0" zoomScale="70" zoomScaleNormal="70" workbookViewId="0">
      <selection activeCell="H8" sqref="H8"/>
    </sheetView>
  </sheetViews>
  <sheetFormatPr defaultColWidth="9.1796875" defaultRowHeight="12.5"/>
  <cols>
    <col min="1" max="1" width="2.7265625" style="37" customWidth="1"/>
    <col min="2" max="2" width="13.08984375" style="37" customWidth="1"/>
    <col min="3" max="3" width="61.26953125" style="37" customWidth="1"/>
    <col min="4" max="5" width="19.1796875" style="37" customWidth="1"/>
    <col min="6" max="16384" width="9.1796875" style="37"/>
  </cols>
  <sheetData>
    <row r="1" spans="2:5" ht="13" thickBot="1"/>
    <row r="2" spans="2:5" ht="33" customHeight="1" thickBot="1">
      <c r="B2" s="38" t="s">
        <v>81</v>
      </c>
      <c r="C2" s="39" t="s">
        <v>47</v>
      </c>
      <c r="D2" s="38" t="s">
        <v>82</v>
      </c>
      <c r="E2" s="38" t="s">
        <v>96</v>
      </c>
    </row>
    <row r="3" spans="2:5" ht="33.5" customHeight="1" thickBot="1">
      <c r="B3" s="45" t="s">
        <v>94</v>
      </c>
      <c r="C3" s="42"/>
      <c r="D3" s="43"/>
      <c r="E3" s="43"/>
    </row>
    <row r="4" spans="2:5" ht="20.25" customHeight="1">
      <c r="B4" s="111" t="s">
        <v>84</v>
      </c>
      <c r="C4" s="40" t="s">
        <v>85</v>
      </c>
      <c r="D4" s="112">
        <v>155</v>
      </c>
      <c r="E4" s="112">
        <v>55</v>
      </c>
    </row>
    <row r="5" spans="2:5" ht="20.25" customHeight="1">
      <c r="B5" s="112"/>
      <c r="C5" s="40" t="s">
        <v>86</v>
      </c>
      <c r="D5" s="112"/>
      <c r="E5" s="112"/>
    </row>
    <row r="6" spans="2:5" ht="20.25" customHeight="1">
      <c r="B6" s="112"/>
      <c r="C6" s="40" t="s">
        <v>87</v>
      </c>
      <c r="D6" s="112"/>
      <c r="E6" s="112"/>
    </row>
    <row r="7" spans="2:5" ht="20.25" customHeight="1">
      <c r="B7" s="112"/>
      <c r="C7" s="40" t="s">
        <v>121</v>
      </c>
      <c r="D7" s="112"/>
      <c r="E7" s="112"/>
    </row>
    <row r="8" spans="2:5" ht="20.25" customHeight="1" thickBot="1">
      <c r="B8" s="113"/>
      <c r="C8" s="41"/>
      <c r="D8" s="113"/>
      <c r="E8" s="113"/>
    </row>
    <row r="9" spans="2:5" ht="20.25" customHeight="1">
      <c r="B9" s="111" t="s">
        <v>116</v>
      </c>
      <c r="C9" s="40" t="s">
        <v>88</v>
      </c>
      <c r="D9" s="111">
        <v>230</v>
      </c>
      <c r="E9" s="111">
        <v>25</v>
      </c>
    </row>
    <row r="10" spans="2:5" ht="20.25" customHeight="1">
      <c r="B10" s="112"/>
      <c r="C10" s="40" t="s">
        <v>118</v>
      </c>
      <c r="D10" s="112"/>
      <c r="E10" s="112"/>
    </row>
    <row r="11" spans="2:5" ht="20.25" customHeight="1">
      <c r="B11" s="112"/>
      <c r="C11" s="40" t="s">
        <v>119</v>
      </c>
      <c r="D11" s="112"/>
      <c r="E11" s="112"/>
    </row>
    <row r="12" spans="2:5" ht="20.25" customHeight="1">
      <c r="B12" s="112"/>
      <c r="C12" s="40" t="s">
        <v>120</v>
      </c>
      <c r="D12" s="112"/>
      <c r="E12" s="112"/>
    </row>
    <row r="13" spans="2:5" ht="20.25" customHeight="1" thickBot="1">
      <c r="B13" s="113"/>
      <c r="C13" s="40"/>
      <c r="D13" s="112"/>
      <c r="E13" s="112"/>
    </row>
    <row r="14" spans="2:5" ht="29.5" customHeight="1" thickBot="1">
      <c r="B14" s="44" t="s">
        <v>95</v>
      </c>
      <c r="C14" s="42"/>
      <c r="D14" s="43"/>
      <c r="E14" s="43"/>
    </row>
    <row r="15" spans="2:5" ht="20.25" customHeight="1">
      <c r="B15" s="111" t="s">
        <v>117</v>
      </c>
      <c r="C15" s="40" t="s">
        <v>89</v>
      </c>
      <c r="D15" s="112">
        <v>105</v>
      </c>
      <c r="E15" s="112">
        <v>20</v>
      </c>
    </row>
    <row r="16" spans="2:5" ht="20.25" customHeight="1">
      <c r="B16" s="112"/>
      <c r="C16" s="40" t="s">
        <v>90</v>
      </c>
      <c r="D16" s="112"/>
      <c r="E16" s="112"/>
    </row>
    <row r="17" spans="2:5" ht="20.25" customHeight="1">
      <c r="B17" s="112"/>
      <c r="C17" s="40" t="s">
        <v>91</v>
      </c>
      <c r="D17" s="112"/>
      <c r="E17" s="112"/>
    </row>
    <row r="18" spans="2:5" ht="20.25" customHeight="1">
      <c r="B18" s="112"/>
      <c r="C18" s="40" t="s">
        <v>92</v>
      </c>
      <c r="D18" s="112"/>
      <c r="E18" s="112"/>
    </row>
    <row r="19" spans="2:5" ht="20.25" customHeight="1">
      <c r="B19" s="112"/>
      <c r="C19" s="40" t="s">
        <v>93</v>
      </c>
      <c r="D19" s="112"/>
      <c r="E19" s="112"/>
    </row>
    <row r="20" spans="2:5" ht="20.25" customHeight="1" thickBot="1">
      <c r="B20" s="113"/>
      <c r="C20" s="41"/>
      <c r="D20" s="113"/>
      <c r="E20" s="113"/>
    </row>
    <row r="21" spans="2:5" ht="40.5" customHeight="1"/>
  </sheetData>
  <mergeCells count="9">
    <mergeCell ref="B4:B8"/>
    <mergeCell ref="B9:B13"/>
    <mergeCell ref="B15:B20"/>
    <mergeCell ref="D9:D13"/>
    <mergeCell ref="E4:E8"/>
    <mergeCell ref="E9:E13"/>
    <mergeCell ref="E15:E20"/>
    <mergeCell ref="D4:D8"/>
    <mergeCell ref="D15:D2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07069A-4F9B-40D9-96B7-CA001993871B}">
  <ds:schemaRefs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e0db2fdf-da24-4d84-8677-23a3c7373b1c"/>
    <ds:schemaRef ds:uri="http://www.w3.org/XML/1998/namespace"/>
    <ds:schemaRef ds:uri="http://schemas.microsoft.com/office/2006/documentManagement/types"/>
    <ds:schemaRef ds:uri="fd89030f-3184-4e8c-8021-df0d79e431c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0D677A4-8A6E-4F3F-9798-8C9157AF4E9E}"/>
</file>

<file path=customXml/itemProps3.xml><?xml version="1.0" encoding="utf-8"?>
<ds:datastoreItem xmlns:ds="http://schemas.openxmlformats.org/officeDocument/2006/customXml" ds:itemID="{50485C58-98C2-4B18-83D6-6CF45D7A89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CostSheet</vt:lpstr>
      <vt:lpstr>Timeline</vt:lpstr>
      <vt:lpstr>Deliverable &amp; Installment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SIRIYAPORN SUYANON</dc:creator>
  <cp:lastModifiedBy>Jirathitigorn Maneekord</cp:lastModifiedBy>
  <cp:lastPrinted>2023-02-22T05:56:10Z</cp:lastPrinted>
  <dcterms:created xsi:type="dcterms:W3CDTF">2016-10-31T09:20:05Z</dcterms:created>
  <dcterms:modified xsi:type="dcterms:W3CDTF">2026-02-02T04:08:18Z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