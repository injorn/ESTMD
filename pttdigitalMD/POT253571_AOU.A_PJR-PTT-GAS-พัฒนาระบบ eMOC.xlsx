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pttgrp-my.sharepoint.com/personal/wilaiwan_p_pttdigital_com/Documents/Work_Wi/Data_Wilaiwan/Project/2026/PJR-PTT-eMOC GSP/Working Space/1. BD/CM3_Project Resource and Cost Sheet/"/>
    </mc:Choice>
  </mc:AlternateContent>
  <xr:revisionPtr revIDLastSave="291" documentId="13_ncr:1_{E30C5AA4-A86B-4280-BE08-0A3B0312F63C}" xr6:coauthVersionLast="47" xr6:coauthVersionMax="47" xr10:uidLastSave="{28FD3080-9E59-4280-B86F-73578DB0AA0F}"/>
  <bookViews>
    <workbookView xWindow="-110" yWindow="-110" windowWidth="19420" windowHeight="10300" xr2:uid="{00000000-000D-0000-FFFF-FFFF00000000}"/>
  </bookViews>
  <sheets>
    <sheet name="Grand Total" sheetId="9" r:id="rId1"/>
    <sheet name="ICT_Manday" sheetId="5" r:id="rId2"/>
    <sheet name="Man-day-SAP Team" sheetId="15" state="hidden" r:id="rId3"/>
    <sheet name="Vendor Cost" sheetId="4" r:id="rId4"/>
    <sheet name="Project Timeline_Revise" sheetId="25" r:id="rId5"/>
    <sheet name="Project Timeline" sheetId="8" state="hidden" r:id="rId6"/>
    <sheet name="Project team" sheetId="24" r:id="rId7"/>
    <sheet name="Breakdown_Rev2" sheetId="23" r:id="rId8"/>
    <sheet name="Cost Brakedown Templete" sheetId="14" r:id="rId9"/>
  </sheets>
  <definedNames>
    <definedName name="_Hlk175834902" localSheetId="8">'Cost Brakedown Templete'!#REF!</definedName>
    <definedName name="_Hlk44493142" localSheetId="6">'Project team'!$A$1</definedName>
    <definedName name="PriceRole" localSheetId="8">'Cost Brakedown Templete'!#REF!</definedName>
    <definedName name="PriceRole">#REF!</definedName>
    <definedName name="Role" localSheetId="8">'Cost Brakedown Templete'!#REF!</definedName>
    <definedName name="Ro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5" l="1"/>
  <c r="E11" i="5"/>
  <c r="C68" i="5" l="1"/>
  <c r="I64" i="5" l="1"/>
  <c r="L58" i="5"/>
  <c r="H47" i="5"/>
  <c r="L63" i="5"/>
  <c r="L64" i="5" s="1"/>
  <c r="L62" i="5"/>
  <c r="A45" i="23" l="1"/>
  <c r="A46" i="23"/>
  <c r="A47" i="23" s="1"/>
  <c r="A48" i="23" s="1"/>
  <c r="A49" i="23" s="1"/>
  <c r="A50" i="23" s="1"/>
  <c r="A31" i="23"/>
  <c r="A32" i="23" s="1"/>
  <c r="A33" i="23" s="1"/>
  <c r="A34" i="23" s="1"/>
  <c r="A35" i="23" s="1"/>
  <c r="A36" i="23" s="1"/>
  <c r="A37" i="23" s="1"/>
  <c r="A38" i="23" s="1"/>
  <c r="A39" i="23" s="1"/>
  <c r="A40" i="23" s="1"/>
  <c r="A41" i="23" s="1"/>
  <c r="A42" i="23" s="1"/>
  <c r="A43" i="23" s="1"/>
  <c r="A44" i="23" s="1"/>
  <c r="P33" i="14" l="1"/>
  <c r="G33" i="5" l="1"/>
  <c r="G34" i="5"/>
  <c r="G35" i="5"/>
  <c r="F40" i="23" l="1"/>
  <c r="A17" i="23" l="1"/>
  <c r="A18" i="23" s="1"/>
  <c r="A19" i="23" s="1"/>
  <c r="A20" i="23" s="1"/>
  <c r="A21" i="23" s="1"/>
  <c r="A22" i="23" s="1"/>
  <c r="A23" i="23" s="1"/>
  <c r="A24" i="23" s="1"/>
  <c r="A25" i="23" s="1"/>
  <c r="A26" i="23" s="1"/>
  <c r="A27" i="23" s="1"/>
  <c r="A28" i="23" s="1"/>
  <c r="A29" i="23" s="1"/>
  <c r="A30" i="23" s="1"/>
  <c r="F13" i="5"/>
  <c r="F20" i="5"/>
  <c r="F21" i="5"/>
  <c r="G36" i="5"/>
  <c r="G23" i="5"/>
  <c r="F19" i="5"/>
  <c r="F15" i="5"/>
  <c r="F14" i="5"/>
  <c r="F24" i="5" l="1"/>
  <c r="F8" i="4"/>
  <c r="F7" i="4"/>
  <c r="F46" i="23" s="1"/>
  <c r="F51" i="23" s="1"/>
  <c r="P18" i="14" l="1"/>
  <c r="F7" i="5"/>
  <c r="F5" i="5"/>
  <c r="F16" i="5"/>
  <c r="F52" i="5"/>
  <c r="F49" i="5" l="1"/>
  <c r="H31" i="5"/>
  <c r="H29" i="5"/>
  <c r="H28" i="5"/>
  <c r="I25" i="5"/>
  <c r="P22" i="14" l="1"/>
  <c r="L17" i="14" l="1"/>
  <c r="N11" i="15" l="1"/>
  <c r="M11" i="15"/>
  <c r="L11" i="15"/>
  <c r="K11" i="15"/>
  <c r="J11" i="15"/>
  <c r="G11" i="15"/>
  <c r="F11" i="15"/>
  <c r="I7" i="15"/>
  <c r="H7" i="15"/>
  <c r="I6" i="15"/>
  <c r="H6" i="15"/>
  <c r="I5" i="15"/>
  <c r="H5" i="15"/>
  <c r="I4" i="15"/>
  <c r="H4" i="15"/>
  <c r="H11" i="15" s="1"/>
  <c r="I3" i="15"/>
  <c r="H3" i="15"/>
  <c r="I2" i="15"/>
  <c r="I11" i="15" s="1"/>
  <c r="H2" i="15"/>
  <c r="G15" i="15" l="1"/>
  <c r="G58" i="5" l="1"/>
  <c r="E14" i="4"/>
  <c r="H58" i="5"/>
  <c r="H63" i="5" l="1"/>
  <c r="H62" i="5"/>
  <c r="G63" i="5"/>
  <c r="G62" i="5"/>
  <c r="H64" i="5" l="1"/>
  <c r="G64" i="5"/>
  <c r="K17" i="14" l="1"/>
  <c r="M17" i="14" s="1"/>
  <c r="P17" i="14" s="1"/>
  <c r="L14" i="14" l="1"/>
  <c r="O14" i="14"/>
  <c r="M14" i="14"/>
  <c r="J58" i="5" l="1"/>
  <c r="I58" i="5"/>
  <c r="K58" i="5"/>
  <c r="K63" i="5"/>
  <c r="K62" i="5"/>
  <c r="J62" i="5"/>
  <c r="J63" i="5" l="1"/>
  <c r="J64" i="5" s="1"/>
  <c r="K64" i="5"/>
  <c r="P32" i="14" s="1"/>
  <c r="I62" i="5"/>
  <c r="I63" i="5"/>
  <c r="P31" i="14" l="1"/>
  <c r="F58" i="5"/>
  <c r="F62" i="5"/>
  <c r="F63" i="5"/>
  <c r="F64" i="5" l="1"/>
  <c r="P10" i="14" s="1"/>
  <c r="N58" i="5"/>
  <c r="M58" i="5"/>
  <c r="E62" i="5"/>
  <c r="N63" i="5" l="1"/>
  <c r="M63" i="5"/>
  <c r="N62" i="5"/>
  <c r="M62" i="5"/>
  <c r="P30" i="14" l="1"/>
  <c r="P23" i="14" s="1"/>
  <c r="N64" i="5"/>
  <c r="O62" i="5"/>
  <c r="H3" i="9" s="1"/>
  <c r="M64" i="5"/>
  <c r="P21" i="14" s="1"/>
  <c r="P20" i="14" l="1"/>
  <c r="H19" i="9"/>
  <c r="U4" i="14" l="1"/>
  <c r="H18" i="9"/>
  <c r="H17" i="9"/>
  <c r="G4" i="9" l="1"/>
  <c r="G3" i="9"/>
  <c r="H20" i="9" l="1"/>
  <c r="E16" i="4" l="1"/>
  <c r="F22" i="4" l="1"/>
  <c r="F23" i="4"/>
  <c r="F24" i="4"/>
  <c r="F25" i="4"/>
  <c r="H10" i="9"/>
  <c r="H11" i="9" s="1"/>
  <c r="H12" i="9" s="1"/>
  <c r="H16" i="14" s="1"/>
  <c r="P16" i="14" s="1"/>
  <c r="P15" i="14" s="1"/>
  <c r="T4" i="14" s="1"/>
  <c r="E63" i="5" l="1"/>
  <c r="O63" i="5" s="1"/>
  <c r="H4" i="9" s="1"/>
  <c r="H5" i="9" s="1"/>
  <c r="H24" i="9" s="1"/>
  <c r="J25" i="9" s="1"/>
  <c r="E58" i="5"/>
  <c r="P58" i="5" l="1"/>
  <c r="E64" i="5"/>
  <c r="O64" i="5" s="1"/>
  <c r="P9" i="14"/>
  <c r="P8" i="14" s="1"/>
  <c r="S4" i="14" s="1"/>
  <c r="V4" i="14" l="1"/>
  <c r="S5" i="14" s="1"/>
  <c r="T5" i="14" l="1"/>
  <c r="U5"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Benjaluk Yokboriruk</author>
  </authors>
  <commentList>
    <comment ref="B3" authorId="0" shapeId="0" xr:uid="{807DF03B-015B-4C22-91C1-8C99BA6A9AD1}">
      <text>
        <r>
          <rPr>
            <b/>
            <sz val="9"/>
            <color indexed="81"/>
            <rFont val="Tahoma"/>
            <family val="2"/>
          </rPr>
          <t>Benjaluk Yokboriruk:</t>
        </r>
        <r>
          <rPr>
            <sz val="9"/>
            <color indexed="81"/>
            <rFont val="Tahoma"/>
            <family val="2"/>
          </rPr>
          <t xml:space="preserve">
15 - 25%</t>
        </r>
      </text>
    </comment>
    <comment ref="C13" authorId="0" shapeId="0" xr:uid="{7C779FC3-7220-48DC-8FFD-C002C935F01E}">
      <text>
        <r>
          <rPr>
            <b/>
            <sz val="9"/>
            <color indexed="81"/>
            <rFont val="Tahoma"/>
            <family val="2"/>
          </rPr>
          <t>Benjaluk Yokboriruk:</t>
        </r>
        <r>
          <rPr>
            <sz val="9"/>
            <color indexed="81"/>
            <rFont val="Tahoma"/>
            <family val="2"/>
          </rPr>
          <t xml:space="preserve">
60 - 90%</t>
        </r>
      </text>
    </comment>
  </commentList>
</comments>
</file>

<file path=xl/sharedStrings.xml><?xml version="1.0" encoding="utf-8"?>
<sst xmlns="http://schemas.openxmlformats.org/spreadsheetml/2006/main" count="939" uniqueCount="466">
  <si>
    <t>Design</t>
  </si>
  <si>
    <t>Total</t>
  </si>
  <si>
    <t>Phase</t>
  </si>
  <si>
    <t>Business Development</t>
  </si>
  <si>
    <t>Details</t>
  </si>
  <si>
    <t>Deliverables</t>
  </si>
  <si>
    <t>PM</t>
  </si>
  <si>
    <t>Infra</t>
  </si>
  <si>
    <t>Gather Initial Requirements</t>
  </si>
  <si>
    <t>Vendor Selection</t>
  </si>
  <si>
    <t>Impact analyst</t>
  </si>
  <si>
    <t>Peer Review Design Specification</t>
  </si>
  <si>
    <t>Proposal, TOR</t>
  </si>
  <si>
    <t>Cost / Day</t>
  </si>
  <si>
    <t>Order</t>
  </si>
  <si>
    <t>Description</t>
  </si>
  <si>
    <t>Cost</t>
  </si>
  <si>
    <t>ราคานี้ยังไม่รวม Vat 7%</t>
  </si>
  <si>
    <t>Cost  (Development Phase)</t>
  </si>
  <si>
    <t>Cost (BD Phase)</t>
  </si>
  <si>
    <t>Discount</t>
  </si>
  <si>
    <t>Grand Total</t>
  </si>
  <si>
    <t>เบี้ยเลี้ยง</t>
  </si>
  <si>
    <t>ที่พัก</t>
  </si>
  <si>
    <t>ค่าใช้จ่ายอื่นๆ</t>
  </si>
  <si>
    <t>ค่าเดินทาง</t>
  </si>
  <si>
    <t>ส่วนที่ 3</t>
  </si>
  <si>
    <t>ส่วนที่ 1</t>
  </si>
  <si>
    <t>ส่วนที่ 2</t>
  </si>
  <si>
    <t>ค่าดำเนินโครงการโดยที่ปรึกษาภายนอก</t>
  </si>
  <si>
    <t>Vendor</t>
  </si>
  <si>
    <t>Vendor +10%</t>
  </si>
  <si>
    <t>Project Planning</t>
  </si>
  <si>
    <t>Kick-Off Meeting</t>
  </si>
  <si>
    <t>Create Project Plan, Other Plans and Integrate to Project Plan</t>
  </si>
  <si>
    <t>Prepare and setup Development Environment</t>
  </si>
  <si>
    <t>Requirement Development</t>
  </si>
  <si>
    <t>Peer Review Requirement Specification</t>
  </si>
  <si>
    <t>Confirm Requirement Specification with Customer</t>
  </si>
  <si>
    <t>Sign off Requirement Specification</t>
  </si>
  <si>
    <t>Create Baseline for Design(CM)</t>
  </si>
  <si>
    <t>Sign-Off Requirement  &amp; Design Specification</t>
  </si>
  <si>
    <t>Sign off Design Specification</t>
  </si>
  <si>
    <t>Peer Review Technical Specification</t>
  </si>
  <si>
    <t>Create Baseline for Final Preparation</t>
  </si>
  <si>
    <t>Final Preparation</t>
  </si>
  <si>
    <t>Develop Deployment Plan &amp; Readiness Checklist</t>
  </si>
  <si>
    <t>Prepare and setup Production Environment</t>
  </si>
  <si>
    <t xml:space="preserve">Create Final Baseline </t>
  </si>
  <si>
    <t>Project Closure</t>
  </si>
  <si>
    <t>Evaluate supplier/vendor</t>
  </si>
  <si>
    <t>Survey Customer Satisfaction</t>
  </si>
  <si>
    <t>Create Project closure report and Completion sign-off</t>
  </si>
  <si>
    <t>Wilaiwan</t>
  </si>
  <si>
    <t xml:space="preserve">IFM/O
</t>
  </si>
  <si>
    <t>ค่าดำเนินโครงการ PTT Digital</t>
  </si>
  <si>
    <t>Control &amp; Monitoring</t>
  </si>
  <si>
    <t>WBS &amp; Risk Management</t>
  </si>
  <si>
    <t>Gather Requirement Details</t>
  </si>
  <si>
    <t>Clarify Design with Customer</t>
  </si>
  <si>
    <t>End User Training</t>
  </si>
  <si>
    <t>Prepare Training Document</t>
  </si>
  <si>
    <t>W1</t>
  </si>
  <si>
    <t>W2</t>
  </si>
  <si>
    <t>W3</t>
  </si>
  <si>
    <t>W4</t>
  </si>
  <si>
    <t>Project Closure Sign off</t>
  </si>
  <si>
    <t>Testing</t>
  </si>
  <si>
    <t>Sign-off Go Project Closure</t>
  </si>
  <si>
    <t xml:space="preserve">ตามมูลค่าของโครงการเมื่อส่งมอบเอกสาร Sign-Off Requirement &amp; Design </t>
  </si>
  <si>
    <t xml:space="preserve">1. ชำระงวดแรก     </t>
  </si>
  <si>
    <t>2. ชำระงวดที่สอง</t>
  </si>
  <si>
    <t>Go Live</t>
  </si>
  <si>
    <t>Development</t>
  </si>
  <si>
    <t>Coding &amp; Config</t>
  </si>
  <si>
    <t>Perform Security Test &amp; Load Test &amp; Source code GIT hub</t>
  </si>
  <si>
    <t>System Integration Test</t>
  </si>
  <si>
    <t>User Acceptance Test</t>
  </si>
  <si>
    <t>BA</t>
  </si>
  <si>
    <t>ตามมูลค่าของโครงการเมื่อส่งมอบเอกสาร Sign-Off Go live</t>
  </si>
  <si>
    <t>3. ชำระงวดที่สาม</t>
  </si>
  <si>
    <t>Security
chanvut.c</t>
  </si>
  <si>
    <t>Budget</t>
  </si>
  <si>
    <t>Group 1</t>
  </si>
  <si>
    <t>Group 2</t>
  </si>
  <si>
    <t>Group 3</t>
  </si>
  <si>
    <t>Bath</t>
  </si>
  <si>
    <t>Rate</t>
  </si>
  <si>
    <t>Project Management &amp; Requirement</t>
  </si>
  <si>
    <t>Funtional Requirement</t>
  </si>
  <si>
    <t>Technical Requirement</t>
  </si>
  <si>
    <t xml:space="preserve">PPS </t>
  </si>
  <si>
    <t>Technical Lead</t>
  </si>
  <si>
    <t>SA</t>
  </si>
  <si>
    <t>UX/UI</t>
  </si>
  <si>
    <t>Trainer</t>
  </si>
  <si>
    <t>Dev</t>
  </si>
  <si>
    <t>Dev (Unit Test)</t>
  </si>
  <si>
    <t>Tester Vendor</t>
  </si>
  <si>
    <t>Tester Digital</t>
  </si>
  <si>
    <t>Tester</t>
  </si>
  <si>
    <t>Total withoit Unit Test</t>
  </si>
  <si>
    <t>Unit Test</t>
  </si>
  <si>
    <t>Business Requirement</t>
  </si>
  <si>
    <t>Technical Consult Team</t>
  </si>
  <si>
    <t>WSO2</t>
  </si>
  <si>
    <t xml:space="preserve">CA&amp;A </t>
  </si>
  <si>
    <t>Source Code Scan (Coverity and Black Duck)</t>
  </si>
  <si>
    <t>Container Image Scan (Trivy)</t>
  </si>
  <si>
    <t>Security Scan (OWASP ZAP)</t>
  </si>
  <si>
    <t>Quality Scan (SonarQube)</t>
  </si>
  <si>
    <t>Automatic Test (Robot framework)</t>
  </si>
  <si>
    <t>Performance Test (JMeter)</t>
  </si>
  <si>
    <t>ABAP</t>
  </si>
  <si>
    <t>Supharoek Wutthichaipradit</t>
  </si>
  <si>
    <t>SAP Master</t>
  </si>
  <si>
    <t>Panuwat</t>
  </si>
  <si>
    <t>Tawit</t>
  </si>
  <si>
    <t>Connect WSO2</t>
  </si>
  <si>
    <t>No.</t>
  </si>
  <si>
    <t>SAP Function Module</t>
  </si>
  <si>
    <t>Comment</t>
  </si>
  <si>
    <t>Comment (Suthat)</t>
  </si>
  <si>
    <t>ABAP (New Estimate)</t>
  </si>
  <si>
    <t>SAP PI
 (New Estimate)</t>
  </si>
  <si>
    <t>WSO2
 (New Estimate)</t>
  </si>
  <si>
    <t>SAP PM
 (New Estimate)</t>
  </si>
  <si>
    <t>BASIS
 (New Estimate)</t>
  </si>
  <si>
    <t>SAP Master
 (New Estimate)</t>
  </si>
  <si>
    <t>CR SAP PI</t>
  </si>
  <si>
    <t>CR WSO2</t>
  </si>
  <si>
    <t>Modify ZPIPMI032</t>
  </si>
  <si>
    <t>PM Notification</t>
  </si>
  <si>
    <t>การสร้าง Notification ผ่านทาง EIR
การ Release Notification ผ่านทาง EIR</t>
  </si>
  <si>
    <t>1. add new fields from ZPMPME050
2. Change user status and add long text in Notification</t>
  </si>
  <si>
    <t>Modify ZPIPMI033</t>
  </si>
  <si>
    <t>Work Order</t>
  </si>
  <si>
    <t>การสร้าง/แก้ไข/Release/Close Order ผ่านทาง EIR
การ Close Notification ผ่านทาง EIR</t>
  </si>
  <si>
    <t>1. add new fields from ZPMPME070
2. Change user status and add long text in Notification</t>
  </si>
  <si>
    <t>ZPIPMI034</t>
  </si>
  <si>
    <t>Attach URL</t>
  </si>
  <si>
    <t>การแนบ URL Link ใน Notification ผ่านทาง EIR
การแนบ URL Link ใน Order ผ่านทาง EIR</t>
  </si>
  <si>
    <t>Reuse ได้</t>
  </si>
  <si>
    <t>n/a</t>
  </si>
  <si>
    <t>SAP Master - Create user + Grant Read only table 
PM_FL, PM_EQ, PM_NOTI,  PM_ORDER, PM_ORDER_OPERATION, PM_LONGTEXT, PM_CLASS, PM_LOCATION (for ECD, EC2, ECP)</t>
  </si>
  <si>
    <t>ขอ view ที่ EDP
Data lake ผบ
ติดต่อคุณยิ้ม ธนาภรณ์ น้อยรักษา  (560304) THANAPORN.KL@PTTPLC.COM
PTT Digital EDP คุณ สุรฤทธิ์
Surarit Chaisuntharanon surarit.c@pttdigital.com</t>
  </si>
  <si>
    <t>ZPIPMI045</t>
  </si>
  <si>
    <t>PM Time confirmation</t>
  </si>
  <si>
    <t>การทำ Time confirmation ผ่านทาง EIR (Reuse Pyramid)</t>
  </si>
  <si>
    <t>สามารถ Reuse ได้ สอบถามหน่วยงาน ผบ
ติดต่อคุณยิ้ม ธนาภรณ์ น้อยรักษา  (560304) THANAPORN.KL@PTTPLC.COM
PTT Digital EDP คุณ สุรฤทธิ์
Surarit Chaisuntharanon surarit.c@pttdigital.com</t>
  </si>
  <si>
    <t>New ZPIPMIxxx</t>
  </si>
  <si>
    <t>Get RAM Matrix</t>
  </si>
  <si>
    <t xml:space="preserve">Get Constant table ZBC_ROLLOUT_CONS
REPID = ZPMPME050 and ZPMPME070
</t>
  </si>
  <si>
    <t xml:space="preserve">ส่ง RAM Matrix จาก SAP ให้ EIR เพื่อที่จะได้มี RAM Matrix ที่เดียว หากมีการเปลี่ยนแปลงก็จะไม่ต้องแก้ไข 2 ที่
</t>
  </si>
  <si>
    <t>1. RFC Function
2. ต้องการเอา data จาก ZBC_ROLLOUT_CONS ขึ้น EIR</t>
  </si>
  <si>
    <t>Mode:-
1=GET CONSTANT
2=READ OBJECT
3.=UPDATE OBJECT
IT_OBJECT_ID</t>
  </si>
  <si>
    <t>New ZPIPMIyyy</t>
  </si>
  <si>
    <t>Get/Update Attachement link</t>
  </si>
  <si>
    <t>call FM 
SO_OBJECT_READ
SO_OBJECT_UPDATE</t>
  </si>
  <si>
    <t>Call FM
SO_OBJECT_READ
SO_OBJECT_UPDATE</t>
  </si>
  <si>
    <t>3. Mode Read Object
4. Mode Update Object</t>
  </si>
  <si>
    <t>Modify ZPMPME050</t>
  </si>
  <si>
    <t>RAM Notification</t>
  </si>
  <si>
    <t>- Verify data before release (created from ZPIPMI032)
- Support testing ZPIPMI032, ZPIPMI033</t>
  </si>
  <si>
    <t>Modify ZPMPME070</t>
  </si>
  <si>
    <t>RAM Order</t>
  </si>
  <si>
    <t>- Fix case Display mode IW23 --&gt; IW33
- Support testing ZPIPMI032, ZPIPMI033</t>
  </si>
  <si>
    <t>SAP PM Sr.</t>
  </si>
  <si>
    <t>Suthat Lerdarunwatthana</t>
  </si>
  <si>
    <t>Duangjai Channum</t>
  </si>
  <si>
    <t>รวม</t>
  </si>
  <si>
    <t>PI Jr.</t>
  </si>
  <si>
    <t>WSO2 Jr.</t>
  </si>
  <si>
    <t>Panuwat Paitakaew</t>
  </si>
  <si>
    <t>WSO2 Sr.</t>
  </si>
  <si>
    <t xml:space="preserve">Tawit Choedkiatsakul	</t>
  </si>
  <si>
    <t>Basis Sr.</t>
  </si>
  <si>
    <t>Kiattisak Banlengchit</t>
  </si>
  <si>
    <t>SAP Master Sr.</t>
  </si>
  <si>
    <t>Chonticha Makkata</t>
  </si>
  <si>
    <t>Deployment</t>
  </si>
  <si>
    <t>Create Requirement Specification</t>
  </si>
  <si>
    <t xml:space="preserve">Create Design Specification </t>
  </si>
  <si>
    <t>Functional Unit Test</t>
  </si>
  <si>
    <t>Requirement  Gathering</t>
  </si>
  <si>
    <t>Testing SIT, UAT</t>
  </si>
  <si>
    <t>Training, Document</t>
  </si>
  <si>
    <t>Deploy Production</t>
  </si>
  <si>
    <t>Security Scan</t>
  </si>
  <si>
    <t>Infrastructure</t>
  </si>
  <si>
    <t>Web scan (Acunetix)</t>
  </si>
  <si>
    <t>WSO2 API Team</t>
  </si>
  <si>
    <t>Perform Training and Transfer Knowledge</t>
  </si>
  <si>
    <t xml:space="preserve">โครงการ PJR-PTT-eMOC GSP
</t>
  </si>
  <si>
    <t>Sudarat</t>
  </si>
  <si>
    <t>Support warranty 12 Month</t>
  </si>
  <si>
    <t>โครงการ  PJR-PTT-eMOC GSP</t>
  </si>
  <si>
    <t>4. ชำระงวดที่สี่</t>
  </si>
  <si>
    <t>CA&amp;A</t>
  </si>
  <si>
    <t>Data migration</t>
  </si>
  <si>
    <t>Extraction</t>
  </si>
  <si>
    <t>Transform</t>
  </si>
  <si>
    <t>Loading</t>
  </si>
  <si>
    <t>Preload sign-off</t>
  </si>
  <si>
    <t>Postload sign-off</t>
  </si>
  <si>
    <t>Create Business Scenario Test case</t>
  </si>
  <si>
    <t>Prepare Data for Training and Production</t>
  </si>
  <si>
    <t>Deploy Production (Pipeline)</t>
  </si>
  <si>
    <t>Standard</t>
  </si>
  <si>
    <t>x</t>
  </si>
  <si>
    <t>Support after go-live (1 month)</t>
  </si>
  <si>
    <t>Kick off</t>
  </si>
  <si>
    <t>ค่า PJR-PTT-eMOC GSP รวม GSP, Khanom, EPT</t>
  </si>
  <si>
    <t>รายละเอียดการชี้แจงการนำเสนองบประมาณบริการและโครงการต่อ GSP</t>
  </si>
  <si>
    <t xml:space="preserve">Service Name : </t>
  </si>
  <si>
    <t xml:space="preserve">ดำเนินการปรับปรุงระบบ MOC และ Override &gt; 3 วัน ให้สอดคล้องตาม OEMS Framework </t>
  </si>
  <si>
    <t xml:space="preserve">Service Category : </t>
  </si>
  <si>
    <t>Application</t>
  </si>
  <si>
    <t xml:space="preserve">Service Type : </t>
  </si>
  <si>
    <t>Project&amp;Enhance</t>
  </si>
  <si>
    <t>Budget Type :</t>
  </si>
  <si>
    <t>CAPEX</t>
  </si>
  <si>
    <t xml:space="preserve"> PTT Digital Divison Owner : </t>
  </si>
  <si>
    <t>AOU/A</t>
  </si>
  <si>
    <t xml:space="preserve">ระบุชื่อส่วนงาน GSP ที่ใช้บริการ : </t>
  </si>
  <si>
    <t>วก.วบก.</t>
  </si>
  <si>
    <t>สถานะการใช้บริการ :</t>
  </si>
  <si>
    <t>Existing</t>
  </si>
  <si>
    <t>Total Budget Y25</t>
  </si>
  <si>
    <t>Total Budget Y26</t>
  </si>
  <si>
    <t>Budget Trend (Y25 vs Y26) :</t>
  </si>
  <si>
    <t>จำนวนงบประมาณที่แตกต่างระหว่างปี 2025 และ 2026 :</t>
  </si>
  <si>
    <r>
      <rPr>
        <b/>
        <sz val="14"/>
        <rFont val="Cordia New"/>
        <family val="2"/>
      </rPr>
      <t>Remark :</t>
    </r>
    <r>
      <rPr>
        <sz val="14"/>
        <rFont val="Cordia New"/>
        <family val="2"/>
      </rPr>
      <t xml:space="preserve">
ข้อมูลเพิ่มเติมสนับสนุนเกี่ยวกับความสำคัญของโครงการเหตุผลที่ต้องทำ เพื่อทดแทน, พัฒนาหรือปิด Gap อะไร (ถ้ามี)</t>
    </r>
  </si>
  <si>
    <r>
      <t>ระบบ eMoC ของ GSP เป็นระบบที่ใช้ในการบริหารจัดการการดำเนินงานด้านการปรับปรุงหรือเปลี่ยนแปลงได้อย่างเหมาะสมและเป็นระบบที่มีการพิจารณาและให้ความเห็นชอบจากผู้ที่เกี่ยวข้อง ตามกรอบการดำเนินงานของ Operational Excellence Management System (OEMS) ซึ่งเป็นแนวทางที่บริษัทในกลุ่ม ปตท. ใช้เป็นกรอบในการจัดระบบบริหารจัดการภายในองค์กร
โดย PTT Digital ได้เสนอเป็นการพัฒนาระบบงานใหม่ที่เป็น Modernize Application เพื่อ Replace ระบบงานเดิม</t>
    </r>
    <r>
      <rPr>
        <b/>
        <sz val="14"/>
        <color rgb="FFFF0000"/>
        <rFont val="Cordia New"/>
        <family val="2"/>
      </rPr>
      <t xml:space="preserve"> </t>
    </r>
    <r>
      <rPr>
        <b/>
        <u/>
        <sz val="14"/>
        <color rgb="FFFF0000"/>
        <rFont val="Cordia New"/>
        <family val="2"/>
      </rPr>
      <t xml:space="preserve">โดยการประเมินได้รวมการพัฒนาของพื้นที่ โรงแยกก๊าซฯระยอง, โรงแยกก๊าซฯขนอม, คลังภาคตะวันออก
</t>
    </r>
    <r>
      <rPr>
        <sz val="14"/>
        <color rgb="FFFF0000"/>
        <rFont val="Cordia New"/>
        <family val="2"/>
      </rPr>
      <t xml:space="preserve"> โดย Key user ต้องการปรับปรุงดังนี้
1. GSP มีแผนปรับปรุง MoC Procedure เพื่อให้เป็นไปตาม PTT Group’s Operational Excellence Management System (OEMS) และ Recommendation Practice (RP) ซึ่งเป็นแนวทางที่บริษัทในกลุ่ม ปตท. ใช้เป็นกรอบในการจัดระบบบริหารจัดการภายในองค์กร​
2. Electronic Form สำหรับ การประเมินความเสี่ยง , ประเมินรายการใบอนุญาต, PSI Check List ​
3. ระบบ Electronic Tracking Status สำหรับ Recommendation ระหว่างดำเนินการปรับปรุงเปลี่ยนแปลง​
4. ระบบ Electronic PSSR Punch List Status ก่อนการส่งมอบ
5. ระบบ e-MOC มีปัญหาการใช้งานจากระบบเดิม เช่น การขอแก้ไขข้อมูล MOC, การแก้ไขผู้รับผิดชอบในแต่ละ Part, การบันทึกข้อมูลที่เปลี่ยนแปลงจากงาน Maintenance Change เป็นต้น ทำให้เกิดค่าใช้จ่ายในการ Request ขอดำเนินการขอแก้ไขข้อมูล
6. ​GSP ได้รับ GAP จากการตรวจประเมิน MOC 3rd MA ประจำปี 2566 โดย PTT Group ซึ่งมี Recommendation ทั้งหมด 37 หัวข้อ 
ด้วยเหตุผลดังกล่าวข้างต้น ทาง PTT Digital จึงได้เสนอเป็นการพัฒนาระบบงานใหม่ เพื่อ Replace ระบบงานเดิม เนื่องจากระบบงานเดิม ไม่สามารถที่จะปรับปรุงเพื่อแก้ไข ปัญหาจากระบบงานเดิมได้ทั้งหมด ด้วยเทคโนโลยีของระบบงานที่พัฒนามาตั้งแต่ปี 2015 ไม่สามารถที่จะ upgrade Tool ที่พัฒนาให้ใหม่ขึ้นกว่าเดิมได้ ทำให้การออกแบบและปรับปรุงระบบงานมีข้อจำกัดในการใช้งาน Tool</t>
    </r>
  </si>
  <si>
    <t>การแจกแจง Task และที่มาการคิดค่าบริการ (Delivery)</t>
  </si>
  <si>
    <t>Task Type</t>
  </si>
  <si>
    <t>ประเภทค่าใช้จ่าย</t>
  </si>
  <si>
    <t xml:space="preserve">รายละเอียด Task  ที่ต้องดำเนินการ </t>
  </si>
  <si>
    <t>Breakdown อัตราค่าบริการราย Task</t>
  </si>
  <si>
    <t>สถานะ Functions/Task 
(Required / Optional)</t>
  </si>
  <si>
    <t xml:space="preserve">กรณีเลือก Optional โปรดระบุ Impact หรือผลกระทบจากการตัด Function หรือ Service ดังกล่าว </t>
  </si>
  <si>
    <t>Project Management</t>
  </si>
  <si>
    <t xml:space="preserve">Project Management                        </t>
  </si>
  <si>
    <t>ค่าแรง</t>
  </si>
  <si>
    <t>Project Manager</t>
  </si>
  <si>
    <t>Required</t>
  </si>
  <si>
    <t>Business Analyst</t>
  </si>
  <si>
    <t>1.    รองรับการทำงานของ Work flow MOC – Plant Change – Permanent (Impact PSI)</t>
  </si>
  <si>
    <t>2.    รองรับการทำงานของ Work flow MOC – Plant Change – Temporary(Impact PSI)</t>
  </si>
  <si>
    <t>3.    รองรับการทำงานของ Work flow MOC – Plant Change – Permanent (No Impact PSI)</t>
  </si>
  <si>
    <t>4.    รองรับการทำงานของ Work flow MOC – Plant Change – Temporary(No Impact PSI)</t>
  </si>
  <si>
    <t>5.    รองรับการทำงานของ Work flow Overriding มากกว่า 3 วัน</t>
  </si>
  <si>
    <t>6.    รองรับการทำงานของ Work flow Overriding น้อยกว่า 3 วัน</t>
  </si>
  <si>
    <t>7.    รองรับการทำงานของ Work flow Emergency Change</t>
  </si>
  <si>
    <t>สามารถกรอกแบบฟอร์ม Online ได้ ดังนี้
1.   รองรับแบบฟอร์ม Preliminary Safety Assesment &amp; PHA Review
2.  รองรับแบบฟอร์ม PSI Master List
3.   รองรับแบบฟอร์ม Override Risk Assessment 
4.   รองรับแบบฟอร์ม Government License Verification Checklist
5.   รองรับแบบฟอร์ม SHE Assessment Check List Form
6.   รองรับการคำนวณ Risk Ranking ตาม Risk Matrix ได้</t>
  </si>
  <si>
    <t>Administrator สามารถปรับแก้ไข Workflow ได้
1.    สามารถเพิ่มขั้นตอนใน Workflow โดยขั้นตอนที่เพิ่มเป็นไปตามรายการ Workflow Item Template
2.    สามารถระบุตัวบุคคลที่ต้องการให้ดำเนินการขั้นตอนใดใน Workflow ได้ โดยระบบรองรับ Role ที่มีการกำหนดไว้ในระบบ
3.    รองรับการกำหนดขั้นตอนใน Workflow เป็นแบบ Sequential และ Parallel ได้
4.    สามารถแก้ไขและยกเลิกขั้นตอนใน Workflow ได้
5.    สามารถปรับแก้ไขข้อมูลที่เป็นตัวเลือกบนแบบฟอร์ม MOC ได้ เช่น รายการข้อมูลใน Drop Down List หรือใน Check box / Choice เป็นต้น (ไม่สามารถปรับแบบฟอร์มเช่นการเพิ่ม/ลด field บนแบบฟอร์มได้) เช่น Reason for Change, Document Check List เป็นต้น</t>
  </si>
  <si>
    <t>การ Interface ระบบงานที่เกี่ยวข้องจำนวน 6 ระบบงาน ได้แก่
1. รองรับการเชื่อมต่อกับระบบ MPI Online เพื่อรองรับการส่งข้อมูลมาสร้าง MOC จากระบบ MPI Online
2.  รองรับการ Interface กับระบบ PTT-GSP Daily report เพื่อดึงข้อมูลพนักงานที่สังกัด Plant GSP1,GSP2,GSP3 และพนักงานที่เป็นตำแหน่งหัวหน้าพนักงาน และส่งข้อมูลงาน Override ทั้งมากกว่าและน้อยกว่า 3 วัน ให้กับ PTT-GSP Daily report ผ่าน API WSO2
3. รองรับการเชื่อมต่อกับระบบ iRisk เพื่อส่งข้อมูลความเสี่ยงของแต่ละ MOC ไปให้ระบบ iRisk ผ่าน API
4.  รองรับการเชื่อมต่อกับระบบ PIS (หรือระบบ HR)   เพื่อดึงข้อมูลพนักงาน, โครงสร้างองค์กร, สายบังคับบัญชา เพื่อใช้ในการ
5. รองรับการเชื่อมต่อกับระบบ Ship เพื่อส่งข้อมูลงาน MOC ให้กับระบบ ship ผ่าน API WSO2
6. รองรับการเชื่อมต่อกับระบบ Aims เพื่อส่งข้อมูลงาน MOC ให้กับระบบ  Aims ผ่าน API WSO2</t>
  </si>
  <si>
    <t>1. สามารถส่งเมลแจ้งผู้เกี่ยวข้องเมื่อได้รับมอบหมายงานในขั้นตอนต่างๆ ได้
2. สามารถส่งเมลแจ้งผู้เกี่ยวข้องเพื่อแจ้งเตือนสถานะของ MOC
2.1  ระบบส่งเมล Monthly Progress Report เพื่อสรุปรายการ MOC ที่เกี่ยวข้องและอยู่ระหว่างดำเนินการให้กับผู้เกี่ยวข้องอัตโนมัติทุกเดือน
2.2   ระบบส่งเมลแจ้ง Admin, Project engineer, Review team, Manage review team สำหรับรายการ MOC ที่ต้องติดตามเป็นพิเศษ ได้แก่
2.2.1  Temporary MOC ที่ใกล้หมดอายุ
2.2.2  Temporary MOC ที่หมดอายุแล้ว
2.2.3  MOC ที่ไม่มีการเคลื่อนไหวเป็นเวลานาน
2.3   เตือนงาน ก่อนครบกำหนดแล้วเสร็จ, ครบกำหนดแล้วเสร็จ, ครบกำหนดรื้อถอนงาน Temporary change
2.4  Override - ครบกำหนดติดตามงาน &gt;ติดตาม Task งาน override เกิน 3 วัน
2.5  Override - ครบกำหนดติดตามงาน override ไม่เกิน 3 วัน
2.6  Override - งาน Override ไม่เกิน 3 วัน แจ้งตือนเมื่ออนุมัติครบกำหนด 48 ชั่วโมง, ครบกำหนด 72 ชั่วโมง</t>
  </si>
  <si>
    <t>การออกรายงาน และ Dashbaord
1.     สามารถออกรายงาน MOC Status Summary Report ได้
2.     สามารถออกรายงาน MOC Status Progress Summary Report 
3.    สามารถ Export รายการ MOC ที่อยู่ระหว่างดำเนินการในรูปแบบ Excel ได้
4.    สามารถออกรายงาน MOC Active Status ได้
5.    สามารถออกรายงาน MOC Dashboard ได้
6.    สามารถออกรายงาน MOC: Quality, Process, Law, Safety Health &amp; Environment Report
7.    สามารถออกรายงาน  MOC: Classification report
8.    สามารถออกรายงาน Override: Overall Plant Report
9.    สามารถออกรายงาน Dashboard Overall Plant Status
10.   ออกรายงาน KPI Report ได้
11.  สามารถ generate file PDF จากข้อมูล MOC ได้</t>
  </si>
  <si>
    <t>การเข้าใช้งานระบบ
1.    การเข้าใช้งานมีการยืนยันตัวตนด้วยการ Login ด้วย Azure AD ใน Domain PTT
2.    เชื่อมต่อการ Login ผ่านระบบ CA&amp;A ของทาง PTT เพื่อรองรับการ Authentication &amp; Authorization
3.     มีการเก็บ Log การเข้าใช้งานระบบ</t>
  </si>
  <si>
    <t>รวมงบประมาณทั้งหมด</t>
  </si>
  <si>
    <t xml:space="preserve">การชี้แจงข้อมูลอัตราการให้บริการที่เปลี่ยนแปลงแตกต่างจากปี 2025 สำหรับบริการที่ GSP ใช้อยู่เดิม </t>
  </si>
  <si>
    <t>การแจกแจงที่มาอัตราค่าบริการปี 2026 ที่เพิ่มขึ้น</t>
  </si>
  <si>
    <t>จำนวนอุปกรณ์เพิ่มขึ้น :</t>
  </si>
  <si>
    <t>รวมมูลค่าที่เพิ่มขึ้น :</t>
  </si>
  <si>
    <t>จำนวน Site เพิ่มขึ้น</t>
  </si>
  <si>
    <t>จำนวน การให้บริการเพิ่มขึ้น :</t>
  </si>
  <si>
    <t xml:space="preserve">อายุการใช้งานอุปกรณ์ : </t>
  </si>
  <si>
    <t>การจัดสรรงบประมาณจาก กทญ. มาที่ GSP :</t>
  </si>
  <si>
    <t>อัตราค่าบริการ Price List จากเจ้าของผลิตภัณฑ์ :</t>
  </si>
  <si>
    <t>อัตราค่าบริการที่ได้รับการยืนยันจาก Vendor 
ผู้ให้บริการร่วมกับ PTT Digital :</t>
  </si>
  <si>
    <t>ข้อมูลสนับสนุนเพื่อ GSP พิจารณาการบริหารจัดการงบประมาณระยะยาว (Long-Term Management)</t>
  </si>
  <si>
    <r>
      <t xml:space="preserve">Service Pricing Trend
ข้อมูลแนวโน้มการนำเสนออัตราค่าบริการในระยะยาวเป็นอย่างไร และเพราะอะไร?
</t>
    </r>
    <r>
      <rPr>
        <sz val="14"/>
        <color rgb="FFFFFF00"/>
        <rFont val="Cordia New"/>
        <family val="2"/>
      </rPr>
      <t xml:space="preserve">(เช่น เพิ่มขึ้นทุกปี / ผันแปรตามจำนวนการใช้งาน / เท่ากันทุกปี etc โปรดระบุเหตุผลและความจำเป็น) : </t>
    </r>
  </si>
  <si>
    <t xml:space="preserve">ข้อเสนอแนะแนวทางในการบริหารจัดการงบประมาณในระยะยาวเพื่อสนับสนุนนโยบายการควบคุมงบประมาณ IT ของ GSP : </t>
  </si>
  <si>
    <r>
      <t xml:space="preserve">สามารถปรับ scope การทำงานเพื่อลดทอนงบประมาณค่าบริการได้หรือไม่ </t>
    </r>
    <r>
      <rPr>
        <sz val="14"/>
        <color rgb="FFFFFF00"/>
        <rFont val="Cordia New"/>
        <family val="2"/>
      </rPr>
      <t>(Yes, No) :</t>
    </r>
  </si>
  <si>
    <r>
      <t>รายละเอียดข้อเสนอแนะ</t>
    </r>
    <r>
      <rPr>
        <sz val="14"/>
        <color rgb="FFFFFF00"/>
        <rFont val="Cordia New"/>
        <family val="2"/>
      </rPr>
      <t xml:space="preserve">กรณีสามารถปรับ scope การทำงานเพื่อลดทอนงบประมาณ IT  โปรดระบุว่าควรปรับลดส่วนใด </t>
    </r>
    <r>
      <rPr>
        <sz val="14"/>
        <color theme="0"/>
        <rFont val="Cordia New"/>
        <family val="2"/>
      </rPr>
      <t>:</t>
    </r>
  </si>
  <si>
    <r>
      <t xml:space="preserve"> เหตุผลสนับสนุน</t>
    </r>
    <r>
      <rPr>
        <sz val="14"/>
        <color rgb="FFFFFF00"/>
        <rFont val="Cordia New"/>
        <family val="2"/>
      </rPr>
      <t xml:space="preserve">กรณีไม่สามารถลดทอนงบประมาณลงได้ </t>
    </r>
    <r>
      <rPr>
        <sz val="14"/>
        <color theme="0"/>
        <rFont val="Cordia New"/>
        <family val="2"/>
      </rPr>
      <t>:</t>
    </r>
  </si>
  <si>
    <t>สถานะการต่อรองราคากับ Vendor ผู้ให้บริการ :</t>
  </si>
  <si>
    <t>ส่วนขยาย Workflow GSP MOC เพื่อรองรับการทำงานของ KHM</t>
  </si>
  <si>
    <t>KHM Email Notification</t>
  </si>
  <si>
    <t>EPT MOC - Permanent (Impact PSI)</t>
  </si>
  <si>
    <t>EPT MOC - Temporary (Impact PSI)</t>
  </si>
  <si>
    <t>EPT MOC - Permanent (No Impact PSI)</t>
  </si>
  <si>
    <t xml:space="preserve">EPT MOC - Temporary (No Impact PSI)  </t>
  </si>
  <si>
    <t>EPT MOC - Emergency</t>
  </si>
  <si>
    <t>EPT MOC - Override &gt; 3 Day</t>
  </si>
  <si>
    <t>EPT MOC - Override &lt;= 3 Day</t>
  </si>
  <si>
    <t>EPT Email Notification</t>
  </si>
  <si>
    <t>EPT  Manage Work Flow</t>
  </si>
  <si>
    <t>Vendor :Pheonix Modern, The Iceland</t>
  </si>
  <si>
    <t>EPT Report</t>
  </si>
  <si>
    <t>M1</t>
  </si>
  <si>
    <t>M2</t>
  </si>
  <si>
    <t>M3</t>
  </si>
  <si>
    <t>M4</t>
  </si>
  <si>
    <t>M5</t>
  </si>
  <si>
    <t>M6</t>
  </si>
  <si>
    <t>M7</t>
  </si>
  <si>
    <t>M8</t>
  </si>
  <si>
    <t>M9</t>
  </si>
  <si>
    <t>M10</t>
  </si>
  <si>
    <t>M11</t>
  </si>
  <si>
    <t>M12</t>
  </si>
  <si>
    <t>M13</t>
  </si>
  <si>
    <t>M14</t>
  </si>
  <si>
    <t>M15</t>
  </si>
  <si>
    <t>M16</t>
  </si>
  <si>
    <t>M17</t>
  </si>
  <si>
    <t>M18</t>
  </si>
  <si>
    <t>M19</t>
  </si>
  <si>
    <t>M20</t>
  </si>
  <si>
    <t>M21</t>
  </si>
  <si>
    <t>M22</t>
  </si>
  <si>
    <t>Kick-off Project</t>
  </si>
  <si>
    <t>Kick off Project</t>
  </si>
  <si>
    <t>Gather Requirement</t>
  </si>
  <si>
    <t>รวบรวม Requirement ส่วนงาน GSP RYG&amp;KHM</t>
  </si>
  <si>
    <t>Sign off Requirement Specification ส่วนงาน GSP RYG&amp;KHM</t>
  </si>
  <si>
    <t>Design System</t>
  </si>
  <si>
    <t xml:space="preserve">TO-BE Software Design ส่วนงาน GSP RYG&amp;KHM </t>
  </si>
  <si>
    <t xml:space="preserve">Present Software Design ส่วนงาน GSP RYG&amp;KHM </t>
  </si>
  <si>
    <t>Design Infrastructure</t>
  </si>
  <si>
    <t>จัดเตรียม Infrastructure</t>
  </si>
  <si>
    <t>Sign-off Design Specification ส่วนงาน GSP RYG&amp;KHM</t>
  </si>
  <si>
    <t>Phase : EPT - Project Preparation (Total 10%)</t>
  </si>
  <si>
    <t>รวบรวม Requirement ส่วนงาน EPT</t>
  </si>
  <si>
    <t>Sign off Requirement Specification ส่วนงาน EPT</t>
  </si>
  <si>
    <t>TO-BE Software Design ส่วนงาน EPT</t>
  </si>
  <si>
    <t>Present Software Design ส่วนงาน EPT</t>
  </si>
  <si>
    <t>Sign-off Design Specification ส่วนงาน EPT</t>
  </si>
  <si>
    <t>Prepare Technical Document
&amp; Build Application</t>
  </si>
  <si>
    <t>Configuration</t>
  </si>
  <si>
    <t>Coding / Install to Test System ส่วนงาน GSP RYG&amp;KHM</t>
  </si>
  <si>
    <t>Unit Test ส่วนงาน GSP RYG&amp;KHM</t>
  </si>
  <si>
    <t>Integration Test (SIT)</t>
  </si>
  <si>
    <t>Interface Test ส่วนงาน GSP RYG&amp;KHM</t>
  </si>
  <si>
    <t>System Integration Test ส่วนงาน GSP RYG&amp;KHM</t>
  </si>
  <si>
    <t>User Acceptance Test (UAT)</t>
  </si>
  <si>
    <t>Sign-off User Acceptance Test ส่วนงาน GSP RYG&amp;KHM</t>
  </si>
  <si>
    <t>Performance &amp; Security Test</t>
  </si>
  <si>
    <t xml:space="preserve">Peformance &amp; Security Test </t>
  </si>
  <si>
    <t xml:space="preserve">20.1 Performance Test (Load Test) </t>
  </si>
  <si>
    <t>20.2 Security Test</t>
  </si>
  <si>
    <t>Training &amp; Prepare Production Environment</t>
  </si>
  <si>
    <t>Deployment ส่วนงาน GSP RYG&amp;KHM</t>
  </si>
  <si>
    <t>User &amp; Admin Manual ส่วนงาน GSP RYG&amp;KHM</t>
  </si>
  <si>
    <t>Technical Manual ส่วนงาน GSP RYG&amp;KHM</t>
  </si>
  <si>
    <t>Migration Data ส่วนงาน GSP RYG&amp;KHM</t>
  </si>
  <si>
    <t>Go-Live ส่วนงาน GSP RYG&amp;KHM</t>
  </si>
  <si>
    <t>Configuration ส่วนงาน EPT</t>
  </si>
  <si>
    <t>Coding / Install to Test System ส่วนงาน EPT</t>
  </si>
  <si>
    <t>Unit Test ส่วนงาน EPT</t>
  </si>
  <si>
    <t>Interface Test ส่วนงาน EPT</t>
  </si>
  <si>
    <t>System Integration Test ส่วนงาน EPT</t>
  </si>
  <si>
    <t>Sign-off User Acceptance Test ส่วนงาน EPT</t>
  </si>
  <si>
    <t xml:space="preserve">35.1 Performance Test (Load Test) </t>
  </si>
  <si>
    <t>35.2 Security Test</t>
  </si>
  <si>
    <t>Deployment ส่วนงาน EPT</t>
  </si>
  <si>
    <t>User &amp; Admin Manual ส่วนงาน EPT</t>
  </si>
  <si>
    <t>Technical Manual ส่วนงาน EPT</t>
  </si>
  <si>
    <t>Migration Data ส่วนงาน EPT</t>
  </si>
  <si>
    <t>Go-Live and Sign-off</t>
  </si>
  <si>
    <t>Support after Go-Live (30 Days)</t>
  </si>
  <si>
    <t>Project Complete Presentation</t>
  </si>
  <si>
    <t>Sign-off #1</t>
  </si>
  <si>
    <t>Sign-off #2</t>
  </si>
  <si>
    <t>Sign-off #3</t>
  </si>
  <si>
    <t>Phase : GSP RYG&amp;KHM - Project Preparation &amp; Software Requirement</t>
  </si>
  <si>
    <t xml:space="preserve">Phase : EPT - Software Design </t>
  </si>
  <si>
    <t>Phase : GSP RYG&amp;KHM - Software Design</t>
  </si>
  <si>
    <t>Sign-off #4</t>
  </si>
  <si>
    <t>Sign-off #5</t>
  </si>
  <si>
    <t>Sign-off #6</t>
  </si>
  <si>
    <t>Phase : GSP RYG&amp;KHM - Development &amp; Testing</t>
  </si>
  <si>
    <t>Phase : GSP RYG&amp;KHM - Deployment &amp; Support</t>
  </si>
  <si>
    <t>Phase : EPT - Development &amp; Testing</t>
  </si>
  <si>
    <t>Phase : EPT - Deployment &amp; Support</t>
  </si>
  <si>
    <t>User Acceptance Test ส่วนงาน GSP RYG&amp;KHM</t>
  </si>
  <si>
    <t>User Acceptance Test ส่วนงาน EPT</t>
  </si>
  <si>
    <t>Training ส่วนงาน GSP RYG</t>
  </si>
  <si>
    <t>Training ส่วนงาน GSP KHM</t>
  </si>
  <si>
    <t>Training ส่วนงาน EPT</t>
  </si>
  <si>
    <t>Task</t>
  </si>
  <si>
    <t>Milestone#1 RYG,KNM Requirement &amp; Design Sign-off</t>
  </si>
  <si>
    <t>Milestone#2 EPT Requirement &amp; Design Sign-off</t>
  </si>
  <si>
    <t>Milestone#3 RYG,KNM User Acceptance Test Sign-off</t>
  </si>
  <si>
    <t>Milestone#4 RYG,KNM Go Live Sign-off</t>
  </si>
  <si>
    <t>Milestone#5 EPT User Acceptance Test Sign-off</t>
  </si>
  <si>
    <t>Milestone#6 EPT Go Live Sign-off</t>
  </si>
  <si>
    <t>รายชื่อผู้ดำเนินงานหลักของโครงการและช่องทางการติดต่อ</t>
  </si>
  <si>
    <t>ลำดับ</t>
  </si>
  <si>
    <t>ชื่อ-นามสกุล</t>
  </si>
  <si>
    <t>ตำแหน่ง</t>
  </si>
  <si>
    <t>หน่วยงาน</t>
  </si>
  <si>
    <t>และบริษัท</t>
  </si>
  <si>
    <t>หมายเลขติดต่อ</t>
  </si>
  <si>
    <t>Email Address</t>
  </si>
  <si>
    <t>คุณธีรสันต์ กูลมงคลรัตน์</t>
  </si>
  <si>
    <t>Project Sponsor</t>
  </si>
  <si>
    <t>PTT</t>
  </si>
  <si>
    <t>038-676-104</t>
  </si>
  <si>
    <t>teerasan.k@pttplc.com</t>
  </si>
  <si>
    <t>คุณภากร สุริยาภิวัฒน์</t>
  </si>
  <si>
    <t>pakorn.suriya@pttplc.com</t>
  </si>
  <si>
    <t>คุณกลศ บุณยะวรรธนะ</t>
  </si>
  <si>
    <t>Project Advisor</t>
  </si>
  <si>
    <t>038-676-400</t>
  </si>
  <si>
    <t>klot.b@pttplc.com</t>
  </si>
  <si>
    <t>คุณวิภานันท์ รัตนบันดาล</t>
  </si>
  <si>
    <t>Key user</t>
  </si>
  <si>
    <t>038-676-415</t>
  </si>
  <si>
    <t>wipanan.k@pttplc.com</t>
  </si>
  <si>
    <t>คุณวรวิทย์ ย่องลั่น</t>
  </si>
  <si>
    <t>075-304-441</t>
  </si>
  <si>
    <t>worawit.y@pttplc.com</t>
  </si>
  <si>
    <t>คุณจักรพันธ์ ศรียาภัย</t>
  </si>
  <si>
    <t>jakaphan.s@pttplc.com</t>
  </si>
  <si>
    <t>คุณภณินท์รัตน์ วิรานันท์</t>
  </si>
  <si>
    <t>PMO &amp; OCIO</t>
  </si>
  <si>
    <t>02-537-1350</t>
  </si>
  <si>
    <t>phanintrat.w@pttplc.com</t>
  </si>
  <si>
    <t>คุณมงคล น้อมรับพร</t>
  </si>
  <si>
    <t>091-566-5691</t>
  </si>
  <si>
    <t>mongkol_n@pttplc.com</t>
  </si>
  <si>
    <t>คุณจุไรรัตน์ ดำรงธรรม</t>
  </si>
  <si>
    <t xml:space="preserve">Project Sponsor </t>
  </si>
  <si>
    <t>PTT Digital</t>
  </si>
  <si>
    <t>02-140-2028</t>
  </si>
  <si>
    <t>jurairat.d@pttdigital.com</t>
  </si>
  <si>
    <t>คุณศุภรดา อยู่เสดียง</t>
  </si>
  <si>
    <t>092-289-6595</t>
  </si>
  <si>
    <t>supharada.u@pttdigital.com</t>
  </si>
  <si>
    <t>คุณวิไลวรรณ ภู่ถาวร</t>
  </si>
  <si>
    <t>086-068-3419</t>
  </si>
  <si>
    <t>wilaiwan.p@pttdigital.com</t>
  </si>
  <si>
    <t>คุณสุดารัตน์ ขจรรัตน์</t>
  </si>
  <si>
    <t>Business Analyst, System Analyst, Tester</t>
  </si>
  <si>
    <t>089-248-1305</t>
  </si>
  <si>
    <t>zsudarat.k@pttdigital.com</t>
  </si>
  <si>
    <t>คุณธวิทย์ เชิดเกียรติสกุล</t>
  </si>
  <si>
    <t>WSO2 API Developer</t>
  </si>
  <si>
    <t>086-685-4586</t>
  </si>
  <si>
    <t>tawit.c@pttdigital.com</t>
  </si>
  <si>
    <t>คุณภานุวัฒน์ ไผ่ตาแก้ว</t>
  </si>
  <si>
    <t>095-650-1490</t>
  </si>
  <si>
    <t>zpanuwat.pa@pttdigital.com</t>
  </si>
  <si>
    <t>คุณชยพล มาช่วย</t>
  </si>
  <si>
    <t>System Analyst</t>
  </si>
  <si>
    <t>084-631-8958</t>
  </si>
  <si>
    <t>zchayapon.m@pttdigital.com</t>
  </si>
  <si>
    <t>คุณพัชร มีสวัสดิ์</t>
  </si>
  <si>
    <t>062-428-3335</t>
  </si>
  <si>
    <t>zpatchara.m@pttdigital.com</t>
  </si>
  <si>
    <t>คุณพชร สุวรรณสิทธิ์</t>
  </si>
  <si>
    <t>System Engineer</t>
  </si>
  <si>
    <t>065-719-4069</t>
  </si>
  <si>
    <t>zpachara.s@pttdigital.com</t>
  </si>
  <si>
    <t>คุณธนาดล เลิศศักดิ์เจริญกุล</t>
  </si>
  <si>
    <t>Security Engineer</t>
  </si>
  <si>
    <t>084-702-2289</t>
  </si>
  <si>
    <t>thanadol.l@pttdigital.com</t>
  </si>
  <si>
    <t>Man-day</t>
  </si>
  <si>
    <t>Azure AD, B2C
Developer
zchayapon.m</t>
  </si>
  <si>
    <t>Infra Server
IFM/O
zpachara.s</t>
  </si>
  <si>
    <t>Infra
Server
DevOps
zpatchara.m</t>
  </si>
  <si>
    <t>(ระยะเวลาโครงการ 18 เดือน)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</si>
</sst>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43" formatCode="_-* #,##0.00_-;\-* #,##0.00_-;_-* &quot;-&quot;??_-;_-@_-"/>
    <numFmt numFmtId="187" formatCode="_(* #,##0.00_);_(* \(#,##0.00\);_(* &quot;-&quot;??_);_(@_)"/>
    <numFmt numFmtId="188" formatCode="&quot;฿&quot;#,##0.00"/>
    <numFmt numFmtId="189" formatCode="_-[$฿-41E]* #,##0.00_-;\-[$฿-41E]* #,##0.00_-;_-[$฿-41E]* &quot;-&quot;??_-;_-@_-"/>
    <numFmt numFmtId="190" formatCode="_-* #,##0_-;\-* #,##0_-;_-* &quot;-&quot;??_-;_-@_-"/>
    <numFmt numFmtId="191" formatCode="_(* #,##0_);_(* \(#,##0\);_(* &quot;-&quot;??_);_(@_)"/>
    <numFmt numFmtId="192" formatCode="0.0%"/>
  </numFmts>
  <fonts count="67">
    <font>
      <sz val="11"/>
      <color theme="1"/>
      <name val="Tahoma"/>
      <family val="2"/>
      <charset val="222"/>
      <scheme val="minor"/>
    </font>
    <font>
      <sz val="11"/>
      <color theme="1"/>
      <name val="Tahoma"/>
      <family val="2"/>
      <charset val="222"/>
      <scheme val="minor"/>
    </font>
    <font>
      <sz val="10"/>
      <color theme="1"/>
      <name val="Tahoma"/>
      <family val="2"/>
      <scheme val="minor"/>
    </font>
    <font>
      <b/>
      <sz val="10"/>
      <color theme="1"/>
      <name val="Tahoma"/>
      <family val="2"/>
      <scheme val="minor"/>
    </font>
    <font>
      <b/>
      <sz val="9"/>
      <color rgb="FFFFFFFF"/>
      <name val="Tahoma"/>
      <family val="2"/>
    </font>
    <font>
      <b/>
      <sz val="9"/>
      <color theme="1"/>
      <name val="Tahoma"/>
      <family val="2"/>
    </font>
    <font>
      <sz val="9"/>
      <color theme="1"/>
      <name val="Tahoma"/>
      <family val="2"/>
    </font>
    <font>
      <sz val="10"/>
      <color rgb="FFFF0000"/>
      <name val="Tahoma"/>
      <family val="2"/>
      <charset val="222"/>
      <scheme val="minor"/>
    </font>
    <font>
      <sz val="10"/>
      <color theme="1"/>
      <name val="Tahoma"/>
      <family val="2"/>
      <charset val="222"/>
      <scheme val="minor"/>
    </font>
    <font>
      <b/>
      <sz val="10"/>
      <color theme="0"/>
      <name val="Tahoma"/>
      <family val="2"/>
      <scheme val="minor"/>
    </font>
    <font>
      <sz val="11"/>
      <color theme="1"/>
      <name val="Tahoma"/>
      <family val="2"/>
      <scheme val="minor"/>
    </font>
    <font>
      <sz val="10"/>
      <color theme="1"/>
      <name val="Sathu"/>
      <family val="2"/>
    </font>
    <font>
      <b/>
      <sz val="10"/>
      <name val="Tahoma"/>
      <family val="2"/>
      <scheme val="minor"/>
    </font>
    <font>
      <sz val="10"/>
      <name val="Tahoma"/>
      <family val="2"/>
      <scheme val="minor"/>
    </font>
    <font>
      <sz val="11"/>
      <color theme="1"/>
      <name val="Calibri"/>
      <family val="2"/>
    </font>
    <font>
      <b/>
      <sz val="10"/>
      <color theme="1"/>
      <name val="Calibri"/>
      <family val="2"/>
    </font>
    <font>
      <sz val="11"/>
      <color theme="0"/>
      <name val="Calibri"/>
      <family val="2"/>
    </font>
    <font>
      <sz val="10"/>
      <color theme="1"/>
      <name val="Calibri"/>
      <family val="2"/>
    </font>
    <font>
      <sz val="9"/>
      <color theme="1"/>
      <name val="Tahoma"/>
      <family val="2"/>
      <charset val="222"/>
      <scheme val="minor"/>
    </font>
    <font>
      <sz val="9"/>
      <name val="Tahoma"/>
      <family val="2"/>
    </font>
    <font>
      <sz val="11"/>
      <name val="Tahoma"/>
      <family val="2"/>
      <charset val="222"/>
      <scheme val="minor"/>
    </font>
    <font>
      <b/>
      <sz val="8"/>
      <color theme="1"/>
      <name val="Tahoma"/>
      <family val="2"/>
      <scheme val="minor"/>
    </font>
    <font>
      <b/>
      <sz val="11"/>
      <color theme="1"/>
      <name val="Calibri"/>
      <family val="2"/>
    </font>
    <font>
      <b/>
      <sz val="11"/>
      <color theme="1"/>
      <name val="Tahoma"/>
      <family val="2"/>
      <charset val="222"/>
      <scheme val="minor"/>
    </font>
    <font>
      <sz val="16"/>
      <color theme="1"/>
      <name val="Cordia New"/>
      <family val="2"/>
      <charset val="222"/>
    </font>
    <font>
      <b/>
      <sz val="16"/>
      <color theme="1"/>
      <name val="Cordia New"/>
      <family val="2"/>
      <charset val="222"/>
    </font>
    <font>
      <sz val="16"/>
      <name val="Cordia New"/>
      <family val="2"/>
      <charset val="222"/>
    </font>
    <font>
      <b/>
      <sz val="16"/>
      <name val="Cordia New"/>
      <family val="2"/>
      <charset val="222"/>
    </font>
    <font>
      <sz val="16"/>
      <color rgb="FF000000"/>
      <name val="Cordia New"/>
      <family val="2"/>
      <charset val="222"/>
    </font>
    <font>
      <sz val="16"/>
      <color theme="2" tint="-0.499984740745262"/>
      <name val="Cordia New"/>
      <family val="2"/>
      <charset val="222"/>
    </font>
    <font>
      <b/>
      <sz val="9"/>
      <color indexed="81"/>
      <name val="Tahoma"/>
      <family val="2"/>
    </font>
    <font>
      <sz val="9"/>
      <color indexed="81"/>
      <name val="Tahoma"/>
      <family val="2"/>
    </font>
    <font>
      <sz val="10"/>
      <color rgb="FF000000"/>
      <name val="Tahoma"/>
      <family val="2"/>
      <scheme val="minor"/>
    </font>
    <font>
      <sz val="11"/>
      <name val="Tahoma"/>
      <family val="2"/>
      <scheme val="minor"/>
    </font>
    <font>
      <sz val="11"/>
      <color rgb="FFFF0000"/>
      <name val="Tahoma"/>
      <family val="2"/>
      <scheme val="minor"/>
    </font>
    <font>
      <b/>
      <sz val="11"/>
      <color rgb="FFFF0000"/>
      <name val="Tahoma"/>
      <family val="2"/>
      <scheme val="minor"/>
    </font>
    <font>
      <b/>
      <sz val="14"/>
      <name val="Tahoma"/>
      <family val="2"/>
      <scheme val="minor"/>
    </font>
    <font>
      <b/>
      <sz val="14"/>
      <color theme="1"/>
      <name val="Tahoma"/>
      <family val="2"/>
      <scheme val="minor"/>
    </font>
    <font>
      <sz val="12"/>
      <color theme="1"/>
      <name val="Tahoma"/>
      <family val="2"/>
      <scheme val="minor"/>
    </font>
    <font>
      <sz val="16"/>
      <color theme="1"/>
      <name val="Tahoma"/>
      <family val="2"/>
      <scheme val="minor"/>
    </font>
    <font>
      <b/>
      <sz val="16"/>
      <color theme="1"/>
      <name val="Tahoma"/>
      <family val="2"/>
      <scheme val="minor"/>
    </font>
    <font>
      <b/>
      <sz val="11"/>
      <color theme="1"/>
      <name val="Tahoma"/>
      <family val="2"/>
      <scheme val="minor"/>
    </font>
    <font>
      <b/>
      <sz val="11"/>
      <name val="Calibri"/>
      <family val="2"/>
    </font>
    <font>
      <sz val="10"/>
      <color rgb="FF000000"/>
      <name val="Tahoma"/>
      <family val="2"/>
    </font>
    <font>
      <sz val="14"/>
      <color theme="1"/>
      <name val="Cordia New"/>
      <family val="2"/>
    </font>
    <font>
      <b/>
      <sz val="14"/>
      <color theme="0"/>
      <name val="Cordia New"/>
      <family val="2"/>
    </font>
    <font>
      <sz val="14"/>
      <color theme="0"/>
      <name val="Cordia New"/>
      <family val="2"/>
    </font>
    <font>
      <b/>
      <sz val="14"/>
      <name val="Cordia New"/>
      <family val="2"/>
    </font>
    <font>
      <sz val="14"/>
      <name val="Cordia New"/>
      <family val="2"/>
    </font>
    <font>
      <sz val="14"/>
      <color rgb="FFFF0000"/>
      <name val="Cordia New"/>
      <family val="2"/>
    </font>
    <font>
      <b/>
      <sz val="14"/>
      <color rgb="FFFF0000"/>
      <name val="Cordia New"/>
      <family val="2"/>
    </font>
    <font>
      <b/>
      <u/>
      <sz val="14"/>
      <color rgb="FFFF0000"/>
      <name val="Cordia New"/>
      <family val="2"/>
    </font>
    <font>
      <b/>
      <sz val="14"/>
      <color rgb="FF99FF33"/>
      <name val="Cordia New"/>
      <family val="2"/>
    </font>
    <font>
      <sz val="14"/>
      <color rgb="FF99FF33"/>
      <name val="Cordia New"/>
      <family val="2"/>
    </font>
    <font>
      <sz val="14"/>
      <color rgb="FFC00000"/>
      <name val="Cordia New"/>
      <family val="2"/>
    </font>
    <font>
      <b/>
      <sz val="12"/>
      <color theme="1"/>
      <name val="Tahoma"/>
      <family val="2"/>
      <scheme val="minor"/>
    </font>
    <font>
      <b/>
      <sz val="14"/>
      <color rgb="FFFFFF00"/>
      <name val="Cordia New"/>
      <family val="2"/>
    </font>
    <font>
      <sz val="14"/>
      <color rgb="FFFFFF00"/>
      <name val="Cordia New"/>
      <family val="2"/>
    </font>
    <font>
      <b/>
      <sz val="11"/>
      <color theme="0"/>
      <name val="Tahoma"/>
      <family val="2"/>
      <scheme val="minor"/>
    </font>
    <font>
      <sz val="8"/>
      <color theme="1"/>
      <name val="Verdana"/>
      <family val="2"/>
    </font>
    <font>
      <sz val="9"/>
      <color theme="1"/>
      <name val="Tahoma"/>
      <family val="2"/>
      <scheme val="minor"/>
    </font>
    <font>
      <b/>
      <sz val="8"/>
      <color theme="1"/>
      <name val="Verdana"/>
      <family val="2"/>
    </font>
    <font>
      <u/>
      <sz val="9"/>
      <color theme="1"/>
      <name val="Tahoma"/>
      <family val="2"/>
      <scheme val="minor"/>
    </font>
    <font>
      <b/>
      <sz val="9"/>
      <name val="Tahoma"/>
      <family val="2"/>
    </font>
    <font>
      <sz val="8"/>
      <color theme="1"/>
      <name val="Tahoma"/>
      <family val="2"/>
      <scheme val="minor"/>
    </font>
    <font>
      <b/>
      <sz val="14"/>
      <color theme="1"/>
      <name val="Cordia New"/>
      <family val="2"/>
    </font>
    <font>
      <b/>
      <sz val="14"/>
      <color rgb="FF000000"/>
      <name val="Cordia New"/>
      <family val="2"/>
    </font>
  </fonts>
  <fills count="38">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92D05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8"/>
        <bgColor indexed="64"/>
      </patternFill>
    </fill>
    <fill>
      <patternFill patternType="solid">
        <fgColor theme="8" tint="-0.249977111117893"/>
        <bgColor indexed="64"/>
      </patternFill>
    </fill>
    <fill>
      <patternFill patternType="solid">
        <fgColor theme="0" tint="-0.499984740745262"/>
        <bgColor indexed="64"/>
      </patternFill>
    </fill>
    <fill>
      <patternFill patternType="solid">
        <fgColor theme="9"/>
        <bgColor indexed="64"/>
      </patternFill>
    </fill>
    <fill>
      <patternFill patternType="solid">
        <fgColor rgb="FFCCFFCC"/>
        <bgColor indexed="64"/>
      </patternFill>
    </fill>
    <fill>
      <patternFill patternType="solid">
        <fgColor theme="0"/>
        <bgColor indexed="64"/>
      </patternFill>
    </fill>
    <fill>
      <patternFill patternType="solid">
        <fgColor theme="8" tint="0.59999389629810485"/>
        <bgColor indexed="64"/>
      </patternFill>
    </fill>
    <fill>
      <patternFill patternType="solid">
        <fgColor rgb="FFFFFF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DEBDFF"/>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FFC000"/>
        <bgColor indexed="64"/>
      </patternFill>
    </fill>
    <fill>
      <patternFill patternType="solid">
        <fgColor rgb="FF8EA9DB"/>
        <bgColor rgb="FF8EA9DB"/>
      </patternFill>
    </fill>
    <fill>
      <patternFill patternType="solid">
        <fgColor rgb="FF002060"/>
        <bgColor indexed="64"/>
      </patternFill>
    </fill>
    <fill>
      <patternFill patternType="solid">
        <fgColor rgb="FF99FF99"/>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44A9A9"/>
        <bgColor indexed="64"/>
      </patternFill>
    </fill>
    <fill>
      <patternFill patternType="solid">
        <fgColor theme="0" tint="-0.249977111117893"/>
        <bgColor indexed="64"/>
      </patternFill>
    </fill>
    <fill>
      <patternFill patternType="solid">
        <fgColor rgb="FFC53051"/>
        <bgColor indexed="64"/>
      </patternFill>
    </fill>
    <fill>
      <patternFill patternType="solid">
        <fgColor theme="8" tint="0.39997558519241921"/>
        <bgColor indexed="64"/>
      </patternFill>
    </fill>
    <fill>
      <patternFill patternType="solid">
        <fgColor rgb="FF2C6678"/>
        <bgColor indexed="64"/>
      </patternFill>
    </fill>
    <fill>
      <patternFill patternType="solid">
        <fgColor rgb="FFEBAE15"/>
        <bgColor indexed="64"/>
      </patternFill>
    </fill>
    <fill>
      <patternFill patternType="solid">
        <fgColor theme="4"/>
        <bgColor indexed="64"/>
      </patternFill>
    </fill>
    <fill>
      <patternFill patternType="solid">
        <fgColor rgb="FFB8CCE4"/>
        <bgColor indexed="64"/>
      </patternFill>
    </fill>
  </fills>
  <borders count="89">
    <border>
      <left/>
      <right/>
      <top/>
      <bottom/>
      <diagonal/>
    </border>
    <border>
      <left style="medium">
        <color indexed="64"/>
      </left>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Dashed">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Dashed">
        <color indexed="64"/>
      </top>
      <bottom style="medium">
        <color indexed="64"/>
      </bottom>
      <diagonal/>
    </border>
    <border>
      <left style="medium">
        <color indexed="64"/>
      </left>
      <right style="medium">
        <color indexed="64"/>
      </right>
      <top style="mediumDashed">
        <color indexed="64"/>
      </top>
      <bottom style="mediumDashed">
        <color indexed="64"/>
      </bottom>
      <diagonal/>
    </border>
    <border>
      <left/>
      <right style="medium">
        <color indexed="64"/>
      </right>
      <top style="mediumDashed">
        <color indexed="64"/>
      </top>
      <bottom style="mediumDashed">
        <color indexed="64"/>
      </bottom>
      <diagonal/>
    </border>
    <border>
      <left style="thin">
        <color indexed="64"/>
      </left>
      <right style="thin">
        <color indexed="64"/>
      </right>
      <top style="thin">
        <color indexed="64"/>
      </top>
      <bottom/>
      <diagonal/>
    </border>
    <border>
      <left/>
      <right/>
      <top/>
      <bottom style="medium">
        <color auto="1"/>
      </bottom>
      <diagonal/>
    </border>
    <border>
      <left/>
      <right/>
      <top style="medium">
        <color indexed="64"/>
      </top>
      <bottom/>
      <diagonal/>
    </border>
    <border>
      <left/>
      <right style="medium">
        <color indexed="64"/>
      </right>
      <top style="medium">
        <color indexed="64"/>
      </top>
      <bottom style="mediumDashed">
        <color indexed="64"/>
      </bottom>
      <diagonal/>
    </border>
    <border>
      <left style="medium">
        <color indexed="64"/>
      </left>
      <right/>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Dashed">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Dashed">
        <color indexed="64"/>
      </bottom>
      <diagonal/>
    </border>
    <border>
      <left style="thin">
        <color indexed="64"/>
      </left>
      <right/>
      <top style="medium">
        <color indexed="64"/>
      </top>
      <bottom/>
      <diagonal/>
    </border>
    <border>
      <left/>
      <right/>
      <top style="medium">
        <color indexed="64"/>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thin">
        <color indexed="64"/>
      </left>
      <right/>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thin">
        <color indexed="64"/>
      </right>
      <top style="medium">
        <color indexed="64"/>
      </top>
      <bottom style="dotted">
        <color indexed="64"/>
      </bottom>
      <diagonal/>
    </border>
    <border>
      <left style="thin">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medium">
        <color indexed="64"/>
      </left>
      <right style="dotted">
        <color indexed="64"/>
      </right>
      <top style="dotted">
        <color indexed="64"/>
      </top>
      <bottom/>
      <diagonal/>
    </border>
    <border>
      <left style="dotted">
        <color indexed="64"/>
      </left>
      <right style="medium">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thin">
        <color indexed="64"/>
      </right>
      <top style="dotted">
        <color indexed="64"/>
      </top>
      <bottom/>
      <diagonal/>
    </border>
    <border>
      <left style="thin">
        <color indexed="64"/>
      </left>
      <right style="dotted">
        <color indexed="64"/>
      </right>
      <top style="dotted">
        <color indexed="64"/>
      </top>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thin">
        <color indexed="64"/>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right style="thin">
        <color rgb="FF000000"/>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right style="dotted">
        <color indexed="64"/>
      </right>
      <top style="medium">
        <color indexed="64"/>
      </top>
      <bottom style="dotted">
        <color indexed="64"/>
      </bottom>
      <diagonal/>
    </border>
    <border>
      <left style="dotted">
        <color indexed="64"/>
      </left>
      <right style="dashed">
        <color indexed="64"/>
      </right>
      <top style="dotted">
        <color indexed="64"/>
      </top>
      <bottom/>
      <diagonal/>
    </border>
    <border>
      <left/>
      <right style="dotted">
        <color indexed="64"/>
      </right>
      <top style="dotted">
        <color indexed="64"/>
      </top>
      <bottom/>
      <diagonal/>
    </border>
    <border>
      <left style="dotted">
        <color indexed="64"/>
      </left>
      <right style="dashed">
        <color indexed="64"/>
      </right>
      <top style="medium">
        <color indexed="64"/>
      </top>
      <bottom style="medium">
        <color indexed="64"/>
      </bottom>
      <diagonal/>
    </border>
    <border>
      <left style="dotted">
        <color indexed="64"/>
      </left>
      <right/>
      <top style="medium">
        <color indexed="64"/>
      </top>
      <bottom style="medium">
        <color indexed="64"/>
      </bottom>
      <diagonal/>
    </border>
    <border>
      <left/>
      <right style="dotted">
        <color indexed="64"/>
      </right>
      <top style="medium">
        <color indexed="64"/>
      </top>
      <bottom style="medium">
        <color indexed="64"/>
      </bottom>
      <diagonal/>
    </border>
    <border>
      <left style="dotted">
        <color indexed="64"/>
      </left>
      <right style="dotted">
        <color indexed="64"/>
      </right>
      <top/>
      <bottom style="dotted">
        <color indexed="64"/>
      </bottom>
      <diagonal/>
    </border>
    <border>
      <left style="dotted">
        <color indexed="64"/>
      </left>
      <right style="thin">
        <color indexed="64"/>
      </right>
      <top/>
      <bottom style="dotted">
        <color indexed="64"/>
      </bottom>
      <diagonal/>
    </border>
    <border>
      <left style="thin">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thin">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thin">
        <color indexed="64"/>
      </right>
      <top style="dotted">
        <color indexed="64"/>
      </top>
      <bottom style="medium">
        <color indexed="64"/>
      </bottom>
      <diagonal/>
    </border>
    <border>
      <left/>
      <right style="dotted">
        <color indexed="64"/>
      </right>
      <top style="dotted">
        <color indexed="64"/>
      </top>
      <bottom style="medium">
        <color indexed="64"/>
      </bottom>
      <diagonal/>
    </border>
    <border>
      <left/>
      <right style="dotted">
        <color indexed="64"/>
      </right>
      <top/>
      <bottom style="dotted">
        <color indexed="64"/>
      </bottom>
      <diagonal/>
    </border>
    <border>
      <left style="medium">
        <color indexed="64"/>
      </left>
      <right style="dotted">
        <color indexed="64"/>
      </right>
      <top/>
      <bottom style="dotted">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9">
    <xf numFmtId="0" fontId="0" fillId="0" borderId="0"/>
    <xf numFmtId="43" fontId="1" fillId="0" borderId="0" applyFont="0" applyFill="0" applyBorder="0" applyAlignment="0" applyProtection="0"/>
    <xf numFmtId="44" fontId="1" fillId="0" borderId="0" applyFont="0" applyFill="0" applyBorder="0" applyAlignment="0" applyProtection="0"/>
    <xf numFmtId="0" fontId="10" fillId="0" borderId="0"/>
    <xf numFmtId="43" fontId="10"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0" fillId="0" borderId="0"/>
    <xf numFmtId="187" fontId="1" fillId="0" borderId="0" applyFont="0" applyFill="0" applyBorder="0" applyAlignment="0" applyProtection="0"/>
  </cellStyleXfs>
  <cellXfs count="442">
    <xf numFmtId="0" fontId="0" fillId="0" borderId="0" xfId="0"/>
    <xf numFmtId="0" fontId="4" fillId="2" borderId="2" xfId="0" applyFont="1" applyFill="1" applyBorder="1" applyAlignment="1">
      <alignment horizontal="center" vertical="center" wrapText="1"/>
    </xf>
    <xf numFmtId="0" fontId="6" fillId="0" borderId="7" xfId="0" applyFont="1" applyBorder="1" applyAlignment="1">
      <alignment vertical="center" wrapText="1"/>
    </xf>
    <xf numFmtId="0" fontId="6" fillId="0" borderId="2" xfId="0" applyFont="1" applyBorder="1" applyAlignment="1">
      <alignment vertical="center" wrapText="1"/>
    </xf>
    <xf numFmtId="0" fontId="6" fillId="3" borderId="7" xfId="0" applyFont="1" applyFill="1" applyBorder="1" applyAlignment="1">
      <alignment vertical="center" wrapText="1"/>
    </xf>
    <xf numFmtId="0" fontId="4" fillId="2" borderId="5" xfId="0" applyFont="1" applyFill="1" applyBorder="1" applyAlignment="1">
      <alignment vertical="center" wrapText="1"/>
    </xf>
    <xf numFmtId="0" fontId="4" fillId="2" borderId="2" xfId="0" applyFont="1" applyFill="1" applyBorder="1" applyAlignment="1">
      <alignment vertical="center" wrapText="1"/>
    </xf>
    <xf numFmtId="0" fontId="7" fillId="0" borderId="0" xfId="0" applyFont="1"/>
    <xf numFmtId="188" fontId="0" fillId="0" borderId="0" xfId="0" applyNumberFormat="1"/>
    <xf numFmtId="0" fontId="8" fillId="0" borderId="0" xfId="0" applyFont="1"/>
    <xf numFmtId="0" fontId="3" fillId="0" borderId="0" xfId="3" applyFont="1"/>
    <xf numFmtId="0" fontId="2" fillId="0" borderId="0" xfId="3" applyFont="1"/>
    <xf numFmtId="0" fontId="11" fillId="0" borderId="11" xfId="3" applyFont="1" applyBorder="1"/>
    <xf numFmtId="3" fontId="2" fillId="0" borderId="0" xfId="3" applyNumberFormat="1" applyFont="1"/>
    <xf numFmtId="0" fontId="8" fillId="0" borderId="0" xfId="0" applyFont="1" applyAlignment="1">
      <alignment horizontal="left"/>
    </xf>
    <xf numFmtId="0" fontId="3" fillId="0" borderId="0" xfId="0" applyFont="1"/>
    <xf numFmtId="0" fontId="2" fillId="0" borderId="14" xfId="3" applyFont="1" applyBorder="1"/>
    <xf numFmtId="189" fontId="2" fillId="0" borderId="15" xfId="3" applyNumberFormat="1" applyFont="1" applyBorder="1"/>
    <xf numFmtId="0" fontId="2" fillId="0" borderId="19" xfId="3" applyFont="1" applyBorder="1"/>
    <xf numFmtId="0" fontId="3" fillId="4" borderId="16" xfId="3" applyFont="1" applyFill="1" applyBorder="1"/>
    <xf numFmtId="0" fontId="3" fillId="4" borderId="17" xfId="3" applyFont="1" applyFill="1" applyBorder="1"/>
    <xf numFmtId="189" fontId="9" fillId="4" borderId="18" xfId="3" applyNumberFormat="1" applyFont="1" applyFill="1" applyBorder="1"/>
    <xf numFmtId="188" fontId="12" fillId="6" borderId="16" xfId="0" applyNumberFormat="1" applyFont="1" applyFill="1" applyBorder="1" applyAlignment="1">
      <alignment horizontal="left" indent="1"/>
    </xf>
    <xf numFmtId="188" fontId="12" fillId="6" borderId="14" xfId="0" applyNumberFormat="1" applyFont="1" applyFill="1" applyBorder="1" applyAlignment="1">
      <alignment horizontal="left" indent="1"/>
    </xf>
    <xf numFmtId="188" fontId="13" fillId="6" borderId="11" xfId="0" applyNumberFormat="1" applyFont="1" applyFill="1" applyBorder="1" applyAlignment="1">
      <alignment horizontal="right" vertical="center"/>
    </xf>
    <xf numFmtId="188" fontId="13" fillId="6" borderId="17" xfId="0" applyNumberFormat="1" applyFont="1" applyFill="1" applyBorder="1" applyAlignment="1">
      <alignment horizontal="right" vertical="center"/>
    </xf>
    <xf numFmtId="188" fontId="3" fillId="7" borderId="12" xfId="0" applyNumberFormat="1" applyFont="1" applyFill="1" applyBorder="1"/>
    <xf numFmtId="188" fontId="8" fillId="7" borderId="13" xfId="0" applyNumberFormat="1" applyFont="1" applyFill="1" applyBorder="1" applyAlignment="1">
      <alignment horizontal="right" vertical="center"/>
    </xf>
    <xf numFmtId="0" fontId="4" fillId="8" borderId="6" xfId="0" applyFont="1" applyFill="1" applyBorder="1" applyAlignment="1">
      <alignment horizontal="center" vertical="center" wrapText="1"/>
    </xf>
    <xf numFmtId="0" fontId="9" fillId="8" borderId="20" xfId="3" applyFont="1" applyFill="1" applyBorder="1" applyAlignment="1">
      <alignment horizontal="center" vertical="center"/>
    </xf>
    <xf numFmtId="0" fontId="9" fillId="8" borderId="8" xfId="3" applyFont="1" applyFill="1" applyBorder="1" applyAlignment="1">
      <alignment horizontal="center" vertical="center"/>
    </xf>
    <xf numFmtId="0" fontId="9" fillId="8" borderId="9" xfId="3" applyFont="1" applyFill="1" applyBorder="1" applyAlignment="1">
      <alignment horizontal="center" vertical="center"/>
    </xf>
    <xf numFmtId="189" fontId="8" fillId="0" borderId="0" xfId="0" applyNumberFormat="1" applyFont="1"/>
    <xf numFmtId="0" fontId="14" fillId="0" borderId="0" xfId="0" applyFont="1"/>
    <xf numFmtId="0" fontId="14" fillId="0" borderId="11" xfId="0" applyFont="1" applyBorder="1"/>
    <xf numFmtId="43" fontId="14" fillId="0" borderId="0" xfId="5" applyFont="1"/>
    <xf numFmtId="190" fontId="14" fillId="0" borderId="11" xfId="5" applyNumberFormat="1" applyFont="1" applyBorder="1"/>
    <xf numFmtId="188" fontId="14" fillId="0" borderId="11" xfId="0" applyNumberFormat="1" applyFont="1" applyBorder="1"/>
    <xf numFmtId="9" fontId="14" fillId="0" borderId="0" xfId="0" applyNumberFormat="1" applyFont="1"/>
    <xf numFmtId="0" fontId="14" fillId="0" borderId="11" xfId="0" applyFont="1" applyBorder="1" applyAlignment="1">
      <alignment horizontal="center"/>
    </xf>
    <xf numFmtId="187" fontId="14" fillId="5" borderId="11" xfId="0" applyNumberFormat="1" applyFont="1" applyFill="1" applyBorder="1"/>
    <xf numFmtId="187" fontId="14" fillId="4" borderId="11" xfId="0" applyNumberFormat="1" applyFont="1" applyFill="1" applyBorder="1"/>
    <xf numFmtId="187" fontId="0" fillId="0" borderId="0" xfId="0" applyNumberFormat="1"/>
    <xf numFmtId="187" fontId="14" fillId="0" borderId="11" xfId="0" applyNumberFormat="1" applyFont="1" applyBorder="1"/>
    <xf numFmtId="187" fontId="14" fillId="11" borderId="0" xfId="0" applyNumberFormat="1" applyFont="1" applyFill="1"/>
    <xf numFmtId="188" fontId="14" fillId="0" borderId="0" xfId="0" applyNumberFormat="1" applyFont="1"/>
    <xf numFmtId="188" fontId="16" fillId="9" borderId="11" xfId="0" applyNumberFormat="1" applyFont="1" applyFill="1" applyBorder="1"/>
    <xf numFmtId="188" fontId="16" fillId="10" borderId="11" xfId="0" applyNumberFormat="1" applyFont="1" applyFill="1" applyBorder="1"/>
    <xf numFmtId="187" fontId="16" fillId="9" borderId="0" xfId="0" applyNumberFormat="1" applyFont="1" applyFill="1"/>
    <xf numFmtId="0" fontId="15" fillId="0" borderId="0" xfId="0" applyFont="1" applyAlignment="1">
      <alignment horizontal="left" vertical="center" indent="1"/>
    </xf>
    <xf numFmtId="0" fontId="17" fillId="0" borderId="0" xfId="0" applyFont="1"/>
    <xf numFmtId="0" fontId="6" fillId="3" borderId="2" xfId="0" applyFont="1" applyFill="1" applyBorder="1" applyAlignment="1">
      <alignment vertical="center" wrapText="1"/>
    </xf>
    <xf numFmtId="43" fontId="0" fillId="0" borderId="0" xfId="0" applyNumberFormat="1"/>
    <xf numFmtId="0" fontId="18" fillId="0" borderId="0" xfId="0" applyFont="1"/>
    <xf numFmtId="190" fontId="14" fillId="0" borderId="0" xfId="5" applyNumberFormat="1" applyFont="1" applyFill="1" applyBorder="1"/>
    <xf numFmtId="43" fontId="8" fillId="0" borderId="0" xfId="0" applyNumberFormat="1" applyFont="1"/>
    <xf numFmtId="0" fontId="0" fillId="0" borderId="5" xfId="0" applyBorder="1"/>
    <xf numFmtId="0" fontId="4" fillId="8" borderId="2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2" xfId="0" applyFont="1" applyBorder="1" applyAlignment="1">
      <alignment horizontal="center" vertical="center" wrapText="1"/>
    </xf>
    <xf numFmtId="0" fontId="6" fillId="3" borderId="7" xfId="0" applyFont="1" applyFill="1" applyBorder="1" applyAlignment="1">
      <alignment horizontal="center" vertical="center" wrapText="1"/>
    </xf>
    <xf numFmtId="0" fontId="19" fillId="0" borderId="7" xfId="0" applyFont="1" applyBorder="1" applyAlignment="1">
      <alignment vertical="center" wrapText="1"/>
    </xf>
    <xf numFmtId="0" fontId="19" fillId="0" borderId="7" xfId="0" applyFont="1" applyBorder="1" applyAlignment="1">
      <alignment horizontal="center" vertical="center" wrapText="1"/>
    </xf>
    <xf numFmtId="0" fontId="20" fillId="0" borderId="0" xfId="0" applyFont="1"/>
    <xf numFmtId="4" fontId="8" fillId="0" borderId="0" xfId="0" applyNumberFormat="1" applyFont="1"/>
    <xf numFmtId="4" fontId="3" fillId="0" borderId="0" xfId="0" applyNumberFormat="1" applyFont="1"/>
    <xf numFmtId="0" fontId="19" fillId="0" borderId="22" xfId="0" applyFont="1" applyBorder="1" applyAlignment="1">
      <alignment vertical="center" wrapText="1"/>
    </xf>
    <xf numFmtId="0" fontId="6" fillId="3" borderId="23" xfId="0" applyFont="1" applyFill="1" applyBorder="1" applyAlignment="1">
      <alignment vertical="center" wrapText="1"/>
    </xf>
    <xf numFmtId="0" fontId="19" fillId="0" borderId="24" xfId="0" applyFont="1" applyBorder="1" applyAlignment="1">
      <alignment horizontal="center" vertical="center" wrapText="1"/>
    </xf>
    <xf numFmtId="0" fontId="19" fillId="0" borderId="25" xfId="0" applyFont="1" applyBorder="1" applyAlignment="1">
      <alignment horizontal="center" vertical="center" wrapText="1"/>
    </xf>
    <xf numFmtId="43" fontId="14" fillId="0" borderId="0" xfId="0" applyNumberFormat="1" applyFont="1"/>
    <xf numFmtId="0" fontId="6" fillId="3" borderId="4" xfId="0" applyFont="1" applyFill="1" applyBorder="1" applyAlignment="1">
      <alignment horizontal="center" vertical="center" wrapText="1"/>
    </xf>
    <xf numFmtId="0" fontId="3" fillId="0" borderId="0" xfId="3" applyFont="1" applyAlignment="1">
      <alignment horizontal="left" wrapText="1"/>
    </xf>
    <xf numFmtId="0" fontId="3" fillId="0" borderId="0" xfId="3" applyFont="1" applyAlignment="1">
      <alignment horizontal="left"/>
    </xf>
    <xf numFmtId="0" fontId="6" fillId="3" borderId="4" xfId="0" applyFont="1" applyFill="1" applyBorder="1" applyAlignment="1">
      <alignment vertical="center" wrapText="1"/>
    </xf>
    <xf numFmtId="0" fontId="6" fillId="3" borderId="24" xfId="0" applyFont="1" applyFill="1" applyBorder="1" applyAlignment="1">
      <alignment vertical="center" wrapText="1"/>
    </xf>
    <xf numFmtId="0" fontId="5" fillId="3" borderId="7" xfId="0" applyFont="1" applyFill="1" applyBorder="1" applyAlignment="1">
      <alignment vertical="center" wrapText="1"/>
    </xf>
    <xf numFmtId="0" fontId="4" fillId="8" borderId="28" xfId="0" applyFont="1" applyFill="1" applyBorder="1" applyAlignment="1">
      <alignment horizontal="center" vertical="center" wrapText="1"/>
    </xf>
    <xf numFmtId="0" fontId="4" fillId="8" borderId="0" xfId="0" applyFont="1" applyFill="1" applyAlignment="1">
      <alignment horizontal="center" vertical="center" wrapText="1"/>
    </xf>
    <xf numFmtId="189" fontId="8" fillId="0" borderId="21" xfId="0" applyNumberFormat="1" applyFont="1" applyBorder="1"/>
    <xf numFmtId="9" fontId="8" fillId="0" borderId="0" xfId="0" applyNumberFormat="1" applyFont="1"/>
    <xf numFmtId="189" fontId="2" fillId="0" borderId="0" xfId="3" applyNumberFormat="1" applyFont="1"/>
    <xf numFmtId="2" fontId="8" fillId="0" borderId="0" xfId="0" applyNumberFormat="1" applyFont="1"/>
    <xf numFmtId="0" fontId="9" fillId="0" borderId="0" xfId="3" applyFont="1" applyAlignment="1">
      <alignment horizontal="center" vertical="center"/>
    </xf>
    <xf numFmtId="189" fontId="9" fillId="0" borderId="0" xfId="3" applyNumberFormat="1" applyFont="1"/>
    <xf numFmtId="43" fontId="14" fillId="0" borderId="11" xfId="5" applyFont="1" applyBorder="1"/>
    <xf numFmtId="0" fontId="6" fillId="3" borderId="5" xfId="0" applyFont="1" applyFill="1" applyBorder="1" applyAlignment="1">
      <alignment horizontal="center" vertical="center" wrapText="1"/>
    </xf>
    <xf numFmtId="0" fontId="6" fillId="3" borderId="29" xfId="0" applyFont="1" applyFill="1" applyBorder="1" applyAlignment="1">
      <alignment vertical="center" wrapText="1"/>
    </xf>
    <xf numFmtId="0" fontId="6" fillId="3" borderId="29" xfId="0" applyFont="1" applyFill="1" applyBorder="1" applyAlignment="1">
      <alignment horizontal="center" vertical="center" wrapText="1"/>
    </xf>
    <xf numFmtId="0" fontId="22" fillId="15" borderId="0" xfId="0" applyFont="1" applyFill="1"/>
    <xf numFmtId="0" fontId="24" fillId="0" borderId="0" xfId="7" applyFont="1"/>
    <xf numFmtId="0" fontId="25" fillId="0" borderId="0" xfId="7" applyFont="1" applyAlignment="1">
      <alignment vertical="center"/>
    </xf>
    <xf numFmtId="0" fontId="24" fillId="0" borderId="0" xfId="7" applyFont="1" applyAlignment="1">
      <alignment vertical="center"/>
    </xf>
    <xf numFmtId="43" fontId="25" fillId="0" borderId="0" xfId="7" applyNumberFormat="1" applyFont="1"/>
    <xf numFmtId="9" fontId="24" fillId="0" borderId="0" xfId="6" applyFont="1" applyBorder="1"/>
    <xf numFmtId="0" fontId="25" fillId="0" borderId="0" xfId="7" applyFont="1"/>
    <xf numFmtId="9" fontId="25" fillId="0" borderId="0" xfId="6" applyFont="1" applyBorder="1"/>
    <xf numFmtId="0" fontId="25" fillId="16" borderId="0" xfId="7" applyFont="1" applyFill="1" applyAlignment="1">
      <alignment horizontal="center" vertical="center"/>
    </xf>
    <xf numFmtId="0" fontId="25" fillId="16" borderId="0" xfId="7" applyFont="1" applyFill="1" applyAlignment="1">
      <alignment vertical="center"/>
    </xf>
    <xf numFmtId="0" fontId="25" fillId="0" borderId="0" xfId="7" applyFont="1" applyAlignment="1">
      <alignment horizontal="center" vertical="center"/>
    </xf>
    <xf numFmtId="43" fontId="25" fillId="0" borderId="0" xfId="7" applyNumberFormat="1" applyFont="1" applyAlignment="1">
      <alignment vertical="center"/>
    </xf>
    <xf numFmtId="0" fontId="25" fillId="17" borderId="0" xfId="7" applyFont="1" applyFill="1" applyAlignment="1">
      <alignment vertical="center"/>
    </xf>
    <xf numFmtId="0" fontId="24" fillId="7" borderId="10" xfId="7" applyFont="1" applyFill="1" applyBorder="1"/>
    <xf numFmtId="0" fontId="24" fillId="7" borderId="28" xfId="7" applyFont="1" applyFill="1" applyBorder="1"/>
    <xf numFmtId="0" fontId="24" fillId="7" borderId="28" xfId="7" applyFont="1" applyFill="1" applyBorder="1" applyAlignment="1">
      <alignment vertical="center"/>
    </xf>
    <xf numFmtId="43" fontId="25" fillId="7" borderId="6" xfId="1" applyFont="1" applyFill="1" applyBorder="1" applyAlignment="1">
      <alignment vertical="center"/>
    </xf>
    <xf numFmtId="0" fontId="24" fillId="0" borderId="1" xfId="7" applyFont="1" applyBorder="1"/>
    <xf numFmtId="187" fontId="24" fillId="0" borderId="22" xfId="7" applyNumberFormat="1" applyFont="1" applyBorder="1" applyAlignment="1">
      <alignment vertical="center"/>
    </xf>
    <xf numFmtId="0" fontId="24" fillId="0" borderId="30" xfId="7" applyFont="1" applyBorder="1"/>
    <xf numFmtId="0" fontId="24" fillId="0" borderId="27" xfId="7" applyFont="1" applyBorder="1"/>
    <xf numFmtId="0" fontId="24" fillId="0" borderId="27" xfId="7" applyFont="1" applyBorder="1" applyAlignment="1">
      <alignment vertical="center"/>
    </xf>
    <xf numFmtId="187" fontId="24" fillId="0" borderId="2" xfId="7" applyNumberFormat="1" applyFont="1" applyBorder="1" applyAlignment="1">
      <alignment vertical="center"/>
    </xf>
    <xf numFmtId="0" fontId="24" fillId="0" borderId="0" xfId="7" applyFont="1" applyAlignment="1">
      <alignment wrapText="1"/>
    </xf>
    <xf numFmtId="187" fontId="24" fillId="0" borderId="0" xfId="7" applyNumberFormat="1" applyFont="1" applyAlignment="1">
      <alignment vertical="center"/>
    </xf>
    <xf numFmtId="0" fontId="26" fillId="7" borderId="28" xfId="7" applyFont="1" applyFill="1" applyBorder="1" applyAlignment="1">
      <alignment horizontal="center" vertical="center" wrapText="1"/>
    </xf>
    <xf numFmtId="0" fontId="26" fillId="19" borderId="28" xfId="7" applyFont="1" applyFill="1" applyBorder="1" applyAlignment="1">
      <alignment horizontal="center" vertical="center" wrapText="1"/>
    </xf>
    <xf numFmtId="0" fontId="26" fillId="20" borderId="28" xfId="7" applyFont="1" applyFill="1" applyBorder="1" applyAlignment="1">
      <alignment horizontal="center" vertical="center" wrapText="1"/>
    </xf>
    <xf numFmtId="0" fontId="26" fillId="7" borderId="28" xfId="7" applyFont="1" applyFill="1" applyBorder="1" applyAlignment="1">
      <alignment horizontal="center" wrapText="1"/>
    </xf>
    <xf numFmtId="0" fontId="26" fillId="20" borderId="28" xfId="7" applyFont="1" applyFill="1" applyBorder="1" applyAlignment="1">
      <alignment horizontal="center" wrapText="1"/>
    </xf>
    <xf numFmtId="43" fontId="27" fillId="18" borderId="28" xfId="1" applyFont="1" applyFill="1" applyBorder="1" applyAlignment="1">
      <alignment horizontal="center" vertical="center" wrapText="1"/>
    </xf>
    <xf numFmtId="0" fontId="26" fillId="19" borderId="28" xfId="7" applyFont="1" applyFill="1" applyBorder="1" applyAlignment="1">
      <alignment horizontal="center" wrapText="1"/>
    </xf>
    <xf numFmtId="43" fontId="27" fillId="18" borderId="6" xfId="1" applyFont="1" applyFill="1" applyBorder="1" applyAlignment="1">
      <alignment horizontal="center" vertical="center" wrapText="1"/>
    </xf>
    <xf numFmtId="9" fontId="24" fillId="0" borderId="0" xfId="6" applyFont="1" applyBorder="1" applyAlignment="1">
      <alignment wrapText="1"/>
    </xf>
    <xf numFmtId="187" fontId="26" fillId="21" borderId="31" xfId="8" applyFont="1" applyFill="1" applyBorder="1" applyAlignment="1">
      <alignment vertical="center" wrapText="1"/>
    </xf>
    <xf numFmtId="43" fontId="26" fillId="7" borderId="31" xfId="7" applyNumberFormat="1" applyFont="1" applyFill="1" applyBorder="1" applyAlignment="1">
      <alignment horizontal="center" wrapText="1"/>
    </xf>
    <xf numFmtId="43" fontId="26" fillId="20" borderId="31" xfId="7" applyNumberFormat="1" applyFont="1" applyFill="1" applyBorder="1" applyAlignment="1">
      <alignment horizontal="center" wrapText="1"/>
    </xf>
    <xf numFmtId="43" fontId="27" fillId="18" borderId="31" xfId="1" applyFont="1" applyFill="1" applyBorder="1" applyAlignment="1">
      <alignment vertical="center" wrapText="1"/>
    </xf>
    <xf numFmtId="43" fontId="26" fillId="19" borderId="31" xfId="7" applyNumberFormat="1" applyFont="1" applyFill="1" applyBorder="1" applyAlignment="1">
      <alignment horizontal="center" wrapText="1"/>
    </xf>
    <xf numFmtId="43" fontId="27" fillId="18" borderId="32" xfId="1" applyFont="1" applyFill="1" applyBorder="1" applyAlignment="1">
      <alignment vertical="center" wrapText="1"/>
    </xf>
    <xf numFmtId="0" fontId="24" fillId="0" borderId="31" xfId="7" applyFont="1" applyBorder="1" applyAlignment="1">
      <alignment wrapText="1"/>
    </xf>
    <xf numFmtId="0" fontId="24" fillId="5" borderId="0" xfId="7" applyFont="1" applyFill="1" applyAlignment="1">
      <alignment vertical="center"/>
    </xf>
    <xf numFmtId="0" fontId="24" fillId="5" borderId="1" xfId="7" applyFont="1" applyFill="1" applyBorder="1" applyAlignment="1">
      <alignment vertical="center" wrapText="1"/>
    </xf>
    <xf numFmtId="0" fontId="28" fillId="5" borderId="0" xfId="0" applyFont="1" applyFill="1"/>
    <xf numFmtId="1" fontId="0" fillId="5" borderId="0" xfId="0" applyNumberFormat="1" applyFill="1" applyAlignment="1">
      <alignment horizontal="center"/>
    </xf>
    <xf numFmtId="0" fontId="24" fillId="5" borderId="0" xfId="7" applyFont="1" applyFill="1" applyAlignment="1">
      <alignment horizontal="center" vertical="center"/>
    </xf>
    <xf numFmtId="1" fontId="24" fillId="5" borderId="0" xfId="7" applyNumberFormat="1" applyFont="1" applyFill="1" applyAlignment="1">
      <alignment horizontal="center" vertical="center"/>
    </xf>
    <xf numFmtId="43" fontId="29" fillId="5" borderId="0" xfId="7" applyNumberFormat="1" applyFont="1" applyFill="1" applyAlignment="1">
      <alignment vertical="center"/>
    </xf>
    <xf numFmtId="187" fontId="24" fillId="5" borderId="22" xfId="7" applyNumberFormat="1" applyFont="1" applyFill="1" applyBorder="1" applyAlignment="1">
      <alignment vertical="center"/>
    </xf>
    <xf numFmtId="9" fontId="24" fillId="0" borderId="0" xfId="6" applyFont="1" applyBorder="1" applyAlignment="1">
      <alignment vertical="center"/>
    </xf>
    <xf numFmtId="0" fontId="23" fillId="0" borderId="0" xfId="0" applyFont="1" applyAlignment="1">
      <alignment horizontal="center"/>
    </xf>
    <xf numFmtId="0" fontId="24" fillId="0" borderId="0" xfId="7" applyFont="1" applyAlignment="1">
      <alignment horizontal="center" vertical="center"/>
    </xf>
    <xf numFmtId="1" fontId="24" fillId="0" borderId="0" xfId="7" applyNumberFormat="1" applyFont="1" applyAlignment="1">
      <alignment horizontal="center" vertical="center"/>
    </xf>
    <xf numFmtId="1" fontId="0" fillId="0" borderId="0" xfId="0" applyNumberFormat="1" applyAlignment="1">
      <alignment horizontal="center"/>
    </xf>
    <xf numFmtId="43" fontId="29" fillId="0" borderId="0" xfId="7" applyNumberFormat="1" applyFont="1" applyAlignment="1">
      <alignment vertical="center"/>
    </xf>
    <xf numFmtId="191" fontId="24" fillId="0" borderId="0" xfId="8" applyNumberFormat="1" applyFont="1" applyFill="1" applyBorder="1" applyAlignment="1">
      <alignment vertical="center"/>
    </xf>
    <xf numFmtId="2" fontId="24" fillId="0" borderId="0" xfId="7" applyNumberFormat="1" applyFont="1" applyAlignment="1">
      <alignment horizontal="center" vertical="center"/>
    </xf>
    <xf numFmtId="0" fontId="24" fillId="0" borderId="1" xfId="7" applyFont="1" applyBorder="1" applyAlignment="1">
      <alignment wrapText="1"/>
    </xf>
    <xf numFmtId="0" fontId="25" fillId="0" borderId="0" xfId="7" applyFont="1" applyAlignment="1">
      <alignment wrapText="1"/>
    </xf>
    <xf numFmtId="0" fontId="25" fillId="0" borderId="27" xfId="7" applyFont="1" applyBorder="1" applyAlignment="1">
      <alignment wrapText="1"/>
    </xf>
    <xf numFmtId="43" fontId="24" fillId="0" borderId="0" xfId="7" applyNumberFormat="1" applyFont="1"/>
    <xf numFmtId="9" fontId="24" fillId="0" borderId="0" xfId="6" applyFont="1" applyAlignment="1">
      <alignment vertical="center"/>
    </xf>
    <xf numFmtId="0" fontId="24" fillId="22" borderId="10" xfId="7" applyFont="1" applyFill="1" applyBorder="1"/>
    <xf numFmtId="0" fontId="24" fillId="22" borderId="28" xfId="7" applyFont="1" applyFill="1" applyBorder="1"/>
    <xf numFmtId="0" fontId="24" fillId="22" borderId="28" xfId="7" applyFont="1" applyFill="1" applyBorder="1" applyAlignment="1">
      <alignment vertical="center"/>
    </xf>
    <xf numFmtId="0" fontId="24" fillId="22" borderId="28" xfId="7" applyFont="1" applyFill="1" applyBorder="1" applyAlignment="1">
      <alignment horizontal="center"/>
    </xf>
    <xf numFmtId="43" fontId="25" fillId="22" borderId="6" xfId="1" applyFont="1" applyFill="1" applyBorder="1" applyAlignment="1">
      <alignment vertical="center"/>
    </xf>
    <xf numFmtId="0" fontId="25" fillId="0" borderId="27" xfId="7" applyFont="1" applyBorder="1" applyAlignment="1">
      <alignment vertical="center"/>
    </xf>
    <xf numFmtId="0" fontId="5" fillId="3" borderId="3" xfId="0" applyFont="1" applyFill="1" applyBorder="1" applyAlignment="1">
      <alignment vertical="center" wrapText="1"/>
    </xf>
    <xf numFmtId="0" fontId="5" fillId="3" borderId="4" xfId="0" applyFont="1" applyFill="1" applyBorder="1" applyAlignment="1">
      <alignment vertical="center" wrapText="1"/>
    </xf>
    <xf numFmtId="0" fontId="6" fillId="3" borderId="3"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19" fillId="3" borderId="7" xfId="0" applyFont="1" applyFill="1" applyBorder="1" applyAlignment="1">
      <alignment vertical="center" wrapText="1"/>
    </xf>
    <xf numFmtId="0" fontId="32" fillId="7" borderId="11" xfId="0" applyFont="1" applyFill="1" applyBorder="1" applyAlignment="1">
      <alignment horizontal="center" vertical="top" wrapText="1"/>
    </xf>
    <xf numFmtId="0" fontId="33" fillId="23" borderId="11" xfId="0" applyFont="1" applyFill="1" applyBorder="1" applyAlignment="1">
      <alignment horizontal="center" vertical="center" wrapText="1"/>
    </xf>
    <xf numFmtId="0" fontId="0" fillId="24" borderId="11" xfId="0" applyFill="1" applyBorder="1" applyAlignment="1">
      <alignment horizontal="center" vertical="center" wrapText="1"/>
    </xf>
    <xf numFmtId="0" fontId="0" fillId="18" borderId="11" xfId="0" applyFill="1" applyBorder="1" applyAlignment="1">
      <alignment horizontal="center" vertical="center" wrapText="1"/>
    </xf>
    <xf numFmtId="0" fontId="0" fillId="7" borderId="11" xfId="0" applyFill="1" applyBorder="1" applyAlignment="1">
      <alignment horizontal="center" vertical="center"/>
    </xf>
    <xf numFmtId="0" fontId="0" fillId="7" borderId="11" xfId="0" applyFill="1" applyBorder="1" applyAlignment="1">
      <alignment horizontal="center" vertical="center" wrapText="1"/>
    </xf>
    <xf numFmtId="0" fontId="0" fillId="0" borderId="0" xfId="0" applyAlignment="1">
      <alignment vertical="top"/>
    </xf>
    <xf numFmtId="0" fontId="0" fillId="15" borderId="11" xfId="0" applyFill="1" applyBorder="1" applyAlignment="1">
      <alignment vertical="top"/>
    </xf>
    <xf numFmtId="0" fontId="34" fillId="15" borderId="11" xfId="0" applyFont="1" applyFill="1" applyBorder="1" applyAlignment="1">
      <alignment vertical="top" wrapText="1"/>
    </xf>
    <xf numFmtId="0" fontId="0" fillId="15" borderId="11" xfId="0" applyFill="1" applyBorder="1" applyAlignment="1">
      <alignment vertical="top" wrapText="1"/>
    </xf>
    <xf numFmtId="0" fontId="35" fillId="15" borderId="11" xfId="0" applyFont="1" applyFill="1" applyBorder="1" applyAlignment="1">
      <alignment vertical="top" wrapText="1"/>
    </xf>
    <xf numFmtId="0" fontId="33" fillId="23" borderId="11" xfId="0" applyFont="1" applyFill="1" applyBorder="1" applyAlignment="1">
      <alignment vertical="top"/>
    </xf>
    <xf numFmtId="0" fontId="33" fillId="21" borderId="11" xfId="0" applyFont="1" applyFill="1" applyBorder="1" applyAlignment="1">
      <alignment vertical="top"/>
    </xf>
    <xf numFmtId="0" fontId="33" fillId="21" borderId="11" xfId="0" applyFont="1" applyFill="1" applyBorder="1" applyAlignment="1">
      <alignment horizontal="center" vertical="top"/>
    </xf>
    <xf numFmtId="0" fontId="33" fillId="0" borderId="11" xfId="0" applyFont="1" applyBorder="1" applyAlignment="1">
      <alignment horizontal="center" vertical="top"/>
    </xf>
    <xf numFmtId="0" fontId="0" fillId="0" borderId="11" xfId="0" applyBorder="1" applyAlignment="1">
      <alignment horizontal="center" vertical="top"/>
    </xf>
    <xf numFmtId="0" fontId="0" fillId="0" borderId="11" xfId="0" applyBorder="1" applyAlignment="1">
      <alignment vertical="top"/>
    </xf>
    <xf numFmtId="0" fontId="0" fillId="4" borderId="11" xfId="0" applyFill="1" applyBorder="1" applyAlignment="1">
      <alignment vertical="top" wrapText="1"/>
    </xf>
    <xf numFmtId="0" fontId="0" fillId="0" borderId="11" xfId="0" applyBorder="1" applyAlignment="1">
      <alignment vertical="top" wrapText="1"/>
    </xf>
    <xf numFmtId="0" fontId="0" fillId="4" borderId="11" xfId="0" applyFill="1" applyBorder="1" applyAlignment="1">
      <alignment vertical="top"/>
    </xf>
    <xf numFmtId="0" fontId="0" fillId="0" borderId="0" xfId="0" applyAlignment="1">
      <alignment vertical="top" wrapText="1"/>
    </xf>
    <xf numFmtId="0" fontId="33" fillId="15" borderId="11" xfId="0" applyFont="1" applyFill="1" applyBorder="1" applyAlignment="1">
      <alignment vertical="top" wrapText="1"/>
    </xf>
    <xf numFmtId="0" fontId="0" fillId="15" borderId="11" xfId="0" quotePrefix="1" applyFill="1" applyBorder="1" applyAlignment="1">
      <alignment vertical="top" wrapText="1"/>
    </xf>
    <xf numFmtId="0" fontId="36" fillId="23" borderId="11" xfId="0" applyFont="1" applyFill="1" applyBorder="1" applyAlignment="1">
      <alignment vertical="top"/>
    </xf>
    <xf numFmtId="0" fontId="36" fillId="15" borderId="11" xfId="0" applyFont="1" applyFill="1" applyBorder="1" applyAlignment="1">
      <alignment vertical="top"/>
    </xf>
    <xf numFmtId="0" fontId="36" fillId="15" borderId="11" xfId="0" applyFont="1" applyFill="1" applyBorder="1" applyAlignment="1">
      <alignment horizontal="center" vertical="top"/>
    </xf>
    <xf numFmtId="0" fontId="37" fillId="7" borderId="11" xfId="0" applyFont="1" applyFill="1" applyBorder="1" applyAlignment="1">
      <alignment horizontal="center" vertical="top"/>
    </xf>
    <xf numFmtId="0" fontId="38" fillId="14" borderId="0" xfId="0" applyFont="1" applyFill="1" applyAlignment="1">
      <alignment horizontal="right" vertical="top"/>
    </xf>
    <xf numFmtId="0" fontId="38" fillId="7" borderId="0" xfId="0" applyFont="1" applyFill="1" applyAlignment="1">
      <alignment horizontal="left" vertical="top"/>
    </xf>
    <xf numFmtId="0" fontId="39" fillId="0" borderId="0" xfId="0" applyFont="1" applyAlignment="1">
      <alignment horizontal="left" vertical="top"/>
    </xf>
    <xf numFmtId="0" fontId="0" fillId="0" borderId="0" xfId="0" applyAlignment="1">
      <alignment horizontal="center" vertical="top"/>
    </xf>
    <xf numFmtId="0" fontId="40" fillId="0" borderId="0" xfId="0" applyFont="1" applyAlignment="1">
      <alignment horizontal="right" vertical="top"/>
    </xf>
    <xf numFmtId="0" fontId="41" fillId="0" borderId="0" xfId="0" applyFont="1" applyAlignment="1">
      <alignment vertical="top"/>
    </xf>
    <xf numFmtId="187" fontId="42" fillId="15" borderId="0" xfId="0" applyNumberFormat="1" applyFont="1" applyFill="1"/>
    <xf numFmtId="0" fontId="24" fillId="0" borderId="1" xfId="7" applyFont="1" applyBorder="1" applyAlignment="1">
      <alignment horizontal="left" vertical="center" wrapText="1"/>
    </xf>
    <xf numFmtId="187" fontId="24" fillId="0" borderId="22" xfId="6" applyNumberFormat="1" applyFont="1" applyBorder="1"/>
    <xf numFmtId="0" fontId="24" fillId="17" borderId="0" xfId="7" applyFont="1" applyFill="1" applyAlignment="1">
      <alignment vertical="center"/>
    </xf>
    <xf numFmtId="0" fontId="19" fillId="3" borderId="2" xfId="0" applyFont="1" applyFill="1" applyBorder="1" applyAlignment="1">
      <alignment vertical="center" wrapText="1"/>
    </xf>
    <xf numFmtId="0" fontId="6" fillId="3" borderId="22" xfId="0" applyFont="1" applyFill="1" applyBorder="1" applyAlignment="1">
      <alignment horizontal="center" vertical="center" wrapText="1"/>
    </xf>
    <xf numFmtId="10" fontId="25" fillId="0" borderId="0" xfId="6" applyNumberFormat="1" applyFont="1" applyAlignment="1">
      <alignment vertical="center"/>
    </xf>
    <xf numFmtId="0" fontId="6" fillId="0" borderId="22" xfId="0" applyFont="1" applyBorder="1" applyAlignment="1">
      <alignment vertical="center" wrapText="1"/>
    </xf>
    <xf numFmtId="0" fontId="6" fillId="3" borderId="22" xfId="0" applyFont="1" applyFill="1" applyBorder="1" applyAlignment="1">
      <alignment vertical="center" wrapText="1"/>
    </xf>
    <xf numFmtId="0" fontId="19" fillId="3" borderId="22" xfId="0" applyFont="1" applyFill="1" applyBorder="1" applyAlignment="1">
      <alignment vertical="center" wrapText="1"/>
    </xf>
    <xf numFmtId="0" fontId="6" fillId="3" borderId="6" xfId="0" applyFont="1" applyFill="1" applyBorder="1" applyAlignment="1">
      <alignment vertical="center" wrapText="1"/>
    </xf>
    <xf numFmtId="0" fontId="21" fillId="13" borderId="3" xfId="0" applyFont="1" applyFill="1" applyBorder="1" applyAlignment="1">
      <alignment vertical="center"/>
    </xf>
    <xf numFmtId="0" fontId="5" fillId="3" borderId="22" xfId="0" applyFont="1" applyFill="1" applyBorder="1" applyAlignment="1">
      <alignment vertical="center" wrapText="1"/>
    </xf>
    <xf numFmtId="0" fontId="19" fillId="0" borderId="22" xfId="0" applyFont="1" applyBorder="1" applyAlignment="1">
      <alignment horizontal="center" vertical="center" wrapText="1"/>
    </xf>
    <xf numFmtId="0" fontId="19" fillId="3" borderId="22"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46" fillId="0" borderId="0" xfId="3" applyFont="1" applyAlignment="1">
      <alignment vertical="center" wrapText="1"/>
    </xf>
    <xf numFmtId="0" fontId="44" fillId="0" borderId="0" xfId="3" applyFont="1"/>
    <xf numFmtId="0" fontId="53" fillId="0" borderId="0" xfId="3" applyFont="1" applyAlignment="1">
      <alignment vertical="center" wrapText="1"/>
    </xf>
    <xf numFmtId="0" fontId="53" fillId="0" borderId="0" xfId="3" applyFont="1"/>
    <xf numFmtId="0" fontId="45" fillId="26" borderId="11" xfId="3" applyFont="1" applyFill="1" applyBorder="1" applyAlignment="1">
      <alignment horizontal="center" vertical="center" wrapText="1"/>
    </xf>
    <xf numFmtId="0" fontId="47" fillId="28" borderId="11" xfId="3" applyFont="1" applyFill="1" applyBorder="1" applyAlignment="1">
      <alignment horizontal="center" vertical="center" wrapText="1"/>
    </xf>
    <xf numFmtId="0" fontId="44" fillId="0" borderId="0" xfId="3" applyFont="1" applyAlignment="1">
      <alignment wrapText="1"/>
    </xf>
    <xf numFmtId="0" fontId="44" fillId="0" borderId="11" xfId="3" applyFont="1" applyBorder="1" applyAlignment="1">
      <alignment horizontal="center" vertical="top"/>
    </xf>
    <xf numFmtId="0" fontId="44" fillId="0" borderId="11" xfId="3" applyFont="1" applyBorder="1" applyAlignment="1">
      <alignment horizontal="left"/>
    </xf>
    <xf numFmtId="0" fontId="44" fillId="0" borderId="11" xfId="3" applyFont="1" applyBorder="1" applyAlignment="1">
      <alignment horizontal="left" wrapText="1"/>
    </xf>
    <xf numFmtId="43" fontId="44" fillId="0" borderId="11" xfId="5" applyFont="1" applyBorder="1" applyAlignment="1">
      <alignment horizontal="left"/>
    </xf>
    <xf numFmtId="0" fontId="54" fillId="0" borderId="0" xfId="3" applyFont="1"/>
    <xf numFmtId="0" fontId="44" fillId="0" borderId="11" xfId="3" applyFont="1" applyBorder="1" applyAlignment="1">
      <alignment horizontal="left" vertical="top" wrapText="1"/>
    </xf>
    <xf numFmtId="0" fontId="44" fillId="0" borderId="11" xfId="3" applyFont="1" applyBorder="1" applyAlignment="1">
      <alignment horizontal="left" vertical="top"/>
    </xf>
    <xf numFmtId="43" fontId="44" fillId="0" borderId="11" xfId="5" applyFont="1" applyBorder="1" applyAlignment="1">
      <alignment horizontal="left" vertical="top"/>
    </xf>
    <xf numFmtId="0" fontId="44" fillId="0" borderId="11" xfId="3" applyFont="1" applyBorder="1"/>
    <xf numFmtId="190" fontId="41" fillId="27" borderId="11" xfId="5" applyNumberFormat="1" applyFont="1" applyFill="1" applyBorder="1"/>
    <xf numFmtId="0" fontId="46" fillId="26" borderId="11" xfId="3" applyFont="1" applyFill="1" applyBorder="1" applyAlignment="1">
      <alignment horizontal="right" vertical="center"/>
    </xf>
    <xf numFmtId="43" fontId="44" fillId="0" borderId="0" xfId="3" applyNumberFormat="1" applyFont="1"/>
    <xf numFmtId="0" fontId="0" fillId="0" borderId="0" xfId="0" applyAlignment="1">
      <alignment horizontal="center"/>
    </xf>
    <xf numFmtId="0" fontId="8" fillId="31" borderId="45" xfId="0" applyFont="1" applyFill="1" applyBorder="1" applyAlignment="1">
      <alignment horizontal="center"/>
    </xf>
    <xf numFmtId="192" fontId="8" fillId="31" borderId="46" xfId="0" applyNumberFormat="1" applyFont="1" applyFill="1" applyBorder="1" applyAlignment="1">
      <alignment horizontal="center"/>
    </xf>
    <xf numFmtId="192" fontId="8" fillId="31" borderId="47" xfId="0" applyNumberFormat="1" applyFont="1" applyFill="1" applyBorder="1" applyAlignment="1">
      <alignment horizontal="center"/>
    </xf>
    <xf numFmtId="192" fontId="8" fillId="31" borderId="48" xfId="0" applyNumberFormat="1" applyFont="1" applyFill="1" applyBorder="1" applyAlignment="1">
      <alignment horizontal="center"/>
    </xf>
    <xf numFmtId="192" fontId="8" fillId="31" borderId="49" xfId="0" applyNumberFormat="1" applyFont="1" applyFill="1" applyBorder="1" applyAlignment="1">
      <alignment horizontal="center"/>
    </xf>
    <xf numFmtId="0" fontId="59" fillId="0" borderId="4" xfId="0" applyFont="1" applyBorder="1" applyAlignment="1">
      <alignment horizontal="left" vertical="top"/>
    </xf>
    <xf numFmtId="0" fontId="59" fillId="0" borderId="4" xfId="0" applyFont="1" applyBorder="1" applyAlignment="1">
      <alignment horizontal="center" vertical="center"/>
    </xf>
    <xf numFmtId="0" fontId="59" fillId="0" borderId="4" xfId="0" applyFont="1" applyBorder="1" applyAlignment="1">
      <alignment horizontal="left" vertical="center"/>
    </xf>
    <xf numFmtId="192" fontId="8" fillId="21" borderId="52" xfId="0" applyNumberFormat="1" applyFont="1" applyFill="1" applyBorder="1" applyAlignment="1">
      <alignment horizontal="center"/>
    </xf>
    <xf numFmtId="192" fontId="8" fillId="21" borderId="53" xfId="0" applyNumberFormat="1" applyFont="1" applyFill="1" applyBorder="1" applyAlignment="1">
      <alignment horizontal="center"/>
    </xf>
    <xf numFmtId="192" fontId="8" fillId="13" borderId="53" xfId="0" applyNumberFormat="1" applyFont="1" applyFill="1" applyBorder="1" applyAlignment="1">
      <alignment horizontal="center"/>
    </xf>
    <xf numFmtId="192" fontId="8" fillId="13" borderId="54" xfId="0" applyNumberFormat="1" applyFont="1" applyFill="1" applyBorder="1" applyAlignment="1">
      <alignment horizontal="center"/>
    </xf>
    <xf numFmtId="192" fontId="8" fillId="0" borderId="52" xfId="0" applyNumberFormat="1" applyFont="1" applyBorder="1" applyAlignment="1">
      <alignment horizontal="center"/>
    </xf>
    <xf numFmtId="192" fontId="8" fillId="0" borderId="53" xfId="0" applyNumberFormat="1" applyFont="1" applyBorder="1" applyAlignment="1">
      <alignment horizontal="center"/>
    </xf>
    <xf numFmtId="192" fontId="8" fillId="0" borderId="54" xfId="0" applyNumberFormat="1" applyFont="1" applyBorder="1" applyAlignment="1">
      <alignment horizontal="center"/>
    </xf>
    <xf numFmtId="192" fontId="8" fillId="0" borderId="51" xfId="0" applyNumberFormat="1" applyFont="1" applyBorder="1" applyAlignment="1">
      <alignment horizontal="center"/>
    </xf>
    <xf numFmtId="0" fontId="59" fillId="0" borderId="4" xfId="0" applyFont="1" applyBorder="1" applyAlignment="1">
      <alignment horizontal="center" vertical="center" wrapText="1"/>
    </xf>
    <xf numFmtId="0" fontId="59" fillId="0" borderId="4" xfId="0" applyFont="1" applyBorder="1" applyAlignment="1">
      <alignment horizontal="left" vertical="center" wrapText="1"/>
    </xf>
    <xf numFmtId="192" fontId="8" fillId="21" borderId="54" xfId="0" applyNumberFormat="1" applyFont="1" applyFill="1" applyBorder="1" applyAlignment="1">
      <alignment horizontal="center"/>
    </xf>
    <xf numFmtId="0" fontId="8" fillId="0" borderId="50" xfId="0" applyFont="1" applyBorder="1" applyAlignment="1">
      <alignment horizontal="center"/>
    </xf>
    <xf numFmtId="0" fontId="8" fillId="31" borderId="50" xfId="0" applyFont="1" applyFill="1" applyBorder="1" applyAlignment="1">
      <alignment horizontal="center"/>
    </xf>
    <xf numFmtId="192" fontId="8" fillId="31" borderId="53" xfId="0" applyNumberFormat="1" applyFont="1" applyFill="1" applyBorder="1" applyAlignment="1">
      <alignment horizontal="center"/>
    </xf>
    <xf numFmtId="192" fontId="8" fillId="31" borderId="54" xfId="0" applyNumberFormat="1" applyFont="1" applyFill="1" applyBorder="1" applyAlignment="1">
      <alignment horizontal="center"/>
    </xf>
    <xf numFmtId="192" fontId="8" fillId="31" borderId="52" xfId="0" applyNumberFormat="1" applyFont="1" applyFill="1" applyBorder="1" applyAlignment="1">
      <alignment horizontal="center"/>
    </xf>
    <xf numFmtId="192" fontId="8" fillId="31" borderId="51" xfId="0" applyNumberFormat="1" applyFont="1" applyFill="1" applyBorder="1" applyAlignment="1">
      <alignment horizontal="center"/>
    </xf>
    <xf numFmtId="0" fontId="59" fillId="0" borderId="4" xfId="0" applyFont="1" applyBorder="1" applyAlignment="1">
      <alignment vertical="top"/>
    </xf>
    <xf numFmtId="0" fontId="8" fillId="0" borderId="55" xfId="0" applyFont="1" applyBorder="1" applyAlignment="1">
      <alignment horizontal="center"/>
    </xf>
    <xf numFmtId="192" fontId="8" fillId="0" borderId="57" xfId="0" applyNumberFormat="1" applyFont="1" applyBorder="1" applyAlignment="1">
      <alignment horizontal="center"/>
    </xf>
    <xf numFmtId="192" fontId="8" fillId="0" borderId="58" xfId="0" applyNumberFormat="1" applyFont="1" applyBorder="1" applyAlignment="1">
      <alignment horizontal="center"/>
    </xf>
    <xf numFmtId="192" fontId="8" fillId="0" borderId="59" xfId="0" applyNumberFormat="1" applyFont="1" applyBorder="1" applyAlignment="1">
      <alignment horizontal="center"/>
    </xf>
    <xf numFmtId="192" fontId="8" fillId="21" borderId="59" xfId="0" applyNumberFormat="1" applyFont="1" applyFill="1" applyBorder="1" applyAlignment="1">
      <alignment horizontal="center"/>
    </xf>
    <xf numFmtId="192" fontId="8" fillId="21" borderId="57" xfId="0" applyNumberFormat="1" applyFont="1" applyFill="1" applyBorder="1" applyAlignment="1">
      <alignment horizontal="center"/>
    </xf>
    <xf numFmtId="192" fontId="8" fillId="0" borderId="56" xfId="0" applyNumberFormat="1" applyFont="1" applyBorder="1" applyAlignment="1">
      <alignment horizontal="center"/>
    </xf>
    <xf numFmtId="0" fontId="61" fillId="33" borderId="21" xfId="0" applyFont="1" applyFill="1" applyBorder="1" applyAlignment="1">
      <alignment horizontal="left" vertical="top" wrapText="1"/>
    </xf>
    <xf numFmtId="0" fontId="59" fillId="33" borderId="21" xfId="0" applyFont="1" applyFill="1" applyBorder="1" applyAlignment="1">
      <alignment horizontal="center" vertical="center"/>
    </xf>
    <xf numFmtId="0" fontId="61" fillId="33" borderId="21" xfId="0" applyFont="1" applyFill="1" applyBorder="1" applyAlignment="1">
      <alignment horizontal="left" vertical="center"/>
    </xf>
    <xf numFmtId="0" fontId="8" fillId="0" borderId="60" xfId="0" applyFont="1" applyBorder="1" applyAlignment="1">
      <alignment horizontal="center"/>
    </xf>
    <xf numFmtId="192" fontId="8" fillId="0" borderId="61" xfId="0" applyNumberFormat="1" applyFont="1" applyBorder="1" applyAlignment="1">
      <alignment horizontal="center"/>
    </xf>
    <xf numFmtId="192" fontId="8" fillId="0" borderId="62" xfId="0" applyNumberFormat="1" applyFont="1" applyBorder="1" applyAlignment="1">
      <alignment horizontal="center"/>
    </xf>
    <xf numFmtId="192" fontId="8" fillId="0" borderId="63" xfId="0" applyNumberFormat="1" applyFont="1" applyBorder="1" applyAlignment="1">
      <alignment horizontal="center"/>
    </xf>
    <xf numFmtId="192" fontId="8" fillId="13" borderId="63" xfId="0" applyNumberFormat="1" applyFont="1" applyFill="1" applyBorder="1" applyAlignment="1">
      <alignment horizontal="center"/>
    </xf>
    <xf numFmtId="0" fontId="43" fillId="25" borderId="64" xfId="0" applyFont="1" applyFill="1" applyBorder="1" applyAlignment="1">
      <alignment horizontal="right"/>
    </xf>
    <xf numFmtId="192" fontId="8" fillId="0" borderId="65" xfId="0" applyNumberFormat="1" applyFont="1" applyBorder="1" applyAlignment="1">
      <alignment horizontal="center"/>
    </xf>
    <xf numFmtId="0" fontId="8" fillId="31" borderId="66" xfId="0" applyFont="1" applyFill="1" applyBorder="1" applyAlignment="1">
      <alignment horizontal="center"/>
    </xf>
    <xf numFmtId="192" fontId="8" fillId="0" borderId="68" xfId="0" applyNumberFormat="1" applyFont="1" applyBorder="1" applyAlignment="1">
      <alignment horizontal="center"/>
    </xf>
    <xf numFmtId="0" fontId="43" fillId="25" borderId="69" xfId="0" applyFont="1" applyFill="1" applyBorder="1" applyAlignment="1">
      <alignment horizontal="right"/>
    </xf>
    <xf numFmtId="0" fontId="0" fillId="0" borderId="39" xfId="0" applyBorder="1"/>
    <xf numFmtId="0" fontId="0" fillId="0" borderId="70" xfId="0" applyBorder="1"/>
    <xf numFmtId="192" fontId="8" fillId="0" borderId="71" xfId="0" applyNumberFormat="1" applyFont="1" applyBorder="1" applyAlignment="1">
      <alignment horizontal="center"/>
    </xf>
    <xf numFmtId="0" fontId="60" fillId="0" borderId="4" xfId="0" applyFont="1" applyBorder="1" applyAlignment="1">
      <alignment horizontal="left" vertical="top" wrapText="1"/>
    </xf>
    <xf numFmtId="0" fontId="60" fillId="0" borderId="4" xfId="0" applyFont="1" applyBorder="1" applyAlignment="1">
      <alignment horizontal="center" vertical="top" wrapText="1"/>
    </xf>
    <xf numFmtId="10" fontId="8" fillId="0" borderId="53" xfId="0" applyNumberFormat="1" applyFont="1" applyBorder="1" applyAlignment="1">
      <alignment horizontal="center"/>
    </xf>
    <xf numFmtId="10" fontId="8" fillId="0" borderId="54" xfId="0" applyNumberFormat="1" applyFont="1" applyBorder="1" applyAlignment="1">
      <alignment horizontal="center"/>
    </xf>
    <xf numFmtId="0" fontId="60" fillId="0" borderId="4" xfId="0" applyFont="1" applyBorder="1" applyAlignment="1">
      <alignment horizontal="left" vertical="top"/>
    </xf>
    <xf numFmtId="192" fontId="8" fillId="21" borderId="58" xfId="0" applyNumberFormat="1" applyFont="1" applyFill="1" applyBorder="1" applyAlignment="1">
      <alignment horizontal="center"/>
    </xf>
    <xf numFmtId="0" fontId="43" fillId="25" borderId="62" xfId="0" applyFont="1" applyFill="1" applyBorder="1" applyAlignment="1">
      <alignment horizontal="right"/>
    </xf>
    <xf numFmtId="0" fontId="62" fillId="0" borderId="4" xfId="0" applyFont="1" applyBorder="1" applyAlignment="1">
      <alignment horizontal="left" vertical="top"/>
    </xf>
    <xf numFmtId="192" fontId="8" fillId="31" borderId="72" xfId="0" applyNumberFormat="1" applyFont="1" applyFill="1" applyBorder="1" applyAlignment="1">
      <alignment horizontal="center"/>
    </xf>
    <xf numFmtId="192" fontId="8" fillId="31" borderId="73" xfId="0" applyNumberFormat="1" applyFont="1" applyFill="1" applyBorder="1" applyAlignment="1">
      <alignment horizontal="center"/>
    </xf>
    <xf numFmtId="192" fontId="8" fillId="31" borderId="74" xfId="0" applyNumberFormat="1" applyFont="1" applyFill="1" applyBorder="1" applyAlignment="1">
      <alignment horizontal="center"/>
    </xf>
    <xf numFmtId="192" fontId="8" fillId="31" borderId="75" xfId="0" applyNumberFormat="1" applyFont="1" applyFill="1" applyBorder="1" applyAlignment="1">
      <alignment horizontal="center"/>
    </xf>
    <xf numFmtId="0" fontId="60" fillId="0" borderId="1" xfId="0" applyFont="1" applyBorder="1" applyAlignment="1">
      <alignment horizontal="center" vertical="top"/>
    </xf>
    <xf numFmtId="0" fontId="8" fillId="0" borderId="76" xfId="0" applyFont="1" applyBorder="1" applyAlignment="1">
      <alignment horizontal="center"/>
    </xf>
    <xf numFmtId="0" fontId="60" fillId="0" borderId="5" xfId="0" applyFont="1" applyBorder="1" applyAlignment="1">
      <alignment horizontal="left" vertical="top"/>
    </xf>
    <xf numFmtId="0" fontId="60" fillId="0" borderId="30" xfId="0" applyFont="1" applyBorder="1" applyAlignment="1">
      <alignment horizontal="left" vertical="top"/>
    </xf>
    <xf numFmtId="192" fontId="8" fillId="0" borderId="78" xfId="0" applyNumberFormat="1" applyFont="1" applyBorder="1" applyAlignment="1">
      <alignment horizontal="center"/>
    </xf>
    <xf numFmtId="192" fontId="8" fillId="0" borderId="79" xfId="0" applyNumberFormat="1" applyFont="1" applyBorder="1" applyAlignment="1">
      <alignment horizontal="center"/>
    </xf>
    <xf numFmtId="192" fontId="8" fillId="0" borderId="80" xfId="0" applyNumberFormat="1" applyFont="1" applyBorder="1" applyAlignment="1">
      <alignment horizontal="center"/>
    </xf>
    <xf numFmtId="0" fontId="60" fillId="0" borderId="4" xfId="0" applyFont="1" applyBorder="1" applyAlignment="1">
      <alignment vertical="top"/>
    </xf>
    <xf numFmtId="192" fontId="8" fillId="21" borderId="51" xfId="0" applyNumberFormat="1" applyFont="1" applyFill="1" applyBorder="1" applyAlignment="1">
      <alignment horizontal="center"/>
    </xf>
    <xf numFmtId="0" fontId="43" fillId="0" borderId="69" xfId="0" applyFont="1" applyBorder="1" applyAlignment="1">
      <alignment horizontal="right"/>
    </xf>
    <xf numFmtId="0" fontId="60" fillId="0" borderId="1" xfId="0" applyFont="1" applyBorder="1" applyAlignment="1">
      <alignment horizontal="left" vertical="top" wrapText="1"/>
    </xf>
    <xf numFmtId="0" fontId="60" fillId="0" borderId="5" xfId="0" applyFont="1" applyBorder="1" applyAlignment="1">
      <alignment vertical="top"/>
    </xf>
    <xf numFmtId="0" fontId="60" fillId="0" borderId="30" xfId="0" applyFont="1" applyBorder="1" applyAlignment="1">
      <alignment horizontal="center" vertical="top"/>
    </xf>
    <xf numFmtId="0" fontId="8" fillId="0" borderId="81" xfId="0" applyFont="1" applyBorder="1" applyAlignment="1">
      <alignment horizontal="center"/>
    </xf>
    <xf numFmtId="192" fontId="8" fillId="0" borderId="77" xfId="0" applyNumberFormat="1" applyFont="1" applyBorder="1" applyAlignment="1">
      <alignment horizontal="center"/>
    </xf>
    <xf numFmtId="0" fontId="41" fillId="0" borderId="11" xfId="0" applyFont="1" applyBorder="1" applyAlignment="1">
      <alignment horizontal="center"/>
    </xf>
    <xf numFmtId="0" fontId="41" fillId="0" borderId="11" xfId="0" applyFont="1" applyBorder="1"/>
    <xf numFmtId="0" fontId="3" fillId="0" borderId="11" xfId="0" applyFont="1" applyBorder="1"/>
    <xf numFmtId="192" fontId="0" fillId="0" borderId="0" xfId="0" applyNumberFormat="1" applyAlignment="1">
      <alignment horizontal="center"/>
    </xf>
    <xf numFmtId="0" fontId="8" fillId="31" borderId="82" xfId="0" applyFont="1" applyFill="1" applyBorder="1" applyAlignment="1">
      <alignment horizontal="center"/>
    </xf>
    <xf numFmtId="0" fontId="8" fillId="0" borderId="71" xfId="0" applyFont="1" applyBorder="1" applyAlignment="1">
      <alignment horizontal="center"/>
    </xf>
    <xf numFmtId="0" fontId="8" fillId="0" borderId="68" xfId="0" applyFont="1" applyBorder="1" applyAlignment="1">
      <alignment horizontal="center"/>
    </xf>
    <xf numFmtId="192" fontId="7" fillId="0" borderId="52" xfId="0" applyNumberFormat="1" applyFont="1" applyBorder="1" applyAlignment="1">
      <alignment horizontal="left"/>
    </xf>
    <xf numFmtId="192" fontId="8" fillId="0" borderId="67" xfId="0" applyNumberFormat="1" applyFont="1" applyBorder="1" applyAlignment="1">
      <alignment horizontal="center"/>
    </xf>
    <xf numFmtId="0" fontId="8" fillId="31" borderId="83" xfId="0" applyFont="1" applyFill="1" applyBorder="1" applyAlignment="1">
      <alignment horizontal="center"/>
    </xf>
    <xf numFmtId="0" fontId="41" fillId="36" borderId="17" xfId="0" applyFont="1" applyFill="1" applyBorder="1" applyAlignment="1">
      <alignment horizontal="center"/>
    </xf>
    <xf numFmtId="0" fontId="41" fillId="36" borderId="18" xfId="0" applyFont="1" applyFill="1" applyBorder="1" applyAlignment="1">
      <alignment horizontal="center"/>
    </xf>
    <xf numFmtId="0" fontId="19" fillId="0" borderId="2" xfId="0" applyFont="1" applyBorder="1" applyAlignment="1">
      <alignment horizontal="center" vertical="center" wrapText="1"/>
    </xf>
    <xf numFmtId="0" fontId="19" fillId="3" borderId="7" xfId="0" applyFont="1" applyFill="1" applyBorder="1" applyAlignment="1">
      <alignment horizontal="center" vertical="center" wrapText="1"/>
    </xf>
    <xf numFmtId="0" fontId="19" fillId="3" borderId="29" xfId="0" applyFont="1" applyFill="1" applyBorder="1" applyAlignment="1">
      <alignment horizontal="center" vertical="center" wrapText="1"/>
    </xf>
    <xf numFmtId="0" fontId="19" fillId="3" borderId="3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63" fillId="3" borderId="4" xfId="0" applyFont="1" applyFill="1" applyBorder="1" applyAlignment="1">
      <alignment vertical="center" wrapText="1"/>
    </xf>
    <xf numFmtId="0" fontId="19" fillId="3" borderId="24" xfId="0" applyFont="1" applyFill="1" applyBorder="1" applyAlignment="1">
      <alignment horizontal="center" vertical="center" wrapText="1"/>
    </xf>
    <xf numFmtId="0" fontId="33" fillId="0" borderId="24" xfId="0" applyFont="1" applyBorder="1"/>
    <xf numFmtId="0" fontId="19" fillId="3" borderId="23" xfId="0" applyFont="1" applyFill="1" applyBorder="1" applyAlignment="1">
      <alignment horizontal="center" vertical="center" wrapText="1"/>
    </xf>
    <xf numFmtId="0" fontId="19" fillId="3" borderId="37" xfId="0" applyFont="1" applyFill="1" applyBorder="1" applyAlignment="1">
      <alignment horizontal="center" vertical="center" wrapText="1"/>
    </xf>
    <xf numFmtId="0" fontId="19" fillId="3" borderId="25"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0" borderId="29"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23" xfId="0" applyFont="1" applyBorder="1" applyAlignment="1">
      <alignment horizontal="center" vertical="center" wrapText="1"/>
    </xf>
    <xf numFmtId="0" fontId="64" fillId="13" borderId="33" xfId="0" applyFont="1" applyFill="1" applyBorder="1" applyAlignment="1">
      <alignment vertical="center"/>
    </xf>
    <xf numFmtId="0" fontId="65" fillId="0" borderId="0" xfId="0" applyFont="1" applyAlignment="1">
      <alignment vertical="center"/>
    </xf>
    <xf numFmtId="0" fontId="66" fillId="37" borderId="6" xfId="0" applyFont="1" applyFill="1" applyBorder="1" applyAlignment="1">
      <alignment horizontal="center" vertical="center" wrapText="1"/>
    </xf>
    <xf numFmtId="0" fontId="66" fillId="37" borderId="2" xfId="0" applyFont="1" applyFill="1" applyBorder="1" applyAlignment="1">
      <alignment horizontal="center" vertical="center" wrapText="1"/>
    </xf>
    <xf numFmtId="0" fontId="44" fillId="0" borderId="5" xfId="0" applyFont="1" applyBorder="1" applyAlignment="1">
      <alignment horizontal="center" vertical="center" wrapText="1"/>
    </xf>
    <xf numFmtId="0" fontId="44" fillId="0" borderId="2" xfId="0" applyFont="1" applyBorder="1" applyAlignment="1">
      <alignment vertical="center" wrapText="1"/>
    </xf>
    <xf numFmtId="0" fontId="43" fillId="25" borderId="65" xfId="0" applyFont="1" applyFill="1" applyBorder="1" applyAlignment="1">
      <alignment horizontal="right"/>
    </xf>
    <xf numFmtId="0" fontId="3" fillId="0" borderId="0" xfId="0" applyFont="1" applyAlignment="1">
      <alignment horizontal="left"/>
    </xf>
    <xf numFmtId="0" fontId="0" fillId="12" borderId="3" xfId="0" applyFill="1" applyBorder="1" applyAlignment="1">
      <alignment horizontal="center" wrapText="1"/>
    </xf>
    <xf numFmtId="0" fontId="0" fillId="12" borderId="4" xfId="0" applyFill="1" applyBorder="1" applyAlignment="1">
      <alignment horizontal="center" wrapText="1"/>
    </xf>
    <xf numFmtId="0" fontId="4" fillId="8" borderId="10"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3" borderId="3" xfId="0" applyFont="1" applyFill="1" applyBorder="1" applyAlignment="1">
      <alignment vertical="center" wrapText="1"/>
    </xf>
    <xf numFmtId="0" fontId="5" fillId="3" borderId="4" xfId="0" applyFont="1" applyFill="1" applyBorder="1" applyAlignment="1">
      <alignment vertical="center" wrapText="1"/>
    </xf>
    <xf numFmtId="0" fontId="5" fillId="3" borderId="5" xfId="0" applyFont="1" applyFill="1" applyBorder="1" applyAlignment="1">
      <alignment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4" fillId="8" borderId="3" xfId="0" applyFont="1" applyFill="1" applyBorder="1" applyAlignment="1">
      <alignment vertical="center" wrapText="1"/>
    </xf>
    <xf numFmtId="0" fontId="4" fillId="8" borderId="5" xfId="0" applyFont="1" applyFill="1" applyBorder="1" applyAlignment="1">
      <alignment vertical="center" wrapText="1"/>
    </xf>
    <xf numFmtId="0" fontId="4" fillId="8" borderId="3"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4" fillId="8"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3" borderId="5" xfId="0" applyFont="1" applyFill="1" applyBorder="1" applyAlignment="1">
      <alignment horizontal="left" vertical="center" wrapText="1"/>
    </xf>
    <xf numFmtId="0" fontId="33" fillId="0" borderId="26" xfId="0" applyFont="1" applyBorder="1" applyAlignment="1">
      <alignment horizontal="center" vertical="center"/>
    </xf>
    <xf numFmtId="0" fontId="33" fillId="0" borderId="34" xfId="0" applyFont="1" applyBorder="1" applyAlignment="1">
      <alignment horizontal="center" vertical="center"/>
    </xf>
    <xf numFmtId="0" fontId="33" fillId="0" borderId="35" xfId="0" applyFont="1" applyBorder="1" applyAlignment="1">
      <alignment horizontal="center" vertical="center"/>
    </xf>
    <xf numFmtId="0" fontId="3" fillId="0" borderId="0" xfId="3" applyFont="1" applyAlignment="1">
      <alignment horizontal="left" wrapText="1"/>
    </xf>
    <xf numFmtId="0" fontId="3" fillId="0" borderId="0" xfId="3" applyFont="1" applyAlignment="1">
      <alignment horizontal="left"/>
    </xf>
    <xf numFmtId="0" fontId="60" fillId="0" borderId="4" xfId="0" applyFont="1" applyBorder="1" applyAlignment="1">
      <alignment horizontal="left" vertical="top"/>
    </xf>
    <xf numFmtId="0" fontId="58" fillId="35" borderId="10" xfId="0" applyFont="1" applyFill="1" applyBorder="1" applyAlignment="1">
      <alignment horizontal="left" vertical="center" wrapText="1"/>
    </xf>
    <xf numFmtId="0" fontId="58" fillId="35" borderId="28" xfId="0" applyFont="1" applyFill="1" applyBorder="1" applyAlignment="1">
      <alignment horizontal="left" vertical="center" wrapText="1"/>
    </xf>
    <xf numFmtId="0" fontId="58" fillId="35" borderId="6" xfId="0" applyFont="1" applyFill="1" applyBorder="1" applyAlignment="1">
      <alignment horizontal="left" vertical="center" wrapText="1"/>
    </xf>
    <xf numFmtId="0" fontId="60" fillId="0" borderId="5" xfId="0" applyFont="1" applyBorder="1" applyAlignment="1">
      <alignment horizontal="left" vertical="top"/>
    </xf>
    <xf numFmtId="0" fontId="58" fillId="34" borderId="10" xfId="0" applyFont="1" applyFill="1" applyBorder="1" applyAlignment="1">
      <alignment horizontal="left" vertical="center"/>
    </xf>
    <xf numFmtId="0" fontId="58" fillId="34" borderId="28" xfId="0" applyFont="1" applyFill="1" applyBorder="1" applyAlignment="1">
      <alignment horizontal="left" vertical="center"/>
    </xf>
    <xf numFmtId="0" fontId="60" fillId="0" borderId="4" xfId="0" applyFont="1" applyBorder="1" applyAlignment="1">
      <alignment horizontal="left" vertical="top" wrapText="1"/>
    </xf>
    <xf numFmtId="17" fontId="41" fillId="36" borderId="13" xfId="0" applyNumberFormat="1" applyFont="1" applyFill="1" applyBorder="1" applyAlignment="1">
      <alignment horizontal="center"/>
    </xf>
    <xf numFmtId="0" fontId="41" fillId="36" borderId="13" xfId="0" applyFont="1" applyFill="1" applyBorder="1" applyAlignment="1">
      <alignment horizontal="center"/>
    </xf>
    <xf numFmtId="0" fontId="41" fillId="36" borderId="86" xfId="0" applyFont="1" applyFill="1" applyBorder="1" applyAlignment="1">
      <alignment horizontal="center"/>
    </xf>
    <xf numFmtId="0" fontId="58" fillId="30" borderId="1" xfId="0" applyFont="1" applyFill="1" applyBorder="1" applyAlignment="1">
      <alignment horizontal="left" vertical="center" wrapText="1"/>
    </xf>
    <xf numFmtId="0" fontId="58" fillId="30" borderId="0" xfId="0" applyFont="1" applyFill="1" applyAlignment="1">
      <alignment horizontal="left" vertical="center" wrapText="1"/>
    </xf>
    <xf numFmtId="0" fontId="59" fillId="0" borderId="4" xfId="0" applyFont="1" applyBorder="1" applyAlignment="1">
      <alignment horizontal="left" vertical="top" wrapText="1"/>
    </xf>
    <xf numFmtId="0" fontId="58" fillId="32" borderId="1" xfId="0" applyFont="1" applyFill="1" applyBorder="1" applyAlignment="1">
      <alignment horizontal="left" vertical="center" wrapText="1"/>
    </xf>
    <xf numFmtId="0" fontId="58" fillId="32" borderId="0" xfId="0" applyFont="1" applyFill="1" applyAlignment="1">
      <alignment horizontal="left" vertical="center" wrapText="1"/>
    </xf>
    <xf numFmtId="0" fontId="58" fillId="30" borderId="22" xfId="0" applyFont="1" applyFill="1" applyBorder="1" applyAlignment="1">
      <alignment horizontal="left" vertical="center" wrapText="1"/>
    </xf>
    <xf numFmtId="0" fontId="59" fillId="0" borderId="4" xfId="0" applyFont="1" applyBorder="1" applyAlignment="1">
      <alignment horizontal="left" vertical="top"/>
    </xf>
    <xf numFmtId="0" fontId="41" fillId="36" borderId="84" xfId="0" applyFont="1" applyFill="1" applyBorder="1" applyAlignment="1">
      <alignment horizontal="center" vertical="center"/>
    </xf>
    <xf numFmtId="0" fontId="41" fillId="36" borderId="87" xfId="0" applyFont="1" applyFill="1" applyBorder="1" applyAlignment="1">
      <alignment horizontal="center" vertical="center"/>
    </xf>
    <xf numFmtId="0" fontId="41" fillId="36" borderId="85" xfId="0" applyFont="1" applyFill="1" applyBorder="1" applyAlignment="1">
      <alignment horizontal="center"/>
    </xf>
    <xf numFmtId="0" fontId="41" fillId="36" borderId="88" xfId="0" applyFont="1" applyFill="1" applyBorder="1" applyAlignment="1">
      <alignment horizontal="center"/>
    </xf>
    <xf numFmtId="0" fontId="41" fillId="36" borderId="85" xfId="0" applyFont="1" applyFill="1" applyBorder="1" applyAlignment="1">
      <alignment horizontal="center" vertical="center"/>
    </xf>
    <xf numFmtId="0" fontId="41" fillId="36" borderId="88" xfId="0" applyFont="1" applyFill="1" applyBorder="1" applyAlignment="1">
      <alignment horizontal="center" vertical="center"/>
    </xf>
    <xf numFmtId="0" fontId="66" fillId="37" borderId="3" xfId="0" applyFont="1" applyFill="1" applyBorder="1" applyAlignment="1">
      <alignment horizontal="center" vertical="center" wrapText="1"/>
    </xf>
    <xf numFmtId="0" fontId="66" fillId="37" borderId="5" xfId="0" applyFont="1" applyFill="1" applyBorder="1" applyAlignment="1">
      <alignment horizontal="center" vertical="center" wrapText="1"/>
    </xf>
    <xf numFmtId="0" fontId="46" fillId="26" borderId="40" xfId="3" applyFont="1" applyFill="1" applyBorder="1" applyAlignment="1">
      <alignment horizontal="right" vertical="center" wrapText="1"/>
    </xf>
    <xf numFmtId="0" fontId="46" fillId="26" borderId="41" xfId="3" applyFont="1" applyFill="1" applyBorder="1" applyAlignment="1">
      <alignment horizontal="right" vertical="center" wrapText="1"/>
    </xf>
    <xf numFmtId="0" fontId="47" fillId="21" borderId="11" xfId="3" applyFont="1" applyFill="1" applyBorder="1" applyAlignment="1">
      <alignment horizontal="left" vertical="center" wrapText="1"/>
    </xf>
    <xf numFmtId="0" fontId="47" fillId="26" borderId="31" xfId="3" applyFont="1" applyFill="1" applyBorder="1" applyAlignment="1">
      <alignment horizontal="left" vertical="center" wrapText="1"/>
    </xf>
    <xf numFmtId="0" fontId="47" fillId="26" borderId="32" xfId="3" applyFont="1" applyFill="1" applyBorder="1" applyAlignment="1">
      <alignment horizontal="left" vertical="center" wrapText="1"/>
    </xf>
    <xf numFmtId="0" fontId="46" fillId="26" borderId="11" xfId="3" applyFont="1" applyFill="1" applyBorder="1" applyAlignment="1">
      <alignment horizontal="right" vertical="center" wrapText="1"/>
    </xf>
    <xf numFmtId="0" fontId="47" fillId="26" borderId="42" xfId="3" applyFont="1" applyFill="1" applyBorder="1" applyAlignment="1">
      <alignment horizontal="center" vertical="center" wrapText="1"/>
    </xf>
    <xf numFmtId="0" fontId="47" fillId="26" borderId="43" xfId="3" applyFont="1" applyFill="1" applyBorder="1" applyAlignment="1">
      <alignment horizontal="center" vertical="center" wrapText="1"/>
    </xf>
    <xf numFmtId="0" fontId="45" fillId="26" borderId="0" xfId="3" applyFont="1" applyFill="1" applyAlignment="1">
      <alignment horizontal="left" vertical="center" wrapText="1"/>
    </xf>
    <xf numFmtId="0" fontId="47" fillId="21" borderId="38" xfId="3" applyFont="1" applyFill="1" applyBorder="1" applyAlignment="1">
      <alignment horizontal="left" vertical="center" wrapText="1"/>
    </xf>
    <xf numFmtId="0" fontId="47" fillId="21" borderId="28" xfId="3" applyFont="1" applyFill="1" applyBorder="1" applyAlignment="1">
      <alignment horizontal="left" vertical="center" wrapText="1"/>
    </xf>
    <xf numFmtId="0" fontId="47" fillId="21" borderId="39" xfId="3" applyFont="1" applyFill="1" applyBorder="1" applyAlignment="1">
      <alignment horizontal="left" vertical="center" wrapText="1"/>
    </xf>
    <xf numFmtId="0" fontId="47" fillId="21" borderId="36" xfId="3" applyFont="1" applyFill="1" applyBorder="1" applyAlignment="1">
      <alignment horizontal="left" vertical="center" wrapText="1"/>
    </xf>
    <xf numFmtId="3" fontId="47" fillId="21" borderId="11" xfId="3" applyNumberFormat="1" applyFont="1" applyFill="1" applyBorder="1" applyAlignment="1">
      <alignment horizontal="left" vertical="center" wrapText="1"/>
    </xf>
    <xf numFmtId="3" fontId="47" fillId="21" borderId="40" xfId="3" applyNumberFormat="1" applyFont="1" applyFill="1" applyBorder="1" applyAlignment="1">
      <alignment horizontal="left" vertical="center" wrapText="1"/>
    </xf>
    <xf numFmtId="3" fontId="47" fillId="21" borderId="41" xfId="3" applyNumberFormat="1" applyFont="1" applyFill="1" applyBorder="1" applyAlignment="1">
      <alignment horizontal="left" vertical="center" wrapText="1"/>
    </xf>
    <xf numFmtId="0" fontId="47" fillId="26" borderId="40" xfId="3" applyFont="1" applyFill="1" applyBorder="1" applyAlignment="1">
      <alignment horizontal="center" vertical="center" wrapText="1"/>
    </xf>
    <xf numFmtId="0" fontId="48" fillId="28" borderId="1" xfId="3" applyFont="1" applyFill="1" applyBorder="1" applyAlignment="1">
      <alignment horizontal="right" vertical="center" wrapText="1"/>
    </xf>
    <xf numFmtId="0" fontId="48" fillId="28" borderId="0" xfId="3" applyFont="1" applyFill="1" applyAlignment="1">
      <alignment horizontal="right" vertical="center" wrapText="1"/>
    </xf>
    <xf numFmtId="0" fontId="49" fillId="28" borderId="44" xfId="3" applyFont="1" applyFill="1" applyBorder="1" applyAlignment="1">
      <alignment horizontal="left" vertical="center" wrapText="1"/>
    </xf>
    <xf numFmtId="0" fontId="49" fillId="28" borderId="0" xfId="3" applyFont="1" applyFill="1" applyAlignment="1">
      <alignment horizontal="left" vertical="center" wrapText="1"/>
    </xf>
    <xf numFmtId="0" fontId="49" fillId="28" borderId="22" xfId="3" applyFont="1" applyFill="1" applyBorder="1" applyAlignment="1">
      <alignment horizontal="left" vertical="center" wrapText="1"/>
    </xf>
    <xf numFmtId="0" fontId="52" fillId="26" borderId="11" xfId="3" applyFont="1" applyFill="1" applyBorder="1" applyAlignment="1">
      <alignment horizontal="center" vertical="center" wrapText="1"/>
    </xf>
    <xf numFmtId="0" fontId="47" fillId="27" borderId="40" xfId="3" applyFont="1" applyFill="1" applyBorder="1" applyAlignment="1">
      <alignment horizontal="left" vertical="center" wrapText="1"/>
    </xf>
    <xf numFmtId="0" fontId="47" fillId="27" borderId="41" xfId="3" applyFont="1" applyFill="1" applyBorder="1" applyAlignment="1">
      <alignment horizontal="left" vertical="center" wrapText="1"/>
    </xf>
    <xf numFmtId="0" fontId="44" fillId="0" borderId="11" xfId="3" applyFont="1" applyBorder="1" applyAlignment="1">
      <alignment horizontal="left" vertical="top" wrapText="1"/>
    </xf>
    <xf numFmtId="0" fontId="44" fillId="0" borderId="11" xfId="3" applyFont="1" applyBorder="1" applyAlignment="1">
      <alignment horizontal="left" vertical="top"/>
    </xf>
    <xf numFmtId="0" fontId="45" fillId="26" borderId="11" xfId="3" applyFont="1" applyFill="1" applyBorder="1" applyAlignment="1">
      <alignment horizontal="center" vertical="center" wrapText="1"/>
    </xf>
    <xf numFmtId="0" fontId="44" fillId="0" borderId="11" xfId="3" applyFont="1" applyBorder="1" applyAlignment="1">
      <alignment horizontal="left"/>
    </xf>
    <xf numFmtId="0" fontId="44" fillId="29" borderId="11" xfId="3" applyFont="1" applyFill="1" applyBorder="1" applyAlignment="1">
      <alignment horizontal="left"/>
    </xf>
    <xf numFmtId="0" fontId="55" fillId="27" borderId="11" xfId="0" applyFont="1" applyFill="1" applyBorder="1" applyAlignment="1">
      <alignment horizontal="center"/>
    </xf>
    <xf numFmtId="0" fontId="56" fillId="26" borderId="11" xfId="3" applyFont="1" applyFill="1" applyBorder="1" applyAlignment="1">
      <alignment horizontal="center" vertical="center" wrapText="1"/>
    </xf>
    <xf numFmtId="0" fontId="46" fillId="26" borderId="11" xfId="3" applyFont="1" applyFill="1" applyBorder="1" applyAlignment="1">
      <alignment horizontal="right" vertical="top" wrapText="1"/>
    </xf>
    <xf numFmtId="0" fontId="44" fillId="29" borderId="11" xfId="3" applyFont="1" applyFill="1" applyBorder="1" applyAlignment="1">
      <alignment horizontal="left" vertical="center"/>
    </xf>
    <xf numFmtId="0" fontId="44" fillId="29" borderId="11" xfId="3" applyFont="1" applyFill="1" applyBorder="1" applyAlignment="1">
      <alignment horizontal="left" vertical="center" wrapText="1"/>
    </xf>
    <xf numFmtId="0" fontId="24" fillId="17" borderId="0" xfId="7" applyFont="1" applyFill="1" applyAlignment="1">
      <alignment horizontal="center" vertical="center"/>
    </xf>
    <xf numFmtId="0" fontId="26" fillId="18" borderId="10" xfId="7" applyFont="1" applyFill="1" applyBorder="1" applyAlignment="1">
      <alignment horizontal="center" vertical="center" wrapText="1"/>
    </xf>
    <xf numFmtId="0" fontId="26" fillId="18" borderId="1" xfId="7" applyFont="1" applyFill="1" applyBorder="1" applyAlignment="1">
      <alignment horizontal="center" vertical="center" wrapText="1"/>
    </xf>
    <xf numFmtId="0" fontId="26" fillId="18" borderId="28" xfId="7" applyFont="1" applyFill="1" applyBorder="1" applyAlignment="1">
      <alignment horizontal="center" vertical="center" wrapText="1"/>
    </xf>
    <xf numFmtId="0" fontId="26" fillId="18" borderId="31" xfId="7" applyFont="1" applyFill="1" applyBorder="1" applyAlignment="1">
      <alignment horizontal="center" vertical="center" wrapText="1"/>
    </xf>
  </cellXfs>
  <cellStyles count="9">
    <cellStyle name="Comma" xfId="5" builtinId="3"/>
    <cellStyle name="Comma 2" xfId="1" xr:uid="{00000000-0005-0000-0000-000001000000}"/>
    <cellStyle name="Comma 3" xfId="4" xr:uid="{00000000-0005-0000-0000-000002000000}"/>
    <cellStyle name="Comma 4" xfId="8" xr:uid="{1867A2EC-3536-463F-84D8-7EFA8E4C3A1C}"/>
    <cellStyle name="Currency 2" xfId="2" xr:uid="{00000000-0005-0000-0000-000003000000}"/>
    <cellStyle name="Normal" xfId="0" builtinId="0"/>
    <cellStyle name="Normal 2" xfId="3" xr:uid="{00000000-0005-0000-0000-000005000000}"/>
    <cellStyle name="Normal 2 2 2" xfId="7" xr:uid="{7DD1B937-4F4F-41E3-97BD-19405B24D4E5}"/>
    <cellStyle name="Percent" xfId="6" builtinId="5"/>
  </cellStyles>
  <dxfs count="0"/>
  <tableStyles count="0" defaultTableStyle="TableStyleMedium2" defaultPivotStyle="PivotStyleLight16"/>
  <colors>
    <mruColors>
      <color rgb="FFCCFFCC"/>
      <color rgb="FF8EA9DB"/>
      <color rgb="FFFF9933"/>
      <color rgb="FFD9E1F2"/>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20</xdr:col>
      <xdr:colOff>37352</xdr:colOff>
      <xdr:row>11</xdr:row>
      <xdr:rowOff>7471</xdr:rowOff>
    </xdr:from>
    <xdr:to>
      <xdr:col>20</xdr:col>
      <xdr:colOff>246529</xdr:colOff>
      <xdr:row>11</xdr:row>
      <xdr:rowOff>164353</xdr:rowOff>
    </xdr:to>
    <xdr:sp macro="" textlink="">
      <xdr:nvSpPr>
        <xdr:cNvPr id="8" name="Star: 5 Points 7">
          <a:extLst>
            <a:ext uri="{FF2B5EF4-FFF2-40B4-BE49-F238E27FC236}">
              <a16:creationId xmlns:a16="http://schemas.microsoft.com/office/drawing/2014/main" id="{A82F867B-1BDF-4754-8186-ECDD5732B4DC}"/>
            </a:ext>
          </a:extLst>
        </xdr:cNvPr>
        <xdr:cNvSpPr/>
      </xdr:nvSpPr>
      <xdr:spPr>
        <a:xfrm>
          <a:off x="11327652" y="2052171"/>
          <a:ext cx="209177" cy="156882"/>
        </a:xfrm>
        <a:prstGeom prst="star5">
          <a:avLst/>
        </a:prstGeom>
        <a:solidFill>
          <a:srgbClr val="FF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solidFill>
              <a:schemeClr val="accent2"/>
            </a:solidFill>
          </a:endParaRPr>
        </a:p>
      </xdr:txBody>
    </xdr:sp>
    <xdr:clientData/>
  </xdr:twoCellAnchor>
  <xdr:twoCellAnchor>
    <xdr:from>
      <xdr:col>32</xdr:col>
      <xdr:colOff>25588</xdr:colOff>
      <xdr:row>19</xdr:row>
      <xdr:rowOff>0</xdr:rowOff>
    </xdr:from>
    <xdr:to>
      <xdr:col>32</xdr:col>
      <xdr:colOff>234765</xdr:colOff>
      <xdr:row>19</xdr:row>
      <xdr:rowOff>156882</xdr:rowOff>
    </xdr:to>
    <xdr:sp macro="" textlink="">
      <xdr:nvSpPr>
        <xdr:cNvPr id="9" name="Star: 5 Points 8">
          <a:extLst>
            <a:ext uri="{FF2B5EF4-FFF2-40B4-BE49-F238E27FC236}">
              <a16:creationId xmlns:a16="http://schemas.microsoft.com/office/drawing/2014/main" id="{60F245FA-EA38-4442-8C9B-2263BB8EF5E0}"/>
            </a:ext>
          </a:extLst>
        </xdr:cNvPr>
        <xdr:cNvSpPr/>
      </xdr:nvSpPr>
      <xdr:spPr>
        <a:xfrm>
          <a:off x="14592488" y="3479800"/>
          <a:ext cx="209177" cy="156882"/>
        </a:xfrm>
        <a:prstGeom prst="star5">
          <a:avLst/>
        </a:prstGeom>
        <a:solidFill>
          <a:srgbClr val="FF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solidFill>
              <a:schemeClr val="accent2"/>
            </a:solidFill>
          </a:endParaRPr>
        </a:p>
      </xdr:txBody>
    </xdr:sp>
    <xdr:clientData/>
  </xdr:twoCellAnchor>
  <xdr:twoCellAnchor>
    <xdr:from>
      <xdr:col>46</xdr:col>
      <xdr:colOff>36234</xdr:colOff>
      <xdr:row>28</xdr:row>
      <xdr:rowOff>0</xdr:rowOff>
    </xdr:from>
    <xdr:to>
      <xdr:col>46</xdr:col>
      <xdr:colOff>245411</xdr:colOff>
      <xdr:row>28</xdr:row>
      <xdr:rowOff>156882</xdr:rowOff>
    </xdr:to>
    <xdr:sp macro="" textlink="">
      <xdr:nvSpPr>
        <xdr:cNvPr id="10" name="Star: 5 Points 9">
          <a:extLst>
            <a:ext uri="{FF2B5EF4-FFF2-40B4-BE49-F238E27FC236}">
              <a16:creationId xmlns:a16="http://schemas.microsoft.com/office/drawing/2014/main" id="{D7ECE34F-B15D-4D10-993A-B307C3FE1A8E}"/>
            </a:ext>
          </a:extLst>
        </xdr:cNvPr>
        <xdr:cNvSpPr/>
      </xdr:nvSpPr>
      <xdr:spPr>
        <a:xfrm>
          <a:off x="18463934" y="5092700"/>
          <a:ext cx="209177" cy="156882"/>
        </a:xfrm>
        <a:prstGeom prst="star5">
          <a:avLst/>
        </a:prstGeom>
        <a:solidFill>
          <a:srgbClr val="FF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solidFill>
              <a:schemeClr val="accent2"/>
            </a:solidFill>
          </a:endParaRPr>
        </a:p>
      </xdr:txBody>
    </xdr:sp>
    <xdr:clientData/>
  </xdr:twoCellAnchor>
  <xdr:twoCellAnchor>
    <xdr:from>
      <xdr:col>54</xdr:col>
      <xdr:colOff>7471</xdr:colOff>
      <xdr:row>40</xdr:row>
      <xdr:rowOff>0</xdr:rowOff>
    </xdr:from>
    <xdr:to>
      <xdr:col>54</xdr:col>
      <xdr:colOff>216648</xdr:colOff>
      <xdr:row>40</xdr:row>
      <xdr:rowOff>156882</xdr:rowOff>
    </xdr:to>
    <xdr:sp macro="" textlink="">
      <xdr:nvSpPr>
        <xdr:cNvPr id="11" name="Star: 5 Points 10">
          <a:extLst>
            <a:ext uri="{FF2B5EF4-FFF2-40B4-BE49-F238E27FC236}">
              <a16:creationId xmlns:a16="http://schemas.microsoft.com/office/drawing/2014/main" id="{1EDB1C68-2567-48BC-B989-B0C9E97D6032}"/>
            </a:ext>
          </a:extLst>
        </xdr:cNvPr>
        <xdr:cNvSpPr/>
      </xdr:nvSpPr>
      <xdr:spPr>
        <a:xfrm>
          <a:off x="20657671" y="7239000"/>
          <a:ext cx="209177" cy="156882"/>
        </a:xfrm>
        <a:prstGeom prst="star5">
          <a:avLst/>
        </a:prstGeom>
        <a:solidFill>
          <a:srgbClr val="FF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solidFill>
              <a:schemeClr val="accent2"/>
            </a:solidFill>
          </a:endParaRPr>
        </a:p>
      </xdr:txBody>
    </xdr:sp>
    <xdr:clientData/>
  </xdr:twoCellAnchor>
  <xdr:twoCellAnchor>
    <xdr:from>
      <xdr:col>66</xdr:col>
      <xdr:colOff>36234</xdr:colOff>
      <xdr:row>49</xdr:row>
      <xdr:rowOff>0</xdr:rowOff>
    </xdr:from>
    <xdr:to>
      <xdr:col>66</xdr:col>
      <xdr:colOff>245411</xdr:colOff>
      <xdr:row>49</xdr:row>
      <xdr:rowOff>156882</xdr:rowOff>
    </xdr:to>
    <xdr:sp macro="" textlink="">
      <xdr:nvSpPr>
        <xdr:cNvPr id="12" name="Star: 5 Points 11">
          <a:extLst>
            <a:ext uri="{FF2B5EF4-FFF2-40B4-BE49-F238E27FC236}">
              <a16:creationId xmlns:a16="http://schemas.microsoft.com/office/drawing/2014/main" id="{0D96B450-F3EC-4329-A44F-DB76CC22C556}"/>
            </a:ext>
          </a:extLst>
        </xdr:cNvPr>
        <xdr:cNvSpPr/>
      </xdr:nvSpPr>
      <xdr:spPr>
        <a:xfrm>
          <a:off x="24001134" y="8851900"/>
          <a:ext cx="209177" cy="156882"/>
        </a:xfrm>
        <a:prstGeom prst="star5">
          <a:avLst/>
        </a:prstGeom>
        <a:solidFill>
          <a:srgbClr val="FF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solidFill>
              <a:schemeClr val="accent2"/>
            </a:solidFill>
          </a:endParaRPr>
        </a:p>
      </xdr:txBody>
    </xdr:sp>
    <xdr:clientData/>
  </xdr:twoCellAnchor>
  <xdr:twoCellAnchor>
    <xdr:from>
      <xdr:col>74</xdr:col>
      <xdr:colOff>25588</xdr:colOff>
      <xdr:row>60</xdr:row>
      <xdr:rowOff>0</xdr:rowOff>
    </xdr:from>
    <xdr:to>
      <xdr:col>74</xdr:col>
      <xdr:colOff>234765</xdr:colOff>
      <xdr:row>60</xdr:row>
      <xdr:rowOff>156882</xdr:rowOff>
    </xdr:to>
    <xdr:sp macro="" textlink="">
      <xdr:nvSpPr>
        <xdr:cNvPr id="13" name="Star: 5 Points 12">
          <a:extLst>
            <a:ext uri="{FF2B5EF4-FFF2-40B4-BE49-F238E27FC236}">
              <a16:creationId xmlns:a16="http://schemas.microsoft.com/office/drawing/2014/main" id="{A2DB9A98-43D0-4FF9-9466-8E2613889393}"/>
            </a:ext>
          </a:extLst>
        </xdr:cNvPr>
        <xdr:cNvSpPr/>
      </xdr:nvSpPr>
      <xdr:spPr>
        <a:xfrm>
          <a:off x="26174888" y="10820400"/>
          <a:ext cx="209177" cy="156882"/>
        </a:xfrm>
        <a:prstGeom prst="star5">
          <a:avLst/>
        </a:prstGeom>
        <a:solidFill>
          <a:srgbClr val="FF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solidFill>
              <a:schemeClr val="accent2"/>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37352</xdr:colOff>
      <xdr:row>11</xdr:row>
      <xdr:rowOff>7471</xdr:rowOff>
    </xdr:from>
    <xdr:to>
      <xdr:col>20</xdr:col>
      <xdr:colOff>246529</xdr:colOff>
      <xdr:row>11</xdr:row>
      <xdr:rowOff>164353</xdr:rowOff>
    </xdr:to>
    <xdr:sp macro="" textlink="">
      <xdr:nvSpPr>
        <xdr:cNvPr id="2" name="Star: 5 Points 1">
          <a:extLst>
            <a:ext uri="{FF2B5EF4-FFF2-40B4-BE49-F238E27FC236}">
              <a16:creationId xmlns:a16="http://schemas.microsoft.com/office/drawing/2014/main" id="{238E1975-EF53-5545-8D97-86E47BBD4F79}"/>
            </a:ext>
          </a:extLst>
        </xdr:cNvPr>
        <xdr:cNvSpPr/>
      </xdr:nvSpPr>
      <xdr:spPr>
        <a:xfrm>
          <a:off x="11385176" y="2271059"/>
          <a:ext cx="209177" cy="156882"/>
        </a:xfrm>
        <a:prstGeom prst="star5">
          <a:avLst/>
        </a:prstGeom>
        <a:solidFill>
          <a:srgbClr val="FF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solidFill>
              <a:schemeClr val="accent2"/>
            </a:solidFill>
          </a:endParaRPr>
        </a:p>
      </xdr:txBody>
    </xdr:sp>
    <xdr:clientData/>
  </xdr:twoCellAnchor>
  <xdr:twoCellAnchor>
    <xdr:from>
      <xdr:col>32</xdr:col>
      <xdr:colOff>25588</xdr:colOff>
      <xdr:row>19</xdr:row>
      <xdr:rowOff>0</xdr:rowOff>
    </xdr:from>
    <xdr:to>
      <xdr:col>32</xdr:col>
      <xdr:colOff>234765</xdr:colOff>
      <xdr:row>19</xdr:row>
      <xdr:rowOff>156882</xdr:rowOff>
    </xdr:to>
    <xdr:sp macro="" textlink="">
      <xdr:nvSpPr>
        <xdr:cNvPr id="3" name="Star: 5 Points 2">
          <a:extLst>
            <a:ext uri="{FF2B5EF4-FFF2-40B4-BE49-F238E27FC236}">
              <a16:creationId xmlns:a16="http://schemas.microsoft.com/office/drawing/2014/main" id="{4134A322-3F47-4FAF-97DF-16C8BB25500D}"/>
            </a:ext>
          </a:extLst>
        </xdr:cNvPr>
        <xdr:cNvSpPr/>
      </xdr:nvSpPr>
      <xdr:spPr>
        <a:xfrm>
          <a:off x="14690353" y="3772647"/>
          <a:ext cx="209177" cy="156882"/>
        </a:xfrm>
        <a:prstGeom prst="star5">
          <a:avLst/>
        </a:prstGeom>
        <a:solidFill>
          <a:srgbClr val="FF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solidFill>
              <a:schemeClr val="accent2"/>
            </a:solidFill>
          </a:endParaRPr>
        </a:p>
      </xdr:txBody>
    </xdr:sp>
    <xdr:clientData/>
  </xdr:twoCellAnchor>
  <xdr:twoCellAnchor>
    <xdr:from>
      <xdr:col>46</xdr:col>
      <xdr:colOff>36234</xdr:colOff>
      <xdr:row>28</xdr:row>
      <xdr:rowOff>0</xdr:rowOff>
    </xdr:from>
    <xdr:to>
      <xdr:col>46</xdr:col>
      <xdr:colOff>245411</xdr:colOff>
      <xdr:row>28</xdr:row>
      <xdr:rowOff>156882</xdr:rowOff>
    </xdr:to>
    <xdr:sp macro="" textlink="">
      <xdr:nvSpPr>
        <xdr:cNvPr id="4" name="Star: 5 Points 3">
          <a:extLst>
            <a:ext uri="{FF2B5EF4-FFF2-40B4-BE49-F238E27FC236}">
              <a16:creationId xmlns:a16="http://schemas.microsoft.com/office/drawing/2014/main" id="{CE50292E-5418-439B-A938-F9F9D6D0BE22}"/>
            </a:ext>
          </a:extLst>
        </xdr:cNvPr>
        <xdr:cNvSpPr/>
      </xdr:nvSpPr>
      <xdr:spPr>
        <a:xfrm>
          <a:off x="18570763" y="5341471"/>
          <a:ext cx="209177" cy="156882"/>
        </a:xfrm>
        <a:prstGeom prst="star5">
          <a:avLst/>
        </a:prstGeom>
        <a:solidFill>
          <a:srgbClr val="FF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solidFill>
              <a:schemeClr val="accent2"/>
            </a:solidFill>
          </a:endParaRPr>
        </a:p>
      </xdr:txBody>
    </xdr:sp>
    <xdr:clientData/>
  </xdr:twoCellAnchor>
  <xdr:twoCellAnchor>
    <xdr:from>
      <xdr:col>54</xdr:col>
      <xdr:colOff>7471</xdr:colOff>
      <xdr:row>40</xdr:row>
      <xdr:rowOff>0</xdr:rowOff>
    </xdr:from>
    <xdr:to>
      <xdr:col>54</xdr:col>
      <xdr:colOff>216648</xdr:colOff>
      <xdr:row>40</xdr:row>
      <xdr:rowOff>156882</xdr:rowOff>
    </xdr:to>
    <xdr:sp macro="" textlink="">
      <xdr:nvSpPr>
        <xdr:cNvPr id="5" name="Star: 5 Points 4">
          <a:extLst>
            <a:ext uri="{FF2B5EF4-FFF2-40B4-BE49-F238E27FC236}">
              <a16:creationId xmlns:a16="http://schemas.microsoft.com/office/drawing/2014/main" id="{657F2C7C-E010-4AC5-A2C2-67C4DC27B8C1}"/>
            </a:ext>
          </a:extLst>
        </xdr:cNvPr>
        <xdr:cNvSpPr/>
      </xdr:nvSpPr>
      <xdr:spPr>
        <a:xfrm>
          <a:off x="20753295" y="7724588"/>
          <a:ext cx="209177" cy="156882"/>
        </a:xfrm>
        <a:prstGeom prst="star5">
          <a:avLst/>
        </a:prstGeom>
        <a:solidFill>
          <a:srgbClr val="FF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solidFill>
              <a:schemeClr val="accent2"/>
            </a:solidFill>
          </a:endParaRPr>
        </a:p>
      </xdr:txBody>
    </xdr:sp>
    <xdr:clientData/>
  </xdr:twoCellAnchor>
  <xdr:twoCellAnchor>
    <xdr:from>
      <xdr:col>82</xdr:col>
      <xdr:colOff>36234</xdr:colOff>
      <xdr:row>49</xdr:row>
      <xdr:rowOff>0</xdr:rowOff>
    </xdr:from>
    <xdr:to>
      <xdr:col>82</xdr:col>
      <xdr:colOff>245411</xdr:colOff>
      <xdr:row>49</xdr:row>
      <xdr:rowOff>156882</xdr:rowOff>
    </xdr:to>
    <xdr:sp macro="" textlink="">
      <xdr:nvSpPr>
        <xdr:cNvPr id="6" name="Star: 5 Points 5">
          <a:extLst>
            <a:ext uri="{FF2B5EF4-FFF2-40B4-BE49-F238E27FC236}">
              <a16:creationId xmlns:a16="http://schemas.microsoft.com/office/drawing/2014/main" id="{2F14BA26-A756-4C29-AFE0-5D627D85910A}"/>
            </a:ext>
          </a:extLst>
        </xdr:cNvPr>
        <xdr:cNvSpPr/>
      </xdr:nvSpPr>
      <xdr:spPr>
        <a:xfrm>
          <a:off x="28521587" y="9293412"/>
          <a:ext cx="209177" cy="156882"/>
        </a:xfrm>
        <a:prstGeom prst="star5">
          <a:avLst/>
        </a:prstGeom>
        <a:solidFill>
          <a:srgbClr val="FF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solidFill>
              <a:schemeClr val="accent2"/>
            </a:solidFill>
          </a:endParaRPr>
        </a:p>
      </xdr:txBody>
    </xdr:sp>
    <xdr:clientData/>
  </xdr:twoCellAnchor>
  <xdr:twoCellAnchor>
    <xdr:from>
      <xdr:col>90</xdr:col>
      <xdr:colOff>25588</xdr:colOff>
      <xdr:row>60</xdr:row>
      <xdr:rowOff>0</xdr:rowOff>
    </xdr:from>
    <xdr:to>
      <xdr:col>90</xdr:col>
      <xdr:colOff>234765</xdr:colOff>
      <xdr:row>60</xdr:row>
      <xdr:rowOff>156882</xdr:rowOff>
    </xdr:to>
    <xdr:sp macro="" textlink="">
      <xdr:nvSpPr>
        <xdr:cNvPr id="7" name="Star: 5 Points 6">
          <a:extLst>
            <a:ext uri="{FF2B5EF4-FFF2-40B4-BE49-F238E27FC236}">
              <a16:creationId xmlns:a16="http://schemas.microsoft.com/office/drawing/2014/main" id="{26C3E7C8-6E6D-4217-933E-8858F710A85A}"/>
            </a:ext>
          </a:extLst>
        </xdr:cNvPr>
        <xdr:cNvSpPr/>
      </xdr:nvSpPr>
      <xdr:spPr>
        <a:xfrm>
          <a:off x="30722235" y="11489765"/>
          <a:ext cx="209177" cy="156882"/>
        </a:xfrm>
        <a:prstGeom prst="star5">
          <a:avLst/>
        </a:prstGeom>
        <a:solidFill>
          <a:srgbClr val="FF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solidFill>
              <a:schemeClr val="accent2"/>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36"/>
  <sheetViews>
    <sheetView tabSelected="1" topLeftCell="B1" workbookViewId="0">
      <selection activeCell="H24" sqref="H24"/>
    </sheetView>
  </sheetViews>
  <sheetFormatPr defaultRowHeight="14"/>
  <cols>
    <col min="3" max="3" width="14.58203125" customWidth="1"/>
    <col min="4" max="4" width="11.33203125" customWidth="1"/>
    <col min="5" max="5" width="13.58203125" customWidth="1"/>
    <col min="6" max="6" width="15" customWidth="1"/>
    <col min="7" max="7" width="35.33203125" customWidth="1"/>
    <col min="8" max="8" width="37.08203125" customWidth="1"/>
    <col min="10" max="10" width="9.25" bestFit="1" customWidth="1"/>
  </cols>
  <sheetData>
    <row r="2" spans="2:8">
      <c r="B2" s="49" t="s">
        <v>27</v>
      </c>
      <c r="C2" s="49" t="s">
        <v>55</v>
      </c>
    </row>
    <row r="3" spans="2:8" ht="14.5">
      <c r="B3" s="50"/>
      <c r="C3" s="50"/>
      <c r="G3" s="37" t="str">
        <f>ICT_Manday!D62</f>
        <v>Cost (BD Phase)</v>
      </c>
      <c r="H3" s="40">
        <f>ICT_Manday!O62</f>
        <v>185500</v>
      </c>
    </row>
    <row r="4" spans="2:8" ht="14.5">
      <c r="B4" s="50"/>
      <c r="C4" s="50"/>
      <c r="G4" s="37" t="str">
        <f>ICT_Manday!D63</f>
        <v>Cost  (Development Phase)</v>
      </c>
      <c r="H4" s="40">
        <f>ICT_Manday!O63</f>
        <v>3938000</v>
      </c>
    </row>
    <row r="5" spans="2:8" ht="14.5">
      <c r="B5" s="50"/>
      <c r="C5" s="50"/>
      <c r="G5" s="47" t="s">
        <v>1</v>
      </c>
      <c r="H5" s="41">
        <f>SUM(H3:H4)</f>
        <v>4123500</v>
      </c>
    </row>
    <row r="6" spans="2:8" ht="14.5">
      <c r="B6" s="50"/>
      <c r="C6" s="50"/>
      <c r="G6" s="45"/>
      <c r="H6" s="42"/>
    </row>
    <row r="7" spans="2:8" ht="14.5">
      <c r="B7" s="50"/>
      <c r="C7" s="50"/>
      <c r="G7" s="45"/>
      <c r="H7" s="42"/>
    </row>
    <row r="8" spans="2:8" ht="14.5">
      <c r="B8" s="50"/>
      <c r="C8" s="50"/>
      <c r="G8" s="45"/>
      <c r="H8" s="42"/>
    </row>
    <row r="9" spans="2:8" ht="14.5">
      <c r="B9" s="49" t="s">
        <v>28</v>
      </c>
      <c r="C9" s="49" t="s">
        <v>29</v>
      </c>
      <c r="G9" s="45"/>
      <c r="H9" s="42"/>
    </row>
    <row r="10" spans="2:8" ht="14.5">
      <c r="B10" s="50"/>
      <c r="C10" s="50"/>
      <c r="G10" s="37" t="s">
        <v>30</v>
      </c>
      <c r="H10" s="86">
        <f>'Vendor Cost'!E16</f>
        <v>7100000</v>
      </c>
    </row>
    <row r="11" spans="2:8" ht="14.5">
      <c r="B11" s="50"/>
      <c r="C11" s="50"/>
      <c r="G11" s="37" t="s">
        <v>31</v>
      </c>
      <c r="H11" s="40">
        <f>H10*110%</f>
        <v>7810000.0000000009</v>
      </c>
    </row>
    <row r="12" spans="2:8" ht="14.5">
      <c r="B12" s="50"/>
      <c r="C12" s="50"/>
      <c r="G12" s="47" t="s">
        <v>1</v>
      </c>
      <c r="H12" s="41">
        <f>H11</f>
        <v>7810000.0000000009</v>
      </c>
    </row>
    <row r="13" spans="2:8">
      <c r="B13" s="50"/>
      <c r="C13" s="50"/>
      <c r="H13" s="42"/>
    </row>
    <row r="14" spans="2:8">
      <c r="B14" s="50"/>
      <c r="C14" s="50"/>
      <c r="H14" s="42"/>
    </row>
    <row r="15" spans="2:8">
      <c r="B15" s="49" t="s">
        <v>26</v>
      </c>
      <c r="C15" s="49" t="s">
        <v>24</v>
      </c>
      <c r="H15" s="42"/>
    </row>
    <row r="16" spans="2:8" ht="14.5">
      <c r="B16" s="34"/>
      <c r="C16" s="34"/>
      <c r="D16" s="39" t="s">
        <v>6</v>
      </c>
      <c r="E16" s="39" t="s">
        <v>78</v>
      </c>
      <c r="F16" s="39" t="s">
        <v>7</v>
      </c>
      <c r="G16" s="39" t="s">
        <v>24</v>
      </c>
      <c r="H16" s="43"/>
    </row>
    <row r="17" spans="2:10" ht="14.5">
      <c r="B17" s="34" t="s">
        <v>22</v>
      </c>
      <c r="C17" s="36">
        <v>600</v>
      </c>
      <c r="D17" s="36"/>
      <c r="E17" s="36"/>
      <c r="F17" s="36"/>
      <c r="G17" s="36" t="s">
        <v>22</v>
      </c>
      <c r="H17" s="40">
        <f>(C17*D17)+(C17*E17)+(C17*F17)</f>
        <v>0</v>
      </c>
    </row>
    <row r="18" spans="2:10" ht="14.5">
      <c r="B18" s="34" t="s">
        <v>23</v>
      </c>
      <c r="C18" s="36">
        <v>2500</v>
      </c>
      <c r="D18" s="36"/>
      <c r="E18" s="36"/>
      <c r="F18" s="36"/>
      <c r="G18" s="36" t="s">
        <v>23</v>
      </c>
      <c r="H18" s="40">
        <f t="shared" ref="H18" si="0">(C18*D18)+(C18*E18)+(C18*F18)</f>
        <v>0</v>
      </c>
    </row>
    <row r="19" spans="2:10" ht="14.5">
      <c r="B19" s="34" t="s">
        <v>25</v>
      </c>
      <c r="C19" s="36">
        <v>2500</v>
      </c>
      <c r="D19" s="36"/>
      <c r="E19" s="36"/>
      <c r="F19" s="36"/>
      <c r="G19" s="36" t="s">
        <v>25</v>
      </c>
      <c r="H19" s="40">
        <f>(C19*D19)+(C19*E19)+(C19*F19)</f>
        <v>0</v>
      </c>
    </row>
    <row r="20" spans="2:10" ht="14.5">
      <c r="B20" s="33"/>
      <c r="C20" s="35"/>
      <c r="D20" s="35"/>
      <c r="E20" s="35"/>
      <c r="F20" s="35"/>
      <c r="G20" s="47" t="s">
        <v>1</v>
      </c>
      <c r="H20" s="44">
        <f>SUM(H17:H19)</f>
        <v>0</v>
      </c>
    </row>
    <row r="22" spans="2:10" ht="14.5">
      <c r="G22" s="54"/>
      <c r="H22" s="55"/>
    </row>
    <row r="24" spans="2:10" ht="14.5">
      <c r="G24" s="46" t="s">
        <v>21</v>
      </c>
      <c r="H24" s="48">
        <f>SUM(H5+H12+H20)</f>
        <v>11933500</v>
      </c>
      <c r="J24">
        <v>11938700</v>
      </c>
    </row>
    <row r="25" spans="2:10" ht="14.5">
      <c r="G25" s="33"/>
      <c r="J25" s="52">
        <f>H24-J24</f>
        <v>-5200</v>
      </c>
    </row>
    <row r="26" spans="2:10" ht="14.5">
      <c r="G26" s="90" t="s">
        <v>82</v>
      </c>
      <c r="H26" s="198"/>
    </row>
    <row r="27" spans="2:10" ht="14.5">
      <c r="G27" s="33"/>
    </row>
    <row r="28" spans="2:10" ht="14.5">
      <c r="G28" s="33"/>
    </row>
    <row r="29" spans="2:10" ht="14.5">
      <c r="D29" s="53"/>
      <c r="E29" s="52"/>
      <c r="F29" s="52"/>
      <c r="G29" s="33"/>
    </row>
    <row r="30" spans="2:10" ht="14.5">
      <c r="D30" s="53"/>
      <c r="E30" s="52"/>
      <c r="F30" s="52"/>
      <c r="G30" s="71"/>
    </row>
    <row r="31" spans="2:10" ht="14.5">
      <c r="F31" s="52"/>
      <c r="G31" s="38"/>
    </row>
    <row r="32" spans="2:10" ht="14.5">
      <c r="G32" s="38"/>
    </row>
    <row r="33" spans="7:7" ht="14.5">
      <c r="G33" s="33"/>
    </row>
    <row r="34" spans="7:7" ht="14.5">
      <c r="G34" s="38"/>
    </row>
    <row r="35" spans="7:7" ht="14.5">
      <c r="G35" s="38"/>
    </row>
    <row r="36" spans="7:7" ht="14.5">
      <c r="G36" s="3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9"/>
  <sheetViews>
    <sheetView topLeftCell="A56" zoomScaleNormal="100" workbookViewId="0">
      <selection activeCell="C70" sqref="C70"/>
    </sheetView>
  </sheetViews>
  <sheetFormatPr defaultRowHeight="14"/>
  <cols>
    <col min="1" max="1" width="18.08203125" customWidth="1"/>
    <col min="2" max="2" width="44.33203125" bestFit="1" customWidth="1"/>
    <col min="3" max="3" width="20.75" customWidth="1"/>
    <col min="4" max="4" width="32.08203125" bestFit="1" customWidth="1"/>
    <col min="5" max="12" width="13.33203125" customWidth="1"/>
    <col min="13" max="13" width="15.33203125" customWidth="1"/>
    <col min="14" max="14" width="12.58203125" customWidth="1"/>
    <col min="15" max="15" width="13.08203125" bestFit="1" customWidth="1"/>
  </cols>
  <sheetData>
    <row r="1" spans="1:15">
      <c r="A1" s="344" t="s">
        <v>193</v>
      </c>
      <c r="B1" s="14"/>
      <c r="C1" s="14"/>
      <c r="D1" s="14"/>
      <c r="E1" s="14"/>
      <c r="F1" s="14"/>
      <c r="G1" s="14"/>
      <c r="H1" s="14"/>
      <c r="I1" s="14"/>
      <c r="J1" s="14"/>
      <c r="K1" s="14"/>
      <c r="L1" s="14"/>
      <c r="M1" s="14"/>
      <c r="N1" s="14"/>
    </row>
    <row r="2" spans="1:15" ht="14.5" thickBot="1">
      <c r="A2" s="15" t="s">
        <v>465</v>
      </c>
      <c r="B2" s="9"/>
      <c r="C2" s="9"/>
      <c r="D2" s="9"/>
      <c r="E2" s="9"/>
      <c r="F2" s="9"/>
      <c r="G2" s="9"/>
      <c r="H2" s="9"/>
      <c r="I2" s="9"/>
      <c r="J2" s="9"/>
      <c r="K2" s="9"/>
      <c r="L2" s="9"/>
      <c r="M2" s="9"/>
      <c r="N2" s="9"/>
    </row>
    <row r="3" spans="1:15" ht="14.15" customHeight="1">
      <c r="A3" s="355" t="s">
        <v>2</v>
      </c>
      <c r="B3" s="355" t="s">
        <v>4</v>
      </c>
      <c r="C3" s="357" t="s">
        <v>208</v>
      </c>
      <c r="D3" s="357" t="s">
        <v>5</v>
      </c>
      <c r="E3" s="28" t="s">
        <v>6</v>
      </c>
      <c r="F3" s="78" t="s">
        <v>78</v>
      </c>
      <c r="G3" s="78" t="s">
        <v>100</v>
      </c>
      <c r="H3" s="78" t="s">
        <v>93</v>
      </c>
      <c r="I3" s="78" t="s">
        <v>105</v>
      </c>
      <c r="J3" s="78" t="s">
        <v>105</v>
      </c>
      <c r="K3" s="357" t="s">
        <v>462</v>
      </c>
      <c r="L3" s="357" t="s">
        <v>463</v>
      </c>
      <c r="M3" s="347" t="s">
        <v>464</v>
      </c>
      <c r="N3" s="347" t="s">
        <v>81</v>
      </c>
      <c r="O3" s="345" t="s">
        <v>30</v>
      </c>
    </row>
    <row r="4" spans="1:15" ht="27.65" customHeight="1" thickBot="1">
      <c r="A4" s="356"/>
      <c r="B4" s="356"/>
      <c r="C4" s="358"/>
      <c r="D4" s="358"/>
      <c r="E4" s="57" t="s">
        <v>53</v>
      </c>
      <c r="F4" s="79" t="s">
        <v>194</v>
      </c>
      <c r="G4" s="79" t="s">
        <v>194</v>
      </c>
      <c r="H4" s="79" t="s">
        <v>194</v>
      </c>
      <c r="I4" s="79" t="s">
        <v>116</v>
      </c>
      <c r="J4" s="79" t="s">
        <v>117</v>
      </c>
      <c r="K4" s="365"/>
      <c r="L4" s="365"/>
      <c r="M4" s="348" t="s">
        <v>54</v>
      </c>
      <c r="N4" s="348"/>
      <c r="O4" s="346"/>
    </row>
    <row r="5" spans="1:15" ht="15" customHeight="1" thickBot="1">
      <c r="A5" s="359" t="s">
        <v>3</v>
      </c>
      <c r="B5" s="2" t="s">
        <v>8</v>
      </c>
      <c r="C5" s="205"/>
      <c r="D5" s="362" t="s">
        <v>12</v>
      </c>
      <c r="E5" s="63">
        <v>5</v>
      </c>
      <c r="F5" s="63">
        <f>3+2</f>
        <v>5</v>
      </c>
      <c r="G5" s="63"/>
      <c r="H5" s="63"/>
      <c r="I5" s="63"/>
      <c r="J5" s="59"/>
      <c r="K5" s="59"/>
      <c r="L5" s="59"/>
      <c r="M5" s="59"/>
      <c r="N5" s="59"/>
      <c r="O5" s="59"/>
    </row>
    <row r="6" spans="1:15" ht="14.5" thickBot="1">
      <c r="A6" s="360"/>
      <c r="B6" s="2" t="s">
        <v>9</v>
      </c>
      <c r="C6" s="205"/>
      <c r="D6" s="363"/>
      <c r="E6" s="63">
        <v>2</v>
      </c>
      <c r="F6" s="63"/>
      <c r="G6" s="63"/>
      <c r="H6" s="63"/>
      <c r="I6" s="63"/>
      <c r="J6" s="59"/>
      <c r="K6" s="59"/>
      <c r="L6" s="59"/>
      <c r="M6" s="59"/>
      <c r="N6" s="59"/>
      <c r="O6" s="59"/>
    </row>
    <row r="7" spans="1:15" ht="15" customHeight="1" thickBot="1">
      <c r="A7" s="361"/>
      <c r="B7" s="3" t="s">
        <v>10</v>
      </c>
      <c r="C7" s="3"/>
      <c r="D7" s="364"/>
      <c r="E7" s="322">
        <v>2</v>
      </c>
      <c r="F7" s="322">
        <f>1+1</f>
        <v>2</v>
      </c>
      <c r="G7" s="322"/>
      <c r="H7" s="322"/>
      <c r="I7" s="322"/>
      <c r="J7" s="60"/>
      <c r="K7" s="60"/>
      <c r="L7" s="60"/>
      <c r="M7" s="60"/>
      <c r="N7" s="60"/>
      <c r="O7" s="60"/>
    </row>
    <row r="8" spans="1:15" ht="16.5" customHeight="1" thickBot="1">
      <c r="A8" s="349" t="s">
        <v>32</v>
      </c>
      <c r="B8" s="4" t="s">
        <v>33</v>
      </c>
      <c r="C8" s="203" t="s">
        <v>209</v>
      </c>
      <c r="D8" s="352"/>
      <c r="E8" s="323">
        <v>1</v>
      </c>
      <c r="F8" s="323">
        <v>1</v>
      </c>
      <c r="G8" s="323"/>
      <c r="H8" s="323"/>
      <c r="I8" s="323"/>
      <c r="J8" s="61"/>
      <c r="K8" s="61"/>
      <c r="L8" s="61"/>
      <c r="M8" s="61"/>
      <c r="N8" s="61"/>
      <c r="O8" s="61"/>
    </row>
    <row r="9" spans="1:15" ht="16.5" customHeight="1" thickBot="1">
      <c r="A9" s="350"/>
      <c r="B9" s="4" t="s">
        <v>34</v>
      </c>
      <c r="C9" s="203" t="s">
        <v>209</v>
      </c>
      <c r="D9" s="353"/>
      <c r="E9" s="323">
        <v>1</v>
      </c>
      <c r="F9" s="323"/>
      <c r="G9" s="323"/>
      <c r="H9" s="323"/>
      <c r="I9" s="323"/>
      <c r="J9" s="61"/>
      <c r="K9" s="61"/>
      <c r="L9" s="61"/>
      <c r="M9" s="61"/>
      <c r="N9" s="61"/>
      <c r="O9" s="61"/>
    </row>
    <row r="10" spans="1:15" s="64" customFormat="1" ht="16.5" customHeight="1" thickBot="1">
      <c r="A10" s="350"/>
      <c r="B10" s="62" t="s">
        <v>57</v>
      </c>
      <c r="C10" s="211" t="s">
        <v>209</v>
      </c>
      <c r="D10" s="353"/>
      <c r="E10" s="63">
        <v>0.5</v>
      </c>
      <c r="F10" s="63"/>
      <c r="G10" s="63"/>
      <c r="H10" s="63"/>
      <c r="I10" s="63"/>
      <c r="J10" s="63"/>
      <c r="K10" s="63"/>
      <c r="L10" s="63"/>
      <c r="M10" s="63"/>
      <c r="N10" s="63"/>
      <c r="O10" s="63"/>
    </row>
    <row r="11" spans="1:15" s="64" customFormat="1" ht="16.5" customHeight="1" thickBot="1">
      <c r="A11" s="350"/>
      <c r="B11" s="67" t="s">
        <v>56</v>
      </c>
      <c r="C11" s="211"/>
      <c r="D11" s="353"/>
      <c r="E11" s="69">
        <f>18*3</f>
        <v>54</v>
      </c>
      <c r="F11" s="70"/>
      <c r="G11" s="70"/>
      <c r="H11" s="70"/>
      <c r="I11" s="70"/>
      <c r="J11" s="70"/>
      <c r="K11" s="70"/>
      <c r="L11" s="70"/>
      <c r="M11" s="70"/>
      <c r="N11" s="70"/>
      <c r="O11" s="70"/>
    </row>
    <row r="12" spans="1:15" ht="16.5" customHeight="1" thickBot="1">
      <c r="A12" s="351"/>
      <c r="B12" s="68" t="s">
        <v>35</v>
      </c>
      <c r="C12" s="87" t="s">
        <v>209</v>
      </c>
      <c r="D12" s="354"/>
      <c r="E12" s="213">
        <v>1</v>
      </c>
      <c r="F12" s="213"/>
      <c r="G12" s="213"/>
      <c r="H12" s="322">
        <v>1</v>
      </c>
      <c r="I12" s="213"/>
      <c r="J12" s="58"/>
      <c r="K12" s="58">
        <v>1</v>
      </c>
      <c r="L12" s="58">
        <v>4</v>
      </c>
      <c r="M12" s="58">
        <v>5</v>
      </c>
      <c r="N12" s="58"/>
      <c r="O12" s="58"/>
    </row>
    <row r="13" spans="1:15" ht="15" customHeight="1" thickBot="1">
      <c r="A13" s="349" t="s">
        <v>36</v>
      </c>
      <c r="B13" s="4" t="s">
        <v>58</v>
      </c>
      <c r="C13" s="206"/>
      <c r="D13" s="352"/>
      <c r="E13" s="323">
        <v>12</v>
      </c>
      <c r="F13" s="323">
        <f>5+2+5</f>
        <v>12</v>
      </c>
      <c r="G13" s="323"/>
      <c r="H13" s="63"/>
      <c r="I13" s="323"/>
      <c r="J13" s="61"/>
      <c r="K13" s="61"/>
      <c r="L13" s="61"/>
      <c r="M13" s="61"/>
      <c r="N13" s="61"/>
      <c r="O13" s="61"/>
    </row>
    <row r="14" spans="1:15" ht="15" customHeight="1" thickBot="1">
      <c r="A14" s="350"/>
      <c r="B14" s="164" t="s">
        <v>181</v>
      </c>
      <c r="C14" s="207"/>
      <c r="D14" s="353"/>
      <c r="E14" s="323">
        <v>2</v>
      </c>
      <c r="F14" s="323">
        <f>1+1</f>
        <v>2</v>
      </c>
      <c r="G14" s="323"/>
      <c r="H14" s="63"/>
      <c r="I14" s="323"/>
      <c r="J14" s="61"/>
      <c r="K14" s="61"/>
      <c r="L14" s="61"/>
      <c r="M14" s="61"/>
      <c r="N14" s="61"/>
      <c r="O14" s="61"/>
    </row>
    <row r="15" spans="1:15" ht="15" customHeight="1" thickBot="1">
      <c r="A15" s="350"/>
      <c r="B15" s="164" t="s">
        <v>37</v>
      </c>
      <c r="C15" s="207"/>
      <c r="D15" s="353"/>
      <c r="E15" s="323">
        <v>2</v>
      </c>
      <c r="F15" s="323">
        <f>1+1</f>
        <v>2</v>
      </c>
      <c r="G15" s="323"/>
      <c r="H15" s="63"/>
      <c r="I15" s="323"/>
      <c r="J15" s="61"/>
      <c r="K15" s="61"/>
      <c r="L15" s="61"/>
      <c r="M15" s="61"/>
      <c r="N15" s="61"/>
      <c r="O15" s="61"/>
    </row>
    <row r="16" spans="1:15" ht="14.5" thickBot="1">
      <c r="A16" s="350"/>
      <c r="B16" s="164" t="s">
        <v>38</v>
      </c>
      <c r="C16" s="207"/>
      <c r="D16" s="353"/>
      <c r="E16" s="323">
        <v>3</v>
      </c>
      <c r="F16" s="323">
        <f t="shared" ref="F16" si="0">1+1+1</f>
        <v>3</v>
      </c>
      <c r="G16" s="323"/>
      <c r="H16" s="63"/>
      <c r="I16" s="323"/>
      <c r="J16" s="61"/>
      <c r="K16" s="61"/>
      <c r="L16" s="61"/>
      <c r="M16" s="61"/>
      <c r="N16" s="61"/>
      <c r="O16" s="61"/>
    </row>
    <row r="17" spans="1:15" ht="15" customHeight="1" thickBot="1">
      <c r="A17" s="350"/>
      <c r="B17" s="164" t="s">
        <v>39</v>
      </c>
      <c r="C17" s="212" t="s">
        <v>209</v>
      </c>
      <c r="D17" s="353"/>
      <c r="E17" s="323">
        <v>0.5</v>
      </c>
      <c r="F17" s="323"/>
      <c r="G17" s="323"/>
      <c r="H17" s="63"/>
      <c r="I17" s="323"/>
      <c r="J17" s="61"/>
      <c r="K17" s="61"/>
      <c r="L17" s="61"/>
      <c r="M17" s="61"/>
      <c r="N17" s="61"/>
      <c r="O17" s="61"/>
    </row>
    <row r="18" spans="1:15" ht="14.5" thickBot="1">
      <c r="A18" s="351"/>
      <c r="B18" s="202" t="s">
        <v>40</v>
      </c>
      <c r="C18" s="213" t="s">
        <v>209</v>
      </c>
      <c r="D18" s="354"/>
      <c r="E18" s="213">
        <v>0.5</v>
      </c>
      <c r="F18" s="213"/>
      <c r="G18" s="213"/>
      <c r="H18" s="322"/>
      <c r="I18" s="213"/>
      <c r="J18" s="58"/>
      <c r="K18" s="58"/>
      <c r="L18" s="58"/>
      <c r="M18" s="58"/>
      <c r="N18" s="58"/>
      <c r="O18" s="58"/>
    </row>
    <row r="19" spans="1:15" ht="14.5" thickBot="1">
      <c r="A19" s="368" t="s">
        <v>0</v>
      </c>
      <c r="B19" s="164" t="s">
        <v>182</v>
      </c>
      <c r="C19" s="207"/>
      <c r="D19" s="72"/>
      <c r="E19" s="323">
        <v>2</v>
      </c>
      <c r="F19" s="323">
        <f t="shared" ref="F19:F21" si="1">1+1</f>
        <v>2</v>
      </c>
      <c r="G19" s="323"/>
      <c r="H19" s="63"/>
      <c r="I19" s="323"/>
      <c r="J19" s="61"/>
      <c r="K19" s="61"/>
      <c r="L19" s="61"/>
      <c r="M19" s="61"/>
      <c r="N19" s="61"/>
      <c r="O19" s="61"/>
    </row>
    <row r="20" spans="1:15" ht="15" customHeight="1" thickBot="1">
      <c r="A20" s="369"/>
      <c r="B20" s="88" t="s">
        <v>11</v>
      </c>
      <c r="C20" s="208"/>
      <c r="D20" s="352" t="s">
        <v>41</v>
      </c>
      <c r="E20" s="324">
        <v>2</v>
      </c>
      <c r="F20" s="324">
        <f t="shared" si="1"/>
        <v>2</v>
      </c>
      <c r="G20" s="324"/>
      <c r="H20" s="334"/>
      <c r="I20" s="324"/>
      <c r="J20" s="89"/>
      <c r="K20" s="89"/>
      <c r="L20" s="89"/>
      <c r="M20" s="89"/>
      <c r="N20" s="89"/>
      <c r="O20" s="89"/>
    </row>
    <row r="21" spans="1:15" ht="14.5" thickBot="1">
      <c r="A21" s="369"/>
      <c r="B21" s="4" t="s">
        <v>59</v>
      </c>
      <c r="C21" s="206"/>
      <c r="D21" s="353"/>
      <c r="E21" s="323">
        <v>2</v>
      </c>
      <c r="F21" s="323">
        <f t="shared" si="1"/>
        <v>2</v>
      </c>
      <c r="G21" s="323"/>
      <c r="H21" s="63"/>
      <c r="I21" s="323"/>
      <c r="J21" s="61"/>
      <c r="K21" s="61"/>
      <c r="L21" s="61"/>
      <c r="M21" s="61"/>
      <c r="N21" s="61"/>
      <c r="O21" s="61"/>
    </row>
    <row r="22" spans="1:15" ht="15" customHeight="1" thickBot="1">
      <c r="A22" s="369"/>
      <c r="B22" s="4" t="s">
        <v>42</v>
      </c>
      <c r="C22" s="203" t="s">
        <v>209</v>
      </c>
      <c r="D22" s="353"/>
      <c r="E22" s="323">
        <v>0.5</v>
      </c>
      <c r="F22" s="323"/>
      <c r="G22" s="323"/>
      <c r="H22" s="63"/>
      <c r="I22" s="323"/>
      <c r="J22" s="61"/>
      <c r="K22" s="61"/>
      <c r="L22" s="61"/>
      <c r="M22" s="61"/>
      <c r="N22" s="61"/>
      <c r="O22" s="61"/>
    </row>
    <row r="23" spans="1:15" ht="15" customHeight="1" thickBot="1">
      <c r="A23" s="369"/>
      <c r="B23" s="164" t="s">
        <v>205</v>
      </c>
      <c r="C23" s="205"/>
      <c r="D23" s="353"/>
      <c r="E23" s="212">
        <v>3</v>
      </c>
      <c r="F23" s="212"/>
      <c r="G23" s="212">
        <f>2+1+2</f>
        <v>5</v>
      </c>
      <c r="H23" s="211"/>
      <c r="I23" s="212"/>
      <c r="J23" s="203"/>
      <c r="K23" s="203"/>
      <c r="L23" s="203"/>
      <c r="M23" s="203"/>
      <c r="N23" s="203"/>
      <c r="O23" s="203"/>
    </row>
    <row r="24" spans="1:15" ht="14.5" thickBot="1">
      <c r="A24" s="370"/>
      <c r="B24" s="202" t="s">
        <v>43</v>
      </c>
      <c r="C24" s="51"/>
      <c r="D24" s="354"/>
      <c r="E24" s="213">
        <v>2</v>
      </c>
      <c r="F24" s="213">
        <f>1+1</f>
        <v>2</v>
      </c>
      <c r="G24" s="213"/>
      <c r="H24" s="322"/>
      <c r="I24" s="213"/>
      <c r="J24" s="58"/>
      <c r="K24" s="58"/>
      <c r="L24" s="58"/>
      <c r="M24" s="58"/>
      <c r="N24" s="58"/>
      <c r="O24" s="58"/>
    </row>
    <row r="25" spans="1:15" ht="14.5" thickBot="1">
      <c r="A25" s="158" t="s">
        <v>73</v>
      </c>
      <c r="B25" s="337" t="s">
        <v>74</v>
      </c>
      <c r="C25" s="209"/>
      <c r="D25" s="160"/>
      <c r="E25" s="325"/>
      <c r="F25" s="324"/>
      <c r="G25" s="324">
        <v>3</v>
      </c>
      <c r="H25" s="334"/>
      <c r="I25" s="324">
        <f>8+2</f>
        <v>10</v>
      </c>
      <c r="J25" s="89">
        <v>1</v>
      </c>
      <c r="K25" s="89"/>
      <c r="L25" s="89"/>
      <c r="M25" s="89"/>
      <c r="N25" s="89"/>
      <c r="O25" s="89"/>
    </row>
    <row r="26" spans="1:15" ht="14.5" thickBot="1">
      <c r="A26" s="159"/>
      <c r="B26" s="76" t="s">
        <v>118</v>
      </c>
      <c r="C26" s="75"/>
      <c r="D26" s="72"/>
      <c r="E26" s="323"/>
      <c r="F26" s="323"/>
      <c r="G26" s="323"/>
      <c r="H26" s="63"/>
      <c r="I26" s="323"/>
      <c r="J26" s="61"/>
      <c r="K26" s="61"/>
      <c r="L26" s="61"/>
      <c r="M26" s="61"/>
      <c r="N26" s="61"/>
      <c r="O26" s="61"/>
    </row>
    <row r="27" spans="1:15" ht="14.5" thickBot="1">
      <c r="A27" s="159"/>
      <c r="B27" s="76" t="s">
        <v>199</v>
      </c>
      <c r="C27" s="75"/>
      <c r="D27" s="72"/>
      <c r="E27" s="323"/>
      <c r="F27" s="323"/>
      <c r="G27" s="323"/>
      <c r="H27" s="63"/>
      <c r="I27" s="323"/>
      <c r="J27" s="61"/>
      <c r="K27" s="61"/>
      <c r="L27" s="61"/>
      <c r="M27" s="61"/>
      <c r="N27" s="61"/>
      <c r="O27" s="61"/>
    </row>
    <row r="28" spans="1:15" ht="14.5" thickBot="1">
      <c r="A28" s="159"/>
      <c r="B28" s="76" t="s">
        <v>200</v>
      </c>
      <c r="C28" s="75"/>
      <c r="D28" s="72"/>
      <c r="E28" s="323">
        <v>3</v>
      </c>
      <c r="F28" s="323"/>
      <c r="G28" s="323"/>
      <c r="H28" s="63">
        <f>3+3+3</f>
        <v>9</v>
      </c>
      <c r="I28" s="323"/>
      <c r="J28" s="61"/>
      <c r="K28" s="61"/>
      <c r="L28" s="61"/>
      <c r="M28" s="61"/>
      <c r="N28" s="61"/>
      <c r="O28" s="61"/>
    </row>
    <row r="29" spans="1:15" ht="14.5" thickBot="1">
      <c r="A29" s="159"/>
      <c r="B29" s="76" t="s">
        <v>201</v>
      </c>
      <c r="C29" s="75"/>
      <c r="D29" s="72"/>
      <c r="E29" s="323">
        <v>3</v>
      </c>
      <c r="F29" s="323"/>
      <c r="G29" s="323"/>
      <c r="H29" s="63">
        <f>3+3+3</f>
        <v>9</v>
      </c>
      <c r="I29" s="323"/>
      <c r="J29" s="61"/>
      <c r="K29" s="61"/>
      <c r="L29" s="61"/>
      <c r="M29" s="61"/>
      <c r="N29" s="61"/>
      <c r="O29" s="61"/>
    </row>
    <row r="30" spans="1:15" ht="14.5" thickBot="1">
      <c r="A30" s="159"/>
      <c r="B30" s="76" t="s">
        <v>203</v>
      </c>
      <c r="C30" s="75"/>
      <c r="D30" s="72"/>
      <c r="E30" s="323">
        <v>3</v>
      </c>
      <c r="F30" s="323"/>
      <c r="G30" s="323"/>
      <c r="H30" s="63"/>
      <c r="I30" s="323"/>
      <c r="J30" s="61"/>
      <c r="K30" s="61"/>
      <c r="L30" s="61"/>
      <c r="M30" s="61"/>
      <c r="N30" s="61"/>
      <c r="O30" s="61"/>
    </row>
    <row r="31" spans="1:15" s="159" customFormat="1" ht="12" thickBot="1">
      <c r="B31" s="164" t="s">
        <v>202</v>
      </c>
      <c r="C31" s="75"/>
      <c r="E31" s="323">
        <v>3</v>
      </c>
      <c r="F31" s="326"/>
      <c r="G31" s="326"/>
      <c r="H31" s="335">
        <f>3+3+3</f>
        <v>9</v>
      </c>
      <c r="I31" s="327"/>
    </row>
    <row r="32" spans="1:15" ht="14.5" thickBot="1">
      <c r="A32" s="159"/>
      <c r="B32" s="202" t="s">
        <v>204</v>
      </c>
      <c r="C32" s="206"/>
      <c r="D32" s="72"/>
      <c r="E32" s="323">
        <v>3</v>
      </c>
      <c r="F32" s="213"/>
      <c r="G32" s="213"/>
      <c r="H32" s="322"/>
      <c r="I32" s="213"/>
      <c r="J32" s="58"/>
      <c r="K32" s="58"/>
      <c r="L32" s="58"/>
      <c r="M32" s="58"/>
      <c r="N32" s="58"/>
      <c r="O32" s="58"/>
    </row>
    <row r="33" spans="1:15" ht="14.5" thickBot="1">
      <c r="A33" s="158"/>
      <c r="B33" s="337" t="s">
        <v>183</v>
      </c>
      <c r="C33" s="209"/>
      <c r="D33" s="160"/>
      <c r="E33" s="325">
        <v>12</v>
      </c>
      <c r="F33" s="324"/>
      <c r="G33" s="325">
        <f>4+3+5</f>
        <v>12</v>
      </c>
      <c r="H33" s="334"/>
      <c r="I33" s="324"/>
      <c r="J33" s="89"/>
      <c r="K33" s="89"/>
      <c r="L33" s="89"/>
      <c r="M33" s="89"/>
      <c r="N33" s="89"/>
      <c r="O33" s="89"/>
    </row>
    <row r="34" spans="1:15" ht="14.5" thickBot="1">
      <c r="A34" s="366" t="s">
        <v>67</v>
      </c>
      <c r="B34" s="76" t="s">
        <v>76</v>
      </c>
      <c r="C34" s="75"/>
      <c r="D34" s="72"/>
      <c r="E34" s="325">
        <v>12</v>
      </c>
      <c r="F34" s="323"/>
      <c r="G34" s="325">
        <f>4+3+5</f>
        <v>12</v>
      </c>
      <c r="H34" s="63"/>
      <c r="I34" s="323"/>
      <c r="J34" s="61"/>
      <c r="K34" s="61"/>
      <c r="L34" s="61"/>
      <c r="M34" s="61"/>
      <c r="N34" s="61"/>
      <c r="O34" s="61"/>
    </row>
    <row r="35" spans="1:15" ht="14.5" thickBot="1">
      <c r="A35" s="366"/>
      <c r="B35" s="76" t="s">
        <v>77</v>
      </c>
      <c r="C35" s="75"/>
      <c r="D35" s="72"/>
      <c r="E35" s="325">
        <v>16</v>
      </c>
      <c r="F35" s="323"/>
      <c r="G35" s="325">
        <f>5+5+6</f>
        <v>16</v>
      </c>
      <c r="H35" s="63"/>
      <c r="I35" s="323"/>
      <c r="J35" s="61"/>
      <c r="K35" s="61"/>
      <c r="L35" s="61"/>
      <c r="M35" s="61"/>
      <c r="N35" s="61"/>
      <c r="O35" s="61"/>
    </row>
    <row r="36" spans="1:15" ht="15" customHeight="1" thickBot="1">
      <c r="A36" s="366"/>
      <c r="B36" s="76" t="s">
        <v>75</v>
      </c>
      <c r="C36" s="75"/>
      <c r="D36" s="75"/>
      <c r="E36" s="323">
        <v>2</v>
      </c>
      <c r="F36" s="323"/>
      <c r="G36" s="323">
        <f>1+1</f>
        <v>2</v>
      </c>
      <c r="H36" s="63"/>
      <c r="I36" s="323"/>
      <c r="J36" s="61"/>
      <c r="K36" s="61"/>
      <c r="L36" s="61"/>
      <c r="M36" s="61"/>
      <c r="N36" s="61">
        <v>3</v>
      </c>
      <c r="O36" s="61"/>
    </row>
    <row r="37" spans="1:15" ht="15" customHeight="1" thickBot="1">
      <c r="A37" s="366"/>
      <c r="B37" s="164" t="s">
        <v>107</v>
      </c>
      <c r="C37" s="207"/>
      <c r="D37" s="72" t="s">
        <v>209</v>
      </c>
      <c r="E37" s="328"/>
      <c r="F37" s="328"/>
      <c r="G37" s="328"/>
      <c r="H37" s="69">
        <v>1</v>
      </c>
      <c r="I37" s="328"/>
      <c r="J37" s="161"/>
      <c r="K37" s="161"/>
      <c r="L37" s="161"/>
      <c r="M37" s="161"/>
      <c r="N37" s="161"/>
      <c r="O37" s="161"/>
    </row>
    <row r="38" spans="1:15" ht="15" customHeight="1" thickBot="1">
      <c r="A38" s="366"/>
      <c r="B38" s="164" t="s">
        <v>108</v>
      </c>
      <c r="C38" s="207"/>
      <c r="D38" s="72" t="s">
        <v>209</v>
      </c>
      <c r="E38" s="328"/>
      <c r="F38" s="328"/>
      <c r="G38" s="328"/>
      <c r="H38" s="69">
        <v>1</v>
      </c>
      <c r="I38" s="328"/>
      <c r="J38" s="161"/>
      <c r="K38" s="161"/>
      <c r="L38" s="161"/>
      <c r="M38" s="161"/>
      <c r="N38" s="161"/>
      <c r="O38" s="161"/>
    </row>
    <row r="39" spans="1:15" ht="15" customHeight="1" thickBot="1">
      <c r="A39" s="366"/>
      <c r="B39" s="164" t="s">
        <v>109</v>
      </c>
      <c r="C39" s="207"/>
      <c r="D39" s="72" t="s">
        <v>209</v>
      </c>
      <c r="E39" s="328"/>
      <c r="F39" s="329"/>
      <c r="G39" s="328"/>
      <c r="H39" s="69">
        <v>1</v>
      </c>
      <c r="I39" s="328"/>
      <c r="J39" s="161"/>
      <c r="K39" s="161"/>
      <c r="L39" s="161"/>
      <c r="M39" s="161"/>
      <c r="N39" s="161"/>
      <c r="O39" s="161"/>
    </row>
    <row r="40" spans="1:15" ht="15" customHeight="1" thickBot="1">
      <c r="A40" s="366"/>
      <c r="B40" s="164" t="s">
        <v>110</v>
      </c>
      <c r="C40" s="207"/>
      <c r="D40" s="72" t="s">
        <v>209</v>
      </c>
      <c r="E40" s="328"/>
      <c r="F40" s="328"/>
      <c r="G40" s="328"/>
      <c r="H40" s="69">
        <v>1</v>
      </c>
      <c r="I40" s="328"/>
      <c r="J40" s="161"/>
      <c r="K40" s="161"/>
      <c r="L40" s="161"/>
      <c r="M40" s="161"/>
      <c r="N40" s="161"/>
      <c r="O40" s="161"/>
    </row>
    <row r="41" spans="1:15" ht="15" customHeight="1" thickBot="1">
      <c r="A41" s="366"/>
      <c r="B41" s="164" t="s">
        <v>111</v>
      </c>
      <c r="C41" s="207"/>
      <c r="D41" s="72" t="s">
        <v>209</v>
      </c>
      <c r="E41" s="328"/>
      <c r="F41" s="328"/>
      <c r="G41" s="328"/>
      <c r="H41" s="69">
        <v>1</v>
      </c>
      <c r="I41" s="328"/>
      <c r="J41" s="161"/>
      <c r="K41" s="161"/>
      <c r="L41" s="161"/>
      <c r="M41" s="161"/>
      <c r="N41" s="161"/>
      <c r="O41" s="161"/>
    </row>
    <row r="42" spans="1:15" ht="15" customHeight="1" thickBot="1">
      <c r="A42" s="366"/>
      <c r="B42" s="164" t="s">
        <v>112</v>
      </c>
      <c r="C42" s="207"/>
      <c r="D42" s="72" t="s">
        <v>209</v>
      </c>
      <c r="E42" s="328"/>
      <c r="F42" s="328"/>
      <c r="G42" s="328"/>
      <c r="H42" s="69">
        <v>1</v>
      </c>
      <c r="I42" s="328"/>
      <c r="J42" s="161"/>
      <c r="K42" s="161"/>
      <c r="L42" s="161"/>
      <c r="M42" s="161"/>
      <c r="N42" s="161"/>
      <c r="O42" s="161"/>
    </row>
    <row r="43" spans="1:15" ht="14.5" thickBot="1">
      <c r="A43" s="367"/>
      <c r="B43" s="202" t="s">
        <v>44</v>
      </c>
      <c r="C43" s="206"/>
      <c r="D43" s="87" t="s">
        <v>209</v>
      </c>
      <c r="E43" s="330">
        <v>1</v>
      </c>
      <c r="F43" s="330"/>
      <c r="G43" s="330">
        <v>1</v>
      </c>
      <c r="H43" s="336"/>
      <c r="I43" s="330"/>
      <c r="J43" s="162"/>
      <c r="K43" s="162"/>
      <c r="L43" s="162"/>
      <c r="M43" s="162"/>
      <c r="N43" s="162"/>
      <c r="O43" s="162"/>
    </row>
    <row r="44" spans="1:15" ht="15" customHeight="1" thickBot="1">
      <c r="A44" s="349" t="s">
        <v>45</v>
      </c>
      <c r="B44" s="4" t="s">
        <v>46</v>
      </c>
      <c r="C44" s="206"/>
      <c r="D44" s="160" t="s">
        <v>209</v>
      </c>
      <c r="E44" s="325">
        <v>2</v>
      </c>
      <c r="F44" s="324"/>
      <c r="G44" s="324"/>
      <c r="H44" s="334">
        <v>1</v>
      </c>
      <c r="I44" s="324"/>
      <c r="J44" s="89"/>
      <c r="K44" s="89"/>
      <c r="L44" s="89"/>
      <c r="M44" s="89"/>
      <c r="N44" s="89"/>
      <c r="O44" s="89"/>
    </row>
    <row r="45" spans="1:15" ht="15" customHeight="1" thickBot="1">
      <c r="A45" s="350"/>
      <c r="B45" s="4" t="s">
        <v>206</v>
      </c>
      <c r="C45" s="206"/>
      <c r="D45" s="75"/>
      <c r="E45" s="331">
        <v>2</v>
      </c>
      <c r="F45" s="323"/>
      <c r="G45" s="323"/>
      <c r="H45" s="63">
        <v>2</v>
      </c>
      <c r="I45" s="323"/>
      <c r="J45" s="61"/>
      <c r="K45" s="61"/>
      <c r="L45" s="61"/>
      <c r="M45" s="61"/>
      <c r="N45" s="61"/>
      <c r="O45" s="61"/>
    </row>
    <row r="46" spans="1:15" ht="15" customHeight="1" thickBot="1">
      <c r="A46" s="350"/>
      <c r="B46" s="4" t="s">
        <v>61</v>
      </c>
      <c r="C46" s="206"/>
      <c r="D46" s="75"/>
      <c r="E46" s="328">
        <v>2</v>
      </c>
      <c r="F46" s="332"/>
      <c r="G46" s="332"/>
      <c r="H46" s="70">
        <v>3</v>
      </c>
      <c r="I46" s="332"/>
      <c r="J46" s="163"/>
      <c r="K46" s="163"/>
      <c r="L46" s="163"/>
      <c r="M46" s="163"/>
      <c r="N46" s="163"/>
      <c r="O46" s="163"/>
    </row>
    <row r="47" spans="1:15" ht="15" customHeight="1" thickBot="1">
      <c r="A47" s="350"/>
      <c r="B47" s="4" t="s">
        <v>47</v>
      </c>
      <c r="C47" s="206"/>
      <c r="D47" s="72" t="s">
        <v>209</v>
      </c>
      <c r="E47" s="323">
        <v>2</v>
      </c>
      <c r="F47" s="323"/>
      <c r="G47" s="323"/>
      <c r="H47" s="63">
        <f>1</f>
        <v>1</v>
      </c>
      <c r="I47" s="323"/>
      <c r="J47" s="61"/>
      <c r="K47" s="61">
        <v>1</v>
      </c>
      <c r="L47" s="61">
        <v>4</v>
      </c>
      <c r="M47" s="61">
        <v>5</v>
      </c>
      <c r="N47" s="61"/>
      <c r="O47" s="61"/>
    </row>
    <row r="48" spans="1:15" ht="15" customHeight="1" thickBot="1">
      <c r="A48" s="350"/>
      <c r="B48" s="77" t="s">
        <v>72</v>
      </c>
      <c r="C48" s="210"/>
      <c r="D48" s="75"/>
      <c r="E48" s="323">
        <v>2</v>
      </c>
      <c r="F48" s="323"/>
      <c r="G48" s="323"/>
      <c r="H48" s="63">
        <v>2</v>
      </c>
      <c r="I48" s="323"/>
      <c r="J48" s="61"/>
      <c r="K48" s="61"/>
      <c r="L48" s="61"/>
      <c r="M48" s="61"/>
      <c r="N48" s="61"/>
      <c r="O48" s="61"/>
    </row>
    <row r="49" spans="1:16" ht="15" customHeight="1" thickBot="1">
      <c r="A49" s="350"/>
      <c r="B49" s="4" t="s">
        <v>60</v>
      </c>
      <c r="C49" s="206"/>
      <c r="D49" s="75"/>
      <c r="E49" s="323">
        <v>6</v>
      </c>
      <c r="F49" s="323">
        <f>4+4+4</f>
        <v>12</v>
      </c>
      <c r="G49" s="323"/>
      <c r="H49" s="63"/>
      <c r="I49" s="323"/>
      <c r="J49" s="61"/>
      <c r="K49" s="61"/>
      <c r="L49" s="61"/>
      <c r="M49" s="61"/>
      <c r="N49" s="61"/>
      <c r="O49" s="61"/>
    </row>
    <row r="50" spans="1:16" ht="15" customHeight="1" thickBot="1">
      <c r="A50" s="350"/>
      <c r="B50" s="4" t="s">
        <v>192</v>
      </c>
      <c r="C50" s="206"/>
      <c r="D50" s="75"/>
      <c r="E50" s="323">
        <v>1</v>
      </c>
      <c r="F50" s="323"/>
      <c r="G50" s="323"/>
      <c r="H50" s="63">
        <v>1</v>
      </c>
      <c r="I50" s="323"/>
      <c r="J50" s="61"/>
      <c r="K50" s="61"/>
      <c r="L50" s="61"/>
      <c r="M50" s="61"/>
      <c r="N50" s="61"/>
      <c r="O50" s="61"/>
    </row>
    <row r="51" spans="1:16" ht="15" customHeight="1" thickBot="1">
      <c r="A51" s="351"/>
      <c r="B51" s="202" t="s">
        <v>48</v>
      </c>
      <c r="C51" s="206"/>
      <c r="D51" s="87" t="s">
        <v>209</v>
      </c>
      <c r="E51" s="333">
        <v>2</v>
      </c>
      <c r="F51" s="213"/>
      <c r="G51" s="213"/>
      <c r="H51" s="322">
        <v>2</v>
      </c>
      <c r="I51" s="213"/>
      <c r="J51" s="58"/>
      <c r="K51" s="58"/>
      <c r="L51" s="58"/>
      <c r="M51" s="58"/>
      <c r="N51" s="58"/>
      <c r="O51" s="58"/>
    </row>
    <row r="52" spans="1:16" ht="14.5" thickBot="1">
      <c r="A52" s="349" t="s">
        <v>49</v>
      </c>
      <c r="B52" s="77" t="s">
        <v>210</v>
      </c>
      <c r="C52" s="210"/>
      <c r="D52" s="352" t="s">
        <v>68</v>
      </c>
      <c r="E52" s="323">
        <v>4</v>
      </c>
      <c r="F52" s="323">
        <f>4+4</f>
        <v>8</v>
      </c>
      <c r="G52" s="323"/>
      <c r="H52" s="63"/>
      <c r="I52" s="323"/>
      <c r="J52" s="61"/>
      <c r="K52" s="61"/>
      <c r="L52" s="61"/>
      <c r="M52" s="61">
        <v>2</v>
      </c>
      <c r="N52" s="61"/>
      <c r="O52" s="61"/>
    </row>
    <row r="53" spans="1:16" ht="14.5" thickBot="1">
      <c r="A53" s="350"/>
      <c r="B53" s="4" t="s">
        <v>195</v>
      </c>
      <c r="C53" s="206"/>
      <c r="D53" s="353"/>
      <c r="E53" s="323"/>
      <c r="F53" s="323"/>
      <c r="G53" s="323"/>
      <c r="H53" s="63"/>
      <c r="I53" s="323"/>
      <c r="J53" s="61"/>
      <c r="K53" s="61"/>
      <c r="L53" s="61"/>
      <c r="M53" s="61"/>
      <c r="N53" s="61"/>
      <c r="O53" s="61"/>
    </row>
    <row r="54" spans="1:16" ht="14.5" thickBot="1">
      <c r="A54" s="350"/>
      <c r="B54" s="4" t="s">
        <v>66</v>
      </c>
      <c r="C54" s="206"/>
      <c r="D54" s="353"/>
      <c r="E54" s="323"/>
      <c r="F54" s="323"/>
      <c r="G54" s="323"/>
      <c r="H54" s="63"/>
      <c r="I54" s="323"/>
      <c r="J54" s="61"/>
      <c r="K54" s="61"/>
      <c r="L54" s="61"/>
      <c r="M54" s="61"/>
      <c r="N54" s="61"/>
      <c r="O54" s="61"/>
    </row>
    <row r="55" spans="1:16" ht="15" customHeight="1" thickBot="1">
      <c r="A55" s="350"/>
      <c r="B55" s="2" t="s">
        <v>50</v>
      </c>
      <c r="C55" s="205"/>
      <c r="D55" s="353"/>
      <c r="E55" s="63"/>
      <c r="F55" s="63"/>
      <c r="G55" s="63"/>
      <c r="H55" s="63"/>
      <c r="I55" s="63"/>
      <c r="J55" s="59"/>
      <c r="K55" s="59"/>
      <c r="L55" s="59"/>
      <c r="M55" s="59"/>
      <c r="N55" s="59"/>
      <c r="O55" s="59"/>
    </row>
    <row r="56" spans="1:16" ht="14.5" thickBot="1">
      <c r="A56" s="350"/>
      <c r="B56" s="2" t="s">
        <v>51</v>
      </c>
      <c r="C56" s="205"/>
      <c r="D56" s="353"/>
      <c r="E56" s="63"/>
      <c r="F56" s="63"/>
      <c r="G56" s="63"/>
      <c r="H56" s="63"/>
      <c r="I56" s="63"/>
      <c r="J56" s="59"/>
      <c r="K56" s="59"/>
      <c r="L56" s="59"/>
      <c r="M56" s="59"/>
      <c r="N56" s="59"/>
      <c r="O56" s="59"/>
    </row>
    <row r="57" spans="1:16" ht="15" customHeight="1" thickBot="1">
      <c r="A57" s="351"/>
      <c r="B57" s="3" t="s">
        <v>52</v>
      </c>
      <c r="C57" s="3"/>
      <c r="D57" s="354"/>
      <c r="E57" s="322">
        <v>1</v>
      </c>
      <c r="F57" s="322"/>
      <c r="G57" s="322"/>
      <c r="H57" s="322"/>
      <c r="I57" s="322"/>
      <c r="J57" s="60"/>
      <c r="K57" s="60"/>
      <c r="L57" s="60"/>
      <c r="M57" s="60"/>
      <c r="N57" s="60"/>
      <c r="O57" s="60"/>
    </row>
    <row r="58" spans="1:16" ht="14.5" thickBot="1">
      <c r="A58" s="5" t="s">
        <v>1</v>
      </c>
      <c r="B58" s="6"/>
      <c r="C58" s="6"/>
      <c r="D58" s="1"/>
      <c r="E58" s="1">
        <f t="shared" ref="E58:K58" si="2">SUM(E5:E57)</f>
        <v>180</v>
      </c>
      <c r="F58" s="1">
        <f t="shared" si="2"/>
        <v>55</v>
      </c>
      <c r="G58" s="1">
        <f t="shared" si="2"/>
        <v>51</v>
      </c>
      <c r="H58" s="1">
        <f t="shared" si="2"/>
        <v>46</v>
      </c>
      <c r="I58" s="1">
        <f t="shared" si="2"/>
        <v>10</v>
      </c>
      <c r="J58" s="1">
        <f t="shared" si="2"/>
        <v>1</v>
      </c>
      <c r="K58" s="1">
        <f t="shared" si="2"/>
        <v>2</v>
      </c>
      <c r="L58" s="1">
        <f>SUM(L5:L57)</f>
        <v>8</v>
      </c>
      <c r="M58" s="1">
        <f>SUM(M8:M57)</f>
        <v>12</v>
      </c>
      <c r="N58" s="1">
        <f>SUM(N8:N57)</f>
        <v>3</v>
      </c>
      <c r="O58" s="56"/>
      <c r="P58">
        <f>SUM(E58:O58)</f>
        <v>368</v>
      </c>
    </row>
    <row r="59" spans="1:16" s="7" customFormat="1" ht="12.5"/>
    <row r="60" spans="1:16" ht="14.5" thickBot="1"/>
    <row r="61" spans="1:16">
      <c r="D61" s="26" t="s">
        <v>13</v>
      </c>
      <c r="E61" s="27">
        <v>14000</v>
      </c>
      <c r="F61" s="27">
        <v>8500</v>
      </c>
      <c r="G61" s="27">
        <v>8500</v>
      </c>
      <c r="H61" s="27">
        <v>8500</v>
      </c>
      <c r="I61" s="27">
        <v>8500</v>
      </c>
      <c r="J61" s="27">
        <v>14000</v>
      </c>
      <c r="K61" s="27">
        <v>8500</v>
      </c>
      <c r="L61" s="27">
        <v>8500</v>
      </c>
      <c r="M61" s="27">
        <v>8500</v>
      </c>
      <c r="N61" s="27">
        <v>8500</v>
      </c>
    </row>
    <row r="62" spans="1:16">
      <c r="D62" s="23" t="s">
        <v>19</v>
      </c>
      <c r="E62" s="24">
        <f>SUM(E5:E7)*E61</f>
        <v>126000</v>
      </c>
      <c r="F62" s="24">
        <f>SUM(F5:F7)*F61</f>
        <v>59500</v>
      </c>
      <c r="G62" s="24">
        <f>SUM(G5:G7)*G61</f>
        <v>0</v>
      </c>
      <c r="H62" s="24">
        <f>SUM(H5:H7)*H61</f>
        <v>0</v>
      </c>
      <c r="I62" s="24">
        <f t="shared" ref="I62:N62" si="3">SUM(I5)*I61</f>
        <v>0</v>
      </c>
      <c r="J62" s="24">
        <f t="shared" si="3"/>
        <v>0</v>
      </c>
      <c r="K62" s="24">
        <f t="shared" si="3"/>
        <v>0</v>
      </c>
      <c r="L62" s="24">
        <f t="shared" si="3"/>
        <v>0</v>
      </c>
      <c r="M62" s="24">
        <f t="shared" si="3"/>
        <v>0</v>
      </c>
      <c r="N62" s="24">
        <f t="shared" si="3"/>
        <v>0</v>
      </c>
      <c r="O62" s="8">
        <f>SUM(E62:N62)</f>
        <v>185500</v>
      </c>
    </row>
    <row r="63" spans="1:16" ht="14.5" thickBot="1">
      <c r="D63" s="22" t="s">
        <v>18</v>
      </c>
      <c r="E63" s="25">
        <f t="shared" ref="E63:N63" si="4">SUM(E8:E57)*E61</f>
        <v>2394000</v>
      </c>
      <c r="F63" s="25">
        <f t="shared" si="4"/>
        <v>408000</v>
      </c>
      <c r="G63" s="25">
        <f t="shared" si="4"/>
        <v>433500</v>
      </c>
      <c r="H63" s="25">
        <f t="shared" si="4"/>
        <v>391000</v>
      </c>
      <c r="I63" s="25">
        <f t="shared" si="4"/>
        <v>85000</v>
      </c>
      <c r="J63" s="25">
        <f t="shared" si="4"/>
        <v>14000</v>
      </c>
      <c r="K63" s="25">
        <f t="shared" si="4"/>
        <v>17000</v>
      </c>
      <c r="L63" s="25">
        <f t="shared" ref="L63" si="5">SUM(L8:L57)*L61</f>
        <v>68000</v>
      </c>
      <c r="M63" s="25">
        <f t="shared" si="4"/>
        <v>102000</v>
      </c>
      <c r="N63" s="25">
        <f t="shared" si="4"/>
        <v>25500</v>
      </c>
      <c r="O63" s="8">
        <f>SUM(E63:N63)</f>
        <v>3938000</v>
      </c>
    </row>
    <row r="64" spans="1:16">
      <c r="E64" s="8">
        <f t="shared" ref="E64:K64" si="6">E62+E63</f>
        <v>2520000</v>
      </c>
      <c r="F64" s="8">
        <f t="shared" si="6"/>
        <v>467500</v>
      </c>
      <c r="G64" s="8">
        <f t="shared" ref="G64" si="7">G62+G63</f>
        <v>433500</v>
      </c>
      <c r="H64" s="8">
        <f>H62+H63</f>
        <v>391000</v>
      </c>
      <c r="I64" s="8">
        <f t="shared" si="6"/>
        <v>85000</v>
      </c>
      <c r="J64" s="8">
        <f t="shared" si="6"/>
        <v>14000</v>
      </c>
      <c r="K64" s="8">
        <f t="shared" si="6"/>
        <v>17000</v>
      </c>
      <c r="L64" s="8">
        <f t="shared" ref="L64" si="8">L62+L63</f>
        <v>68000</v>
      </c>
      <c r="M64" s="8">
        <f t="shared" ref="M64:N64" si="9">M62+M63</f>
        <v>102000</v>
      </c>
      <c r="N64" s="8">
        <f t="shared" si="9"/>
        <v>25500</v>
      </c>
      <c r="O64" s="8">
        <f>SUM(E64:N64)</f>
        <v>4123500</v>
      </c>
    </row>
    <row r="68" spans="2:3">
      <c r="B68" t="s">
        <v>461</v>
      </c>
      <c r="C68">
        <f>18*4*2.5</f>
        <v>180</v>
      </c>
    </row>
    <row r="69" spans="2:3">
      <c r="C69">
        <f>E58/4/2.5</f>
        <v>18</v>
      </c>
    </row>
  </sheetData>
  <mergeCells count="21">
    <mergeCell ref="D20:D24"/>
    <mergeCell ref="A44:A51"/>
    <mergeCell ref="A52:A57"/>
    <mergeCell ref="D52:D57"/>
    <mergeCell ref="A34:A43"/>
    <mergeCell ref="A19:A24"/>
    <mergeCell ref="O3:O4"/>
    <mergeCell ref="N3:N4"/>
    <mergeCell ref="A13:A18"/>
    <mergeCell ref="D13:D18"/>
    <mergeCell ref="A3:A4"/>
    <mergeCell ref="B3:B4"/>
    <mergeCell ref="D3:D4"/>
    <mergeCell ref="A8:A12"/>
    <mergeCell ref="D8:D12"/>
    <mergeCell ref="A5:A7"/>
    <mergeCell ref="D5:D7"/>
    <mergeCell ref="M3:M4"/>
    <mergeCell ref="K3:K4"/>
    <mergeCell ref="C3:C4"/>
    <mergeCell ref="L3:L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8298-99B5-448A-892D-B3D48B2FFE6A}">
  <dimension ref="A1:R20"/>
  <sheetViews>
    <sheetView topLeftCell="A8" zoomScale="70" zoomScaleNormal="70" workbookViewId="0">
      <selection activeCell="E4" sqref="E4"/>
    </sheetView>
  </sheetViews>
  <sheetFormatPr defaultColWidth="23.58203125" defaultRowHeight="14"/>
  <cols>
    <col min="1" max="1" width="3.83203125" style="171" bestFit="1" customWidth="1"/>
    <col min="2" max="2" width="15.08203125" style="171" customWidth="1"/>
    <col min="3" max="3" width="14.83203125" style="171" customWidth="1"/>
    <col min="4" max="4" width="25.33203125" style="171" customWidth="1"/>
    <col min="5" max="5" width="39.5" style="171" customWidth="1"/>
    <col min="6" max="6" width="9.58203125" style="171" hidden="1" customWidth="1"/>
    <col min="7" max="7" width="9.58203125" style="171" customWidth="1"/>
    <col min="8" max="8" width="11.08203125" style="195" customWidth="1"/>
    <col min="9" max="9" width="8.83203125" style="195" customWidth="1"/>
    <col min="10" max="10" width="9.83203125" style="171" customWidth="1"/>
    <col min="11" max="11" width="8.5" style="171" customWidth="1"/>
    <col min="12" max="12" width="11.08203125" style="171" customWidth="1"/>
    <col min="13" max="13" width="9" style="171" hidden="1" customWidth="1"/>
    <col min="14" max="14" width="8.83203125" style="171" hidden="1" customWidth="1"/>
    <col min="15" max="16384" width="23.58203125" style="171"/>
  </cols>
  <sheetData>
    <row r="1" spans="1:18" ht="42">
      <c r="A1" s="165" t="s">
        <v>119</v>
      </c>
      <c r="B1" s="165" t="s">
        <v>120</v>
      </c>
      <c r="C1" s="165" t="s">
        <v>15</v>
      </c>
      <c r="D1" s="165" t="s">
        <v>121</v>
      </c>
      <c r="E1" s="165" t="s">
        <v>122</v>
      </c>
      <c r="F1" s="166" t="s">
        <v>113</v>
      </c>
      <c r="G1" s="167" t="s">
        <v>123</v>
      </c>
      <c r="H1" s="167" t="s">
        <v>124</v>
      </c>
      <c r="I1" s="168" t="s">
        <v>125</v>
      </c>
      <c r="J1" s="168" t="s">
        <v>126</v>
      </c>
      <c r="K1" s="168" t="s">
        <v>127</v>
      </c>
      <c r="L1" s="168" t="s">
        <v>128</v>
      </c>
      <c r="M1" s="169" t="s">
        <v>129</v>
      </c>
      <c r="N1" s="170" t="s">
        <v>130</v>
      </c>
    </row>
    <row r="2" spans="1:18" ht="56">
      <c r="A2" s="172">
        <v>1</v>
      </c>
      <c r="B2" s="173" t="s">
        <v>131</v>
      </c>
      <c r="C2" s="174" t="s">
        <v>132</v>
      </c>
      <c r="D2" s="174" t="s">
        <v>133</v>
      </c>
      <c r="E2" s="175" t="s">
        <v>134</v>
      </c>
      <c r="F2" s="176">
        <v>1</v>
      </c>
      <c r="G2" s="177">
        <v>5</v>
      </c>
      <c r="H2" s="178">
        <f>2+M2</f>
        <v>2.5</v>
      </c>
      <c r="I2" s="179">
        <f>1+N2</f>
        <v>1</v>
      </c>
      <c r="J2" s="179">
        <v>5</v>
      </c>
      <c r="K2" s="371">
        <v>2</v>
      </c>
      <c r="L2" s="179"/>
      <c r="M2" s="180">
        <v>0.5</v>
      </c>
      <c r="N2" s="180"/>
    </row>
    <row r="3" spans="1:18" ht="56">
      <c r="A3" s="172">
        <v>2</v>
      </c>
      <c r="B3" s="173" t="s">
        <v>135</v>
      </c>
      <c r="C3" s="174" t="s">
        <v>136</v>
      </c>
      <c r="D3" s="174" t="s">
        <v>137</v>
      </c>
      <c r="E3" s="175" t="s">
        <v>138</v>
      </c>
      <c r="F3" s="176">
        <v>1</v>
      </c>
      <c r="G3" s="177">
        <v>5</v>
      </c>
      <c r="H3" s="178">
        <f>2+M3</f>
        <v>2.5</v>
      </c>
      <c r="I3" s="179">
        <f>1+N3</f>
        <v>1</v>
      </c>
      <c r="J3" s="179">
        <v>5</v>
      </c>
      <c r="K3" s="372"/>
      <c r="L3" s="179"/>
      <c r="M3" s="180">
        <v>0.5</v>
      </c>
      <c r="N3" s="180"/>
    </row>
    <row r="4" spans="1:18" ht="56">
      <c r="A4" s="181">
        <v>3</v>
      </c>
      <c r="B4" s="182" t="s">
        <v>139</v>
      </c>
      <c r="C4" s="183" t="s">
        <v>140</v>
      </c>
      <c r="D4" s="183" t="s">
        <v>141</v>
      </c>
      <c r="E4" s="181" t="s">
        <v>142</v>
      </c>
      <c r="F4" s="176">
        <v>1</v>
      </c>
      <c r="G4" s="177">
        <v>1</v>
      </c>
      <c r="H4" s="178">
        <f>2+M4</f>
        <v>2</v>
      </c>
      <c r="I4" s="179">
        <f>1+N4</f>
        <v>1</v>
      </c>
      <c r="J4" s="179">
        <v>2</v>
      </c>
      <c r="K4" s="372"/>
      <c r="L4" s="179"/>
      <c r="M4" s="180"/>
      <c r="N4" s="180"/>
    </row>
    <row r="5" spans="1:18" ht="112">
      <c r="A5" s="181">
        <v>4</v>
      </c>
      <c r="B5" s="183" t="s">
        <v>143</v>
      </c>
      <c r="C5" s="183" t="s">
        <v>115</v>
      </c>
      <c r="D5" s="183" t="s">
        <v>144</v>
      </c>
      <c r="E5" s="183" t="s">
        <v>145</v>
      </c>
      <c r="F5" s="176"/>
      <c r="G5" s="177"/>
      <c r="H5" s="178">
        <f>0+M5</f>
        <v>0</v>
      </c>
      <c r="I5" s="179">
        <f>0+N5</f>
        <v>0</v>
      </c>
      <c r="J5" s="179">
        <v>1</v>
      </c>
      <c r="K5" s="372"/>
      <c r="L5" s="179">
        <v>2</v>
      </c>
      <c r="M5" s="180"/>
      <c r="N5" s="180"/>
    </row>
    <row r="6" spans="1:18" ht="84">
      <c r="A6" s="181">
        <v>5</v>
      </c>
      <c r="B6" s="184" t="s">
        <v>146</v>
      </c>
      <c r="C6" s="183" t="s">
        <v>147</v>
      </c>
      <c r="D6" s="183" t="s">
        <v>148</v>
      </c>
      <c r="E6" s="183" t="s">
        <v>149</v>
      </c>
      <c r="F6" s="176">
        <v>1</v>
      </c>
      <c r="G6" s="177">
        <v>1</v>
      </c>
      <c r="H6" s="178">
        <f>2+M6</f>
        <v>2</v>
      </c>
      <c r="I6" s="179">
        <f>1+N6</f>
        <v>1</v>
      </c>
      <c r="J6" s="179">
        <v>2</v>
      </c>
      <c r="K6" s="372"/>
      <c r="L6" s="179"/>
      <c r="M6" s="180"/>
      <c r="N6" s="180"/>
    </row>
    <row r="7" spans="1:18" ht="84">
      <c r="A7" s="172">
        <v>6</v>
      </c>
      <c r="B7" s="173" t="s">
        <v>150</v>
      </c>
      <c r="C7" s="174" t="s">
        <v>151</v>
      </c>
      <c r="D7" s="174" t="s">
        <v>152</v>
      </c>
      <c r="E7" s="174" t="s">
        <v>153</v>
      </c>
      <c r="F7" s="176"/>
      <c r="G7" s="177">
        <v>3</v>
      </c>
      <c r="H7" s="178">
        <f>0+M7</f>
        <v>3</v>
      </c>
      <c r="I7" s="179">
        <f>0+N7</f>
        <v>1</v>
      </c>
      <c r="J7" s="179">
        <v>1</v>
      </c>
      <c r="K7" s="372"/>
      <c r="L7" s="179"/>
      <c r="M7" s="180">
        <v>3</v>
      </c>
      <c r="N7" s="180">
        <v>1</v>
      </c>
      <c r="P7" s="185" t="s">
        <v>154</v>
      </c>
      <c r="R7" s="185" t="s">
        <v>155</v>
      </c>
    </row>
    <row r="8" spans="1:18" ht="84">
      <c r="A8" s="172">
        <v>7</v>
      </c>
      <c r="B8" s="173" t="s">
        <v>156</v>
      </c>
      <c r="C8" s="174" t="s">
        <v>157</v>
      </c>
      <c r="D8" s="186" t="s">
        <v>158</v>
      </c>
      <c r="E8" s="186" t="s">
        <v>159</v>
      </c>
      <c r="F8" s="176"/>
      <c r="G8" s="177">
        <v>4</v>
      </c>
      <c r="H8" s="178">
        <v>3</v>
      </c>
      <c r="I8" s="179">
        <v>1</v>
      </c>
      <c r="J8" s="179">
        <v>2</v>
      </c>
      <c r="K8" s="372"/>
      <c r="L8" s="179"/>
      <c r="M8" s="180">
        <v>3</v>
      </c>
      <c r="N8" s="180">
        <v>1</v>
      </c>
      <c r="P8" s="185" t="s">
        <v>160</v>
      </c>
      <c r="R8" s="185" t="s">
        <v>155</v>
      </c>
    </row>
    <row r="9" spans="1:18" ht="56">
      <c r="A9" s="172">
        <v>8</v>
      </c>
      <c r="B9" s="186" t="s">
        <v>161</v>
      </c>
      <c r="C9" s="174" t="s">
        <v>162</v>
      </c>
      <c r="D9" s="187" t="s">
        <v>163</v>
      </c>
      <c r="E9" s="174"/>
      <c r="F9" s="176"/>
      <c r="G9" s="177">
        <v>2</v>
      </c>
      <c r="H9" s="178"/>
      <c r="I9" s="179"/>
      <c r="J9" s="179">
        <v>2</v>
      </c>
      <c r="K9" s="372"/>
      <c r="L9" s="179"/>
      <c r="M9" s="180"/>
      <c r="N9" s="180"/>
      <c r="P9" s="185"/>
      <c r="R9" s="185"/>
    </row>
    <row r="10" spans="1:18" ht="56">
      <c r="A10" s="172">
        <v>9</v>
      </c>
      <c r="B10" s="186" t="s">
        <v>164</v>
      </c>
      <c r="C10" s="174" t="s">
        <v>165</v>
      </c>
      <c r="D10" s="187" t="s">
        <v>166</v>
      </c>
      <c r="E10" s="174"/>
      <c r="F10" s="176"/>
      <c r="G10" s="177">
        <v>2</v>
      </c>
      <c r="H10" s="178"/>
      <c r="I10" s="179"/>
      <c r="J10" s="179">
        <v>2</v>
      </c>
      <c r="K10" s="373"/>
      <c r="L10" s="179"/>
      <c r="M10" s="180"/>
      <c r="N10" s="180"/>
      <c r="P10" s="185"/>
      <c r="R10" s="185"/>
    </row>
    <row r="11" spans="1:18" ht="17.5">
      <c r="F11" s="188">
        <f>SUM(F2:F6)</f>
        <v>4</v>
      </c>
      <c r="G11" s="189">
        <f>SUM(G2:G10)</f>
        <v>23</v>
      </c>
      <c r="H11" s="190">
        <f>SUM(H2:H10)</f>
        <v>15</v>
      </c>
      <c r="I11" s="190">
        <f>SUM(I2:I10)</f>
        <v>6</v>
      </c>
      <c r="J11" s="190">
        <f>SUM(J2:J10)</f>
        <v>22</v>
      </c>
      <c r="K11" s="189">
        <f>SUM(K2)</f>
        <v>2</v>
      </c>
      <c r="L11" s="189">
        <f>SUM(L2:L10)</f>
        <v>2</v>
      </c>
      <c r="M11" s="191">
        <f>SUM(M2:M7)</f>
        <v>4</v>
      </c>
      <c r="N11" s="191">
        <f>SUM(N2:N7)</f>
        <v>1</v>
      </c>
    </row>
    <row r="14" spans="1:18" ht="20">
      <c r="C14" s="192" t="s">
        <v>167</v>
      </c>
      <c r="D14" s="193" t="s">
        <v>168</v>
      </c>
      <c r="E14" s="194"/>
    </row>
    <row r="15" spans="1:18" ht="20">
      <c r="C15" s="192" t="s">
        <v>113</v>
      </c>
      <c r="D15" s="193" t="s">
        <v>169</v>
      </c>
      <c r="E15" s="196" t="s">
        <v>170</v>
      </c>
      <c r="F15" s="197"/>
      <c r="G15" s="189">
        <f>G11+H11+I11+J11+K11+L11</f>
        <v>70</v>
      </c>
    </row>
    <row r="16" spans="1:18" ht="20">
      <c r="C16" s="192" t="s">
        <v>171</v>
      </c>
      <c r="D16" s="193" t="s">
        <v>114</v>
      </c>
      <c r="E16" s="194"/>
    </row>
    <row r="17" spans="3:5" ht="20">
      <c r="C17" s="192" t="s">
        <v>172</v>
      </c>
      <c r="D17" s="193" t="s">
        <v>173</v>
      </c>
      <c r="E17" s="194"/>
    </row>
    <row r="18" spans="3:5" ht="20">
      <c r="C18" s="192" t="s">
        <v>174</v>
      </c>
      <c r="D18" s="193" t="s">
        <v>175</v>
      </c>
      <c r="E18" s="194"/>
    </row>
    <row r="19" spans="3:5" ht="20">
      <c r="C19" s="192" t="s">
        <v>176</v>
      </c>
      <c r="D19" s="193" t="s">
        <v>177</v>
      </c>
      <c r="E19" s="194"/>
    </row>
    <row r="20" spans="3:5" ht="20">
      <c r="C20" s="192" t="s">
        <v>178</v>
      </c>
      <c r="D20" s="193" t="s">
        <v>179</v>
      </c>
      <c r="E20" s="194"/>
    </row>
  </sheetData>
  <mergeCells count="1">
    <mergeCell ref="K2:K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J25"/>
  <sheetViews>
    <sheetView topLeftCell="A4" zoomScaleNormal="100" workbookViewId="0">
      <selection activeCell="E7" sqref="E7"/>
    </sheetView>
  </sheetViews>
  <sheetFormatPr defaultColWidth="9" defaultRowHeight="12.5"/>
  <cols>
    <col min="1" max="2" width="9" style="9"/>
    <col min="3" max="3" width="5.33203125" style="9" bestFit="1" customWidth="1"/>
    <col min="4" max="4" width="39.58203125" style="9" customWidth="1"/>
    <col min="5" max="5" width="15" style="9" bestFit="1" customWidth="1"/>
    <col min="6" max="6" width="15" style="9" customWidth="1"/>
    <col min="7" max="7" width="13.58203125" style="9" bestFit="1" customWidth="1"/>
    <col min="8" max="8" width="22" style="9" customWidth="1"/>
    <col min="9" max="9" width="12.08203125" style="9" bestFit="1" customWidth="1"/>
    <col min="10" max="10" width="11.25" style="9" bestFit="1" customWidth="1"/>
    <col min="11" max="11" width="11.08203125" style="9" customWidth="1"/>
    <col min="12" max="16384" width="9" style="9"/>
  </cols>
  <sheetData>
    <row r="2" spans="3:10">
      <c r="C2" s="374" t="s">
        <v>196</v>
      </c>
      <c r="D2" s="375"/>
      <c r="E2" s="375"/>
      <c r="F2" s="74"/>
    </row>
    <row r="3" spans="3:10">
      <c r="C3" s="374" t="s">
        <v>289</v>
      </c>
      <c r="D3" s="374"/>
      <c r="E3" s="374"/>
      <c r="F3" s="73"/>
    </row>
    <row r="4" spans="3:10" ht="13" thickBot="1">
      <c r="C4" s="10"/>
      <c r="D4" s="11"/>
      <c r="E4" s="11"/>
      <c r="F4" s="11"/>
    </row>
    <row r="5" spans="3:10" ht="21.75" customHeight="1" thickBot="1">
      <c r="C5" s="29" t="s">
        <v>14</v>
      </c>
      <c r="D5" s="30" t="s">
        <v>15</v>
      </c>
      <c r="E5" s="31" t="s">
        <v>16</v>
      </c>
      <c r="F5" s="84"/>
      <c r="H5" s="32"/>
      <c r="I5" s="65"/>
    </row>
    <row r="6" spans="3:10" ht="13" thickBot="1">
      <c r="C6" s="18">
        <v>1</v>
      </c>
      <c r="D6" s="12" t="s">
        <v>212</v>
      </c>
      <c r="E6" s="80">
        <v>7100000</v>
      </c>
      <c r="F6" s="82"/>
      <c r="G6" s="32"/>
      <c r="H6" s="32"/>
      <c r="I6" s="66"/>
      <c r="J6" s="32"/>
    </row>
    <row r="7" spans="3:10" ht="13" thickBot="1">
      <c r="C7" s="16"/>
      <c r="D7" s="12"/>
      <c r="E7" s="80"/>
      <c r="F7" s="82">
        <f>E7*110%</f>
        <v>0</v>
      </c>
      <c r="G7" s="32"/>
      <c r="I7" s="65"/>
    </row>
    <row r="8" spans="3:10">
      <c r="C8" s="16"/>
      <c r="D8" s="12"/>
      <c r="E8" s="17"/>
      <c r="F8" s="82">
        <f>E8*110%</f>
        <v>0</v>
      </c>
      <c r="I8" s="65"/>
    </row>
    <row r="9" spans="3:10">
      <c r="C9" s="16"/>
      <c r="D9" s="12"/>
      <c r="E9" s="17"/>
      <c r="F9" s="82"/>
      <c r="I9" s="65"/>
    </row>
    <row r="10" spans="3:10">
      <c r="C10" s="16"/>
      <c r="D10" s="12"/>
      <c r="E10" s="17"/>
      <c r="F10" s="82"/>
    </row>
    <row r="11" spans="3:10">
      <c r="C11" s="16"/>
      <c r="D11" s="12"/>
      <c r="E11" s="17"/>
      <c r="F11" s="82"/>
    </row>
    <row r="12" spans="3:10">
      <c r="C12" s="16"/>
      <c r="D12" s="12"/>
      <c r="E12" s="17"/>
      <c r="F12" s="82"/>
    </row>
    <row r="13" spans="3:10">
      <c r="C13" s="16"/>
      <c r="D13" s="12"/>
      <c r="E13" s="17"/>
      <c r="F13" s="82"/>
    </row>
    <row r="14" spans="3:10" ht="13" thickBot="1">
      <c r="C14" s="19"/>
      <c r="D14" s="20" t="s">
        <v>1</v>
      </c>
      <c r="E14" s="21">
        <f>SUM(E6:E13)</f>
        <v>7100000</v>
      </c>
      <c r="F14" s="85"/>
    </row>
    <row r="15" spans="3:10" ht="13" thickBot="1">
      <c r="C15" s="19"/>
      <c r="D15" s="20" t="s">
        <v>20</v>
      </c>
      <c r="E15" s="21"/>
      <c r="F15" s="85"/>
    </row>
    <row r="16" spans="3:10" ht="13" thickBot="1">
      <c r="C16" s="19"/>
      <c r="D16" s="20" t="s">
        <v>21</v>
      </c>
      <c r="E16" s="21">
        <f>E14-E15</f>
        <v>7100000</v>
      </c>
      <c r="F16" s="85"/>
      <c r="G16" s="32"/>
    </row>
    <row r="17" spans="3:7">
      <c r="C17" s="11"/>
      <c r="D17" s="10" t="s">
        <v>17</v>
      </c>
      <c r="E17" s="13"/>
      <c r="F17" s="13"/>
    </row>
    <row r="19" spans="3:7">
      <c r="C19" s="11"/>
      <c r="D19" s="11"/>
      <c r="E19" s="11"/>
      <c r="F19" s="11"/>
    </row>
    <row r="22" spans="3:7">
      <c r="D22" s="9" t="s">
        <v>70</v>
      </c>
      <c r="E22" s="81">
        <v>0.2</v>
      </c>
      <c r="F22" s="83">
        <f>$E$16*E22</f>
        <v>1420000</v>
      </c>
      <c r="G22" s="9" t="s">
        <v>69</v>
      </c>
    </row>
    <row r="23" spans="3:7">
      <c r="D23" s="9" t="s">
        <v>71</v>
      </c>
      <c r="E23" s="81">
        <v>0.2</v>
      </c>
      <c r="F23" s="83">
        <f t="shared" ref="F23:F25" si="0">$E$16*E23</f>
        <v>1420000</v>
      </c>
      <c r="G23" s="9" t="s">
        <v>79</v>
      </c>
    </row>
    <row r="24" spans="3:7">
      <c r="D24" s="9" t="s">
        <v>80</v>
      </c>
      <c r="E24" s="81">
        <v>0.3</v>
      </c>
      <c r="F24" s="83">
        <f t="shared" si="0"/>
        <v>2130000</v>
      </c>
    </row>
    <row r="25" spans="3:7">
      <c r="D25" s="9" t="s">
        <v>197</v>
      </c>
      <c r="E25" s="81">
        <v>0.3</v>
      </c>
      <c r="F25" s="83">
        <f t="shared" si="0"/>
        <v>2130000</v>
      </c>
    </row>
  </sheetData>
  <mergeCells count="2">
    <mergeCell ref="C2:E2"/>
    <mergeCell ref="C3: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D8D1-4E43-4B5A-B3F8-BC295B23EAD4}">
  <dimension ref="A1:BW72"/>
  <sheetViews>
    <sheetView topLeftCell="E27" zoomScale="55" zoomScaleNormal="55" workbookViewId="0">
      <selection activeCell="AR30" sqref="AR30:BW61"/>
    </sheetView>
  </sheetViews>
  <sheetFormatPr defaultRowHeight="14"/>
  <cols>
    <col min="1" max="1" width="30" bestFit="1" customWidth="1"/>
    <col min="2" max="2" width="5.25" style="233" customWidth="1"/>
    <col min="3" max="3" width="52" customWidth="1"/>
    <col min="4" max="31" width="3.58203125" style="233" customWidth="1"/>
    <col min="32" max="32" width="3.58203125" customWidth="1"/>
    <col min="33" max="33" width="4.08203125" bestFit="1" customWidth="1"/>
    <col min="34" max="46" width="3.58203125" customWidth="1"/>
    <col min="47" max="47" width="4.08203125" bestFit="1" customWidth="1"/>
    <col min="48" max="54" width="3.58203125" customWidth="1"/>
    <col min="55" max="55" width="4.08203125" bestFit="1" customWidth="1"/>
    <col min="56" max="75" width="3.58203125" customWidth="1"/>
  </cols>
  <sheetData>
    <row r="1" spans="1:75">
      <c r="A1" s="394" t="s">
        <v>2</v>
      </c>
      <c r="B1" s="396"/>
      <c r="C1" s="398" t="s">
        <v>382</v>
      </c>
      <c r="D1" s="384" t="s">
        <v>291</v>
      </c>
      <c r="E1" s="385"/>
      <c r="F1" s="385"/>
      <c r="G1" s="385"/>
      <c r="H1" s="384" t="s">
        <v>292</v>
      </c>
      <c r="I1" s="385"/>
      <c r="J1" s="385"/>
      <c r="K1" s="385"/>
      <c r="L1" s="384" t="s">
        <v>293</v>
      </c>
      <c r="M1" s="385"/>
      <c r="N1" s="385"/>
      <c r="O1" s="385"/>
      <c r="P1" s="384" t="s">
        <v>294</v>
      </c>
      <c r="Q1" s="385"/>
      <c r="R1" s="385"/>
      <c r="S1" s="385"/>
      <c r="T1" s="384" t="s">
        <v>295</v>
      </c>
      <c r="U1" s="385"/>
      <c r="V1" s="385"/>
      <c r="W1" s="385"/>
      <c r="X1" s="384" t="s">
        <v>296</v>
      </c>
      <c r="Y1" s="385"/>
      <c r="Z1" s="385"/>
      <c r="AA1" s="385"/>
      <c r="AB1" s="384" t="s">
        <v>297</v>
      </c>
      <c r="AC1" s="385"/>
      <c r="AD1" s="385"/>
      <c r="AE1" s="385"/>
      <c r="AF1" s="384" t="s">
        <v>298</v>
      </c>
      <c r="AG1" s="385"/>
      <c r="AH1" s="385"/>
      <c r="AI1" s="385"/>
      <c r="AJ1" s="384" t="s">
        <v>299</v>
      </c>
      <c r="AK1" s="385"/>
      <c r="AL1" s="385"/>
      <c r="AM1" s="385"/>
      <c r="AN1" s="384" t="s">
        <v>300</v>
      </c>
      <c r="AO1" s="385"/>
      <c r="AP1" s="385"/>
      <c r="AQ1" s="385"/>
      <c r="AR1" s="384" t="s">
        <v>301</v>
      </c>
      <c r="AS1" s="385"/>
      <c r="AT1" s="385"/>
      <c r="AU1" s="385"/>
      <c r="AV1" s="384" t="s">
        <v>302</v>
      </c>
      <c r="AW1" s="385"/>
      <c r="AX1" s="385"/>
      <c r="AY1" s="385"/>
      <c r="AZ1" s="384" t="s">
        <v>303</v>
      </c>
      <c r="BA1" s="385"/>
      <c r="BB1" s="385"/>
      <c r="BC1" s="385"/>
      <c r="BD1" s="384" t="s">
        <v>304</v>
      </c>
      <c r="BE1" s="385"/>
      <c r="BF1" s="385"/>
      <c r="BG1" s="385"/>
      <c r="BH1" s="384" t="s">
        <v>305</v>
      </c>
      <c r="BI1" s="385"/>
      <c r="BJ1" s="385"/>
      <c r="BK1" s="385"/>
      <c r="BL1" s="384" t="s">
        <v>306</v>
      </c>
      <c r="BM1" s="385"/>
      <c r="BN1" s="385"/>
      <c r="BO1" s="385"/>
      <c r="BP1" s="384" t="s">
        <v>307</v>
      </c>
      <c r="BQ1" s="385"/>
      <c r="BR1" s="385"/>
      <c r="BS1" s="385"/>
      <c r="BT1" s="384" t="s">
        <v>308</v>
      </c>
      <c r="BU1" s="385"/>
      <c r="BV1" s="385"/>
      <c r="BW1" s="386"/>
    </row>
    <row r="2" spans="1:75" ht="20.25" customHeight="1" thickBot="1">
      <c r="A2" s="395"/>
      <c r="B2" s="397"/>
      <c r="C2" s="399"/>
      <c r="D2" s="320" t="s">
        <v>62</v>
      </c>
      <c r="E2" s="320" t="s">
        <v>63</v>
      </c>
      <c r="F2" s="320" t="s">
        <v>64</v>
      </c>
      <c r="G2" s="320" t="s">
        <v>65</v>
      </c>
      <c r="H2" s="320" t="s">
        <v>62</v>
      </c>
      <c r="I2" s="320" t="s">
        <v>63</v>
      </c>
      <c r="J2" s="320" t="s">
        <v>64</v>
      </c>
      <c r="K2" s="320" t="s">
        <v>65</v>
      </c>
      <c r="L2" s="320" t="s">
        <v>62</v>
      </c>
      <c r="M2" s="320" t="s">
        <v>63</v>
      </c>
      <c r="N2" s="320" t="s">
        <v>64</v>
      </c>
      <c r="O2" s="320" t="s">
        <v>65</v>
      </c>
      <c r="P2" s="320" t="s">
        <v>62</v>
      </c>
      <c r="Q2" s="320" t="s">
        <v>63</v>
      </c>
      <c r="R2" s="320" t="s">
        <v>64</v>
      </c>
      <c r="S2" s="320" t="s">
        <v>65</v>
      </c>
      <c r="T2" s="320" t="s">
        <v>62</v>
      </c>
      <c r="U2" s="320" t="s">
        <v>63</v>
      </c>
      <c r="V2" s="320" t="s">
        <v>64</v>
      </c>
      <c r="W2" s="320" t="s">
        <v>65</v>
      </c>
      <c r="X2" s="320" t="s">
        <v>62</v>
      </c>
      <c r="Y2" s="320" t="s">
        <v>63</v>
      </c>
      <c r="Z2" s="320" t="s">
        <v>64</v>
      </c>
      <c r="AA2" s="320" t="s">
        <v>65</v>
      </c>
      <c r="AB2" s="320" t="s">
        <v>62</v>
      </c>
      <c r="AC2" s="320" t="s">
        <v>63</v>
      </c>
      <c r="AD2" s="320" t="s">
        <v>64</v>
      </c>
      <c r="AE2" s="320" t="s">
        <v>65</v>
      </c>
      <c r="AF2" s="320" t="s">
        <v>62</v>
      </c>
      <c r="AG2" s="320" t="s">
        <v>63</v>
      </c>
      <c r="AH2" s="320" t="s">
        <v>64</v>
      </c>
      <c r="AI2" s="320" t="s">
        <v>65</v>
      </c>
      <c r="AJ2" s="320" t="s">
        <v>62</v>
      </c>
      <c r="AK2" s="320" t="s">
        <v>63</v>
      </c>
      <c r="AL2" s="320" t="s">
        <v>64</v>
      </c>
      <c r="AM2" s="320" t="s">
        <v>65</v>
      </c>
      <c r="AN2" s="320" t="s">
        <v>62</v>
      </c>
      <c r="AO2" s="320" t="s">
        <v>63</v>
      </c>
      <c r="AP2" s="320" t="s">
        <v>64</v>
      </c>
      <c r="AQ2" s="320" t="s">
        <v>65</v>
      </c>
      <c r="AR2" s="320" t="s">
        <v>62</v>
      </c>
      <c r="AS2" s="320" t="s">
        <v>63</v>
      </c>
      <c r="AT2" s="320" t="s">
        <v>64</v>
      </c>
      <c r="AU2" s="320" t="s">
        <v>65</v>
      </c>
      <c r="AV2" s="320" t="s">
        <v>62</v>
      </c>
      <c r="AW2" s="320" t="s">
        <v>63</v>
      </c>
      <c r="AX2" s="320" t="s">
        <v>64</v>
      </c>
      <c r="AY2" s="320" t="s">
        <v>65</v>
      </c>
      <c r="AZ2" s="320" t="s">
        <v>62</v>
      </c>
      <c r="BA2" s="320" t="s">
        <v>63</v>
      </c>
      <c r="BB2" s="320" t="s">
        <v>64</v>
      </c>
      <c r="BC2" s="320" t="s">
        <v>65</v>
      </c>
      <c r="BD2" s="320" t="s">
        <v>62</v>
      </c>
      <c r="BE2" s="320" t="s">
        <v>63</v>
      </c>
      <c r="BF2" s="320" t="s">
        <v>64</v>
      </c>
      <c r="BG2" s="320" t="s">
        <v>65</v>
      </c>
      <c r="BH2" s="320" t="s">
        <v>62</v>
      </c>
      <c r="BI2" s="320" t="s">
        <v>63</v>
      </c>
      <c r="BJ2" s="320" t="s">
        <v>64</v>
      </c>
      <c r="BK2" s="320" t="s">
        <v>65</v>
      </c>
      <c r="BL2" s="320" t="s">
        <v>62</v>
      </c>
      <c r="BM2" s="320" t="s">
        <v>63</v>
      </c>
      <c r="BN2" s="320" t="s">
        <v>64</v>
      </c>
      <c r="BO2" s="320" t="s">
        <v>65</v>
      </c>
      <c r="BP2" s="320" t="s">
        <v>62</v>
      </c>
      <c r="BQ2" s="320" t="s">
        <v>63</v>
      </c>
      <c r="BR2" s="320" t="s">
        <v>64</v>
      </c>
      <c r="BS2" s="320" t="s">
        <v>65</v>
      </c>
      <c r="BT2" s="320" t="s">
        <v>62</v>
      </c>
      <c r="BU2" s="320" t="s">
        <v>63</v>
      </c>
      <c r="BV2" s="320" t="s">
        <v>64</v>
      </c>
      <c r="BW2" s="321" t="s">
        <v>65</v>
      </c>
    </row>
    <row r="3" spans="1:75" ht="14.5" customHeight="1">
      <c r="A3" s="387" t="s">
        <v>367</v>
      </c>
      <c r="B3" s="388"/>
      <c r="C3" s="388"/>
      <c r="D3" s="319"/>
      <c r="E3" s="291"/>
      <c r="F3" s="291"/>
      <c r="G3" s="292"/>
      <c r="H3" s="293"/>
      <c r="I3" s="291"/>
      <c r="J3" s="291"/>
      <c r="K3" s="292"/>
      <c r="L3" s="293"/>
      <c r="M3" s="291"/>
      <c r="N3" s="291"/>
      <c r="O3" s="292"/>
      <c r="P3" s="293"/>
      <c r="Q3" s="291"/>
      <c r="R3" s="291"/>
      <c r="S3" s="292"/>
      <c r="T3" s="293"/>
      <c r="U3" s="291"/>
      <c r="V3" s="291"/>
      <c r="W3" s="292"/>
      <c r="X3" s="293"/>
      <c r="Y3" s="291"/>
      <c r="Z3" s="291"/>
      <c r="AA3" s="292"/>
      <c r="AB3" s="293"/>
      <c r="AC3" s="291"/>
      <c r="AD3" s="291"/>
      <c r="AE3" s="292"/>
      <c r="AF3" s="293"/>
      <c r="AG3" s="291"/>
      <c r="AH3" s="291"/>
      <c r="AI3" s="292"/>
      <c r="AJ3" s="293"/>
      <c r="AK3" s="291"/>
      <c r="AL3" s="291"/>
      <c r="AM3" s="292"/>
      <c r="AN3" s="293"/>
      <c r="AO3" s="291"/>
      <c r="AP3" s="291"/>
      <c r="AQ3" s="292"/>
      <c r="AR3" s="293"/>
      <c r="AS3" s="291"/>
      <c r="AT3" s="291"/>
      <c r="AU3" s="292"/>
      <c r="AV3" s="293"/>
      <c r="AW3" s="291"/>
      <c r="AX3" s="291"/>
      <c r="AY3" s="292"/>
      <c r="AZ3" s="293"/>
      <c r="BA3" s="291"/>
      <c r="BB3" s="291"/>
      <c r="BC3" s="292"/>
      <c r="BD3" s="293"/>
      <c r="BE3" s="291"/>
      <c r="BF3" s="291"/>
      <c r="BG3" s="292"/>
      <c r="BH3" s="293"/>
      <c r="BI3" s="291"/>
      <c r="BJ3" s="291"/>
      <c r="BK3" s="292"/>
      <c r="BL3" s="293"/>
      <c r="BM3" s="291"/>
      <c r="BN3" s="291"/>
      <c r="BO3" s="292"/>
      <c r="BP3" s="293"/>
      <c r="BQ3" s="291"/>
      <c r="BR3" s="291"/>
      <c r="BS3" s="292"/>
      <c r="BT3" s="293"/>
      <c r="BU3" s="291"/>
      <c r="BV3" s="291"/>
      <c r="BW3" s="294"/>
    </row>
    <row r="4" spans="1:75">
      <c r="A4" s="239" t="s">
        <v>313</v>
      </c>
      <c r="B4" s="240">
        <v>1</v>
      </c>
      <c r="C4" s="241" t="s">
        <v>314</v>
      </c>
      <c r="D4" s="242"/>
      <c r="E4" s="243"/>
      <c r="F4" s="244"/>
      <c r="G4" s="245"/>
      <c r="H4" s="246"/>
      <c r="I4" s="247"/>
      <c r="J4" s="247"/>
      <c r="K4" s="248"/>
      <c r="L4" s="246"/>
      <c r="M4" s="247"/>
      <c r="N4" s="247"/>
      <c r="O4" s="248"/>
      <c r="P4" s="246"/>
      <c r="Q4" s="247"/>
      <c r="R4" s="247"/>
      <c r="S4" s="248"/>
      <c r="T4" s="246"/>
      <c r="U4" s="247"/>
      <c r="V4" s="247"/>
      <c r="W4" s="248"/>
      <c r="X4" s="246"/>
      <c r="Y4" s="247"/>
      <c r="Z4" s="247"/>
      <c r="AA4" s="248"/>
      <c r="AB4" s="246"/>
      <c r="AC4" s="247"/>
      <c r="AD4" s="247"/>
      <c r="AE4" s="248"/>
      <c r="AF4" s="246"/>
      <c r="AG4" s="247"/>
      <c r="AH4" s="247"/>
      <c r="AI4" s="248"/>
      <c r="AJ4" s="246"/>
      <c r="AK4" s="247"/>
      <c r="AL4" s="247"/>
      <c r="AM4" s="248"/>
      <c r="AN4" s="246"/>
      <c r="AO4" s="247"/>
      <c r="AP4" s="247"/>
      <c r="AQ4" s="248"/>
      <c r="AR4" s="246"/>
      <c r="AS4" s="247"/>
      <c r="AT4" s="247"/>
      <c r="AU4" s="248"/>
      <c r="AV4" s="246"/>
      <c r="AW4" s="247"/>
      <c r="AX4" s="247"/>
      <c r="AY4" s="248"/>
      <c r="AZ4" s="246"/>
      <c r="BA4" s="247"/>
      <c r="BB4" s="247"/>
      <c r="BC4" s="248"/>
      <c r="BD4" s="246"/>
      <c r="BE4" s="247"/>
      <c r="BF4" s="247"/>
      <c r="BG4" s="248"/>
      <c r="BH4" s="246"/>
      <c r="BI4" s="247"/>
      <c r="BJ4" s="247"/>
      <c r="BK4" s="248"/>
      <c r="BL4" s="246"/>
      <c r="BM4" s="247"/>
      <c r="BN4" s="247"/>
      <c r="BO4" s="248"/>
      <c r="BP4" s="246"/>
      <c r="BQ4" s="247"/>
      <c r="BR4" s="247"/>
      <c r="BS4" s="248"/>
      <c r="BT4" s="246"/>
      <c r="BU4" s="247"/>
      <c r="BV4" s="247"/>
      <c r="BW4" s="249"/>
    </row>
    <row r="5" spans="1:75">
      <c r="A5" s="389" t="s">
        <v>315</v>
      </c>
      <c r="B5" s="250">
        <v>2</v>
      </c>
      <c r="C5" s="251" t="s">
        <v>316</v>
      </c>
      <c r="D5" s="246"/>
      <c r="E5" s="243"/>
      <c r="F5" s="243"/>
      <c r="G5" s="252"/>
      <c r="H5" s="242"/>
      <c r="I5" s="243"/>
      <c r="J5" s="243"/>
      <c r="K5" s="252"/>
      <c r="L5" s="242"/>
      <c r="M5" s="243"/>
      <c r="N5" s="243"/>
      <c r="O5" s="252"/>
      <c r="P5" s="242"/>
      <c r="Q5" s="243"/>
      <c r="R5" s="243"/>
      <c r="S5" s="252"/>
      <c r="T5" s="246"/>
      <c r="U5" s="247"/>
      <c r="V5" s="247"/>
      <c r="W5" s="248"/>
      <c r="X5" s="246"/>
      <c r="Y5" s="247"/>
      <c r="Z5" s="247"/>
      <c r="AA5" s="248"/>
      <c r="AB5" s="246"/>
      <c r="AC5" s="247"/>
      <c r="AD5" s="247"/>
      <c r="AE5" s="248"/>
      <c r="AF5" s="246"/>
      <c r="AG5" s="247"/>
      <c r="AH5" s="247"/>
      <c r="AI5" s="248"/>
      <c r="AJ5" s="246"/>
      <c r="AK5" s="247"/>
      <c r="AL5" s="247"/>
      <c r="AM5" s="248"/>
      <c r="AN5" s="246"/>
      <c r="AO5" s="247"/>
      <c r="AP5" s="247"/>
      <c r="AQ5" s="248"/>
      <c r="AR5" s="246"/>
      <c r="AS5" s="247"/>
      <c r="AT5" s="247"/>
      <c r="AU5" s="248"/>
      <c r="AV5" s="246"/>
      <c r="AW5" s="247"/>
      <c r="AX5" s="247"/>
      <c r="AY5" s="248"/>
      <c r="AZ5" s="246"/>
      <c r="BA5" s="247"/>
      <c r="BB5" s="247"/>
      <c r="BC5" s="248"/>
      <c r="BD5" s="246"/>
      <c r="BE5" s="247"/>
      <c r="BF5" s="247"/>
      <c r="BG5" s="248"/>
      <c r="BH5" s="246"/>
      <c r="BI5" s="247"/>
      <c r="BJ5" s="247"/>
      <c r="BK5" s="248"/>
      <c r="BL5" s="246"/>
      <c r="BM5" s="247"/>
      <c r="BN5" s="247"/>
      <c r="BO5" s="248"/>
      <c r="BP5" s="246"/>
      <c r="BQ5" s="247"/>
      <c r="BR5" s="247"/>
      <c r="BS5" s="248"/>
      <c r="BT5" s="246"/>
      <c r="BU5" s="247"/>
      <c r="BV5" s="247"/>
      <c r="BW5" s="249"/>
    </row>
    <row r="6" spans="1:75">
      <c r="A6" s="389"/>
      <c r="B6" s="240">
        <v>3</v>
      </c>
      <c r="C6" s="241" t="s">
        <v>317</v>
      </c>
      <c r="D6" s="253"/>
      <c r="E6" s="247"/>
      <c r="F6" s="247"/>
      <c r="G6" s="248"/>
      <c r="H6" s="246"/>
      <c r="I6" s="247"/>
      <c r="J6" s="247"/>
      <c r="K6" s="248"/>
      <c r="L6" s="246"/>
      <c r="M6" s="247"/>
      <c r="N6" s="247"/>
      <c r="O6" s="248"/>
      <c r="P6" s="246"/>
      <c r="Q6" s="247"/>
      <c r="R6" s="247"/>
      <c r="S6" s="248"/>
      <c r="T6" s="242"/>
      <c r="U6" s="243"/>
      <c r="V6" s="247"/>
      <c r="W6" s="248"/>
      <c r="X6" s="246"/>
      <c r="Y6" s="247"/>
      <c r="Z6" s="247"/>
      <c r="AA6" s="248"/>
      <c r="AB6" s="246"/>
      <c r="AC6" s="247"/>
      <c r="AD6" s="247"/>
      <c r="AE6" s="248"/>
      <c r="AF6" s="246"/>
      <c r="AG6" s="247"/>
      <c r="AH6" s="247"/>
      <c r="AI6" s="248"/>
      <c r="AJ6" s="246"/>
      <c r="AK6" s="247"/>
      <c r="AL6" s="247"/>
      <c r="AM6" s="248"/>
      <c r="AN6" s="246"/>
      <c r="AO6" s="247"/>
      <c r="AP6" s="247"/>
      <c r="AQ6" s="248"/>
      <c r="AR6" s="246"/>
      <c r="AS6" s="247"/>
      <c r="AT6" s="247"/>
      <c r="AU6" s="248"/>
      <c r="AV6" s="246"/>
      <c r="AW6" s="247"/>
      <c r="AX6" s="247"/>
      <c r="AY6" s="248"/>
      <c r="AZ6" s="246"/>
      <c r="BA6" s="247"/>
      <c r="BB6" s="247"/>
      <c r="BC6" s="248"/>
      <c r="BD6" s="246"/>
      <c r="BE6" s="247"/>
      <c r="BF6" s="247"/>
      <c r="BG6" s="248"/>
      <c r="BH6" s="246"/>
      <c r="BI6" s="247"/>
      <c r="BJ6" s="247"/>
      <c r="BK6" s="248"/>
      <c r="BL6" s="246"/>
      <c r="BM6" s="247"/>
      <c r="BN6" s="247"/>
      <c r="BO6" s="248"/>
      <c r="BP6" s="246"/>
      <c r="BQ6" s="247"/>
      <c r="BR6" s="247"/>
      <c r="BS6" s="248"/>
      <c r="BT6" s="246"/>
      <c r="BU6" s="247"/>
      <c r="BV6" s="247"/>
      <c r="BW6" s="249"/>
    </row>
    <row r="7" spans="1:75">
      <c r="A7" s="390" t="s">
        <v>369</v>
      </c>
      <c r="B7" s="391"/>
      <c r="C7" s="391"/>
      <c r="D7" s="254"/>
      <c r="E7" s="255"/>
      <c r="F7" s="255"/>
      <c r="G7" s="256"/>
      <c r="H7" s="257"/>
      <c r="I7" s="255"/>
      <c r="J7" s="255"/>
      <c r="K7" s="256"/>
      <c r="L7" s="257"/>
      <c r="M7" s="255"/>
      <c r="N7" s="255"/>
      <c r="O7" s="256"/>
      <c r="P7" s="257"/>
      <c r="Q7" s="255"/>
      <c r="R7" s="255"/>
      <c r="S7" s="256"/>
      <c r="T7" s="257"/>
      <c r="U7" s="255"/>
      <c r="V7" s="255"/>
      <c r="W7" s="256"/>
      <c r="X7" s="257"/>
      <c r="Y7" s="255"/>
      <c r="Z7" s="255"/>
      <c r="AA7" s="256"/>
      <c r="AB7" s="257"/>
      <c r="AC7" s="255"/>
      <c r="AD7" s="255"/>
      <c r="AE7" s="256"/>
      <c r="AF7" s="257"/>
      <c r="AG7" s="255"/>
      <c r="AH7" s="255"/>
      <c r="AI7" s="256"/>
      <c r="AJ7" s="257"/>
      <c r="AK7" s="255"/>
      <c r="AL7" s="255"/>
      <c r="AM7" s="256"/>
      <c r="AN7" s="257"/>
      <c r="AO7" s="255"/>
      <c r="AP7" s="255"/>
      <c r="AQ7" s="256"/>
      <c r="AR7" s="257"/>
      <c r="AS7" s="255"/>
      <c r="AT7" s="255"/>
      <c r="AU7" s="256"/>
      <c r="AV7" s="257"/>
      <c r="AW7" s="255"/>
      <c r="AX7" s="255"/>
      <c r="AY7" s="256"/>
      <c r="AZ7" s="257"/>
      <c r="BA7" s="255"/>
      <c r="BB7" s="255"/>
      <c r="BC7" s="256"/>
      <c r="BD7" s="257"/>
      <c r="BE7" s="255"/>
      <c r="BF7" s="255"/>
      <c r="BG7" s="256"/>
      <c r="BH7" s="257"/>
      <c r="BI7" s="255"/>
      <c r="BJ7" s="255"/>
      <c r="BK7" s="256"/>
      <c r="BL7" s="257"/>
      <c r="BM7" s="255"/>
      <c r="BN7" s="255"/>
      <c r="BO7" s="256"/>
      <c r="BP7" s="257"/>
      <c r="BQ7" s="255"/>
      <c r="BR7" s="255"/>
      <c r="BS7" s="256"/>
      <c r="BT7" s="257"/>
      <c r="BU7" s="255"/>
      <c r="BV7" s="255"/>
      <c r="BW7" s="258"/>
    </row>
    <row r="8" spans="1:75">
      <c r="A8" s="259" t="s">
        <v>318</v>
      </c>
      <c r="B8" s="240">
        <v>5</v>
      </c>
      <c r="C8" s="251" t="s">
        <v>319</v>
      </c>
      <c r="D8" s="253"/>
      <c r="E8" s="247"/>
      <c r="F8" s="247"/>
      <c r="G8" s="248"/>
      <c r="H8" s="246"/>
      <c r="I8" s="243"/>
      <c r="J8" s="243"/>
      <c r="K8" s="252"/>
      <c r="L8" s="242"/>
      <c r="M8" s="243"/>
      <c r="N8" s="243"/>
      <c r="O8" s="252"/>
      <c r="P8" s="242"/>
      <c r="Q8" s="243"/>
      <c r="R8" s="243"/>
      <c r="S8" s="248"/>
      <c r="T8" s="246"/>
      <c r="U8" s="247"/>
      <c r="V8" s="247"/>
      <c r="W8" s="248"/>
      <c r="X8" s="246"/>
      <c r="Y8" s="247"/>
      <c r="Z8" s="247"/>
      <c r="AA8" s="248"/>
      <c r="AB8" s="246"/>
      <c r="AC8" s="247"/>
      <c r="AD8" s="247"/>
      <c r="AE8" s="248"/>
      <c r="AF8" s="246"/>
      <c r="AG8" s="247"/>
      <c r="AH8" s="247"/>
      <c r="AI8" s="248"/>
      <c r="AJ8" s="246"/>
      <c r="AK8" s="247"/>
      <c r="AL8" s="247"/>
      <c r="AM8" s="248"/>
      <c r="AN8" s="246"/>
      <c r="AO8" s="247"/>
      <c r="AP8" s="247"/>
      <c r="AQ8" s="248"/>
      <c r="AR8" s="246"/>
      <c r="AS8" s="247"/>
      <c r="AT8" s="247"/>
      <c r="AU8" s="248"/>
      <c r="AV8" s="246"/>
      <c r="AW8" s="247"/>
      <c r="AX8" s="247"/>
      <c r="AY8" s="248"/>
      <c r="AZ8" s="246"/>
      <c r="BA8" s="247"/>
      <c r="BB8" s="247"/>
      <c r="BC8" s="248"/>
      <c r="BD8" s="246"/>
      <c r="BE8" s="247"/>
      <c r="BF8" s="247"/>
      <c r="BG8" s="248"/>
      <c r="BH8" s="246"/>
      <c r="BI8" s="247"/>
      <c r="BJ8" s="247"/>
      <c r="BK8" s="248"/>
      <c r="BL8" s="246"/>
      <c r="BM8" s="247"/>
      <c r="BN8" s="247"/>
      <c r="BO8" s="248"/>
      <c r="BP8" s="246"/>
      <c r="BQ8" s="247"/>
      <c r="BR8" s="247"/>
      <c r="BS8" s="248"/>
      <c r="BT8" s="246"/>
      <c r="BU8" s="247"/>
      <c r="BV8" s="247"/>
      <c r="BW8" s="249"/>
    </row>
    <row r="9" spans="1:75">
      <c r="A9" s="259"/>
      <c r="B9" s="240">
        <v>6</v>
      </c>
      <c r="C9" s="241" t="s">
        <v>320</v>
      </c>
      <c r="D9" s="253"/>
      <c r="E9" s="247"/>
      <c r="F9" s="247"/>
      <c r="G9" s="247"/>
      <c r="H9" s="246"/>
      <c r="I9" s="247"/>
      <c r="J9" s="243"/>
      <c r="K9" s="252"/>
      <c r="L9" s="242"/>
      <c r="M9" s="243"/>
      <c r="N9" s="243"/>
      <c r="O9" s="252"/>
      <c r="P9" s="242"/>
      <c r="Q9" s="243"/>
      <c r="R9" s="243"/>
      <c r="S9" s="252"/>
      <c r="T9" s="246"/>
      <c r="U9" s="247"/>
      <c r="V9" s="247"/>
      <c r="W9" s="248"/>
      <c r="X9" s="246"/>
      <c r="Y9" s="247"/>
      <c r="Z9" s="247"/>
      <c r="AA9" s="248"/>
      <c r="AB9" s="246"/>
      <c r="AC9" s="247"/>
      <c r="AD9" s="247"/>
      <c r="AE9" s="248"/>
      <c r="AF9" s="246"/>
      <c r="AG9" s="247"/>
      <c r="AH9" s="247"/>
      <c r="AI9" s="248"/>
      <c r="AJ9" s="246"/>
      <c r="AK9" s="247"/>
      <c r="AL9" s="247"/>
      <c r="AM9" s="248"/>
      <c r="AN9" s="246"/>
      <c r="AO9" s="247"/>
      <c r="AP9" s="247"/>
      <c r="AQ9" s="248"/>
      <c r="AR9" s="246"/>
      <c r="AS9" s="247"/>
      <c r="AT9" s="247"/>
      <c r="AU9" s="248"/>
      <c r="AV9" s="246"/>
      <c r="AW9" s="247"/>
      <c r="AX9" s="247"/>
      <c r="AY9" s="248"/>
      <c r="AZ9" s="246"/>
      <c r="BA9" s="247"/>
      <c r="BB9" s="247"/>
      <c r="BC9" s="248"/>
      <c r="BD9" s="246"/>
      <c r="BE9" s="247"/>
      <c r="BF9" s="247"/>
      <c r="BG9" s="248"/>
      <c r="BH9" s="246"/>
      <c r="BI9" s="247"/>
      <c r="BJ9" s="247"/>
      <c r="BK9" s="248"/>
      <c r="BL9" s="246"/>
      <c r="BM9" s="247"/>
      <c r="BN9" s="247"/>
      <c r="BO9" s="248"/>
      <c r="BP9" s="246"/>
      <c r="BQ9" s="247"/>
      <c r="BR9" s="247"/>
      <c r="BS9" s="248"/>
      <c r="BT9" s="246"/>
      <c r="BU9" s="247"/>
      <c r="BV9" s="247"/>
      <c r="BW9" s="249"/>
    </row>
    <row r="10" spans="1:75">
      <c r="A10" s="239" t="s">
        <v>321</v>
      </c>
      <c r="B10" s="240">
        <v>4</v>
      </c>
      <c r="C10" s="241" t="s">
        <v>322</v>
      </c>
      <c r="D10" s="253"/>
      <c r="E10" s="247"/>
      <c r="F10" s="247"/>
      <c r="G10" s="248"/>
      <c r="H10" s="246"/>
      <c r="I10" s="247"/>
      <c r="J10" s="247"/>
      <c r="K10" s="248"/>
      <c r="L10" s="246"/>
      <c r="M10" s="247"/>
      <c r="N10" s="243"/>
      <c r="O10" s="252"/>
      <c r="P10" s="242"/>
      <c r="Q10" s="243"/>
      <c r="R10" s="243"/>
      <c r="S10" s="252"/>
      <c r="T10" s="242"/>
      <c r="U10" s="243"/>
      <c r="V10" s="247"/>
      <c r="W10" s="248"/>
      <c r="X10" s="246"/>
      <c r="Y10" s="247"/>
      <c r="Z10" s="247"/>
      <c r="AA10" s="248"/>
      <c r="AB10" s="246"/>
      <c r="AC10" s="247"/>
      <c r="AD10" s="247"/>
      <c r="AE10" s="248"/>
      <c r="AF10" s="246"/>
      <c r="AG10" s="247"/>
      <c r="AH10" s="247"/>
      <c r="AI10" s="248"/>
      <c r="AJ10" s="246"/>
      <c r="AK10" s="247"/>
      <c r="AL10" s="247"/>
      <c r="AM10" s="248"/>
      <c r="AN10" s="246"/>
      <c r="AO10" s="247"/>
      <c r="AP10" s="247"/>
      <c r="AQ10" s="248"/>
      <c r="AR10" s="246"/>
      <c r="AS10" s="247"/>
      <c r="AT10" s="247"/>
      <c r="AU10" s="248"/>
      <c r="AV10" s="246"/>
      <c r="AW10" s="247"/>
      <c r="AX10" s="247"/>
      <c r="AY10" s="248"/>
      <c r="AZ10" s="246"/>
      <c r="BA10" s="247"/>
      <c r="BB10" s="247"/>
      <c r="BC10" s="248"/>
      <c r="BD10" s="246"/>
      <c r="BE10" s="247"/>
      <c r="BF10" s="247"/>
      <c r="BG10" s="248"/>
      <c r="BH10" s="246"/>
      <c r="BI10" s="247"/>
      <c r="BJ10" s="247"/>
      <c r="BK10" s="248"/>
      <c r="BL10" s="246"/>
      <c r="BM10" s="247"/>
      <c r="BN10" s="247"/>
      <c r="BO10" s="248"/>
      <c r="BP10" s="246"/>
      <c r="BQ10" s="247"/>
      <c r="BR10" s="247"/>
      <c r="BS10" s="248"/>
      <c r="BT10" s="246"/>
      <c r="BU10" s="247"/>
      <c r="BV10" s="247"/>
      <c r="BW10" s="249"/>
    </row>
    <row r="11" spans="1:75" ht="14.5" thickBot="1">
      <c r="A11" s="259"/>
      <c r="B11" s="240">
        <v>7</v>
      </c>
      <c r="C11" s="251" t="s">
        <v>323</v>
      </c>
      <c r="D11" s="260"/>
      <c r="E11" s="261"/>
      <c r="F11" s="261"/>
      <c r="G11" s="262"/>
      <c r="H11" s="263"/>
      <c r="I11" s="261"/>
      <c r="J11" s="261"/>
      <c r="K11" s="261"/>
      <c r="L11" s="263"/>
      <c r="M11" s="261"/>
      <c r="N11" s="261"/>
      <c r="O11" s="262"/>
      <c r="P11" s="263"/>
      <c r="Q11" s="261"/>
      <c r="R11" s="261"/>
      <c r="S11" s="262"/>
      <c r="T11" s="264"/>
      <c r="U11" s="265"/>
      <c r="V11" s="261"/>
      <c r="W11" s="262"/>
      <c r="X11" s="263"/>
      <c r="Y11" s="261"/>
      <c r="Z11" s="261"/>
      <c r="AA11" s="262"/>
      <c r="AB11" s="263"/>
      <c r="AC11" s="261"/>
      <c r="AD11" s="261"/>
      <c r="AE11" s="262"/>
      <c r="AF11" s="263"/>
      <c r="AG11" s="261"/>
      <c r="AH11" s="261"/>
      <c r="AI11" s="262"/>
      <c r="AJ11" s="263"/>
      <c r="AK11" s="261"/>
      <c r="AL11" s="261"/>
      <c r="AM11" s="262"/>
      <c r="AN11" s="263"/>
      <c r="AO11" s="261"/>
      <c r="AP11" s="261"/>
      <c r="AQ11" s="262"/>
      <c r="AR11" s="263"/>
      <c r="AS11" s="261"/>
      <c r="AT11" s="261"/>
      <c r="AU11" s="262"/>
      <c r="AV11" s="263"/>
      <c r="AW11" s="261"/>
      <c r="AX11" s="261"/>
      <c r="AY11" s="262"/>
      <c r="AZ11" s="263"/>
      <c r="BA11" s="261"/>
      <c r="BB11" s="261"/>
      <c r="BC11" s="262"/>
      <c r="BD11" s="263"/>
      <c r="BE11" s="261"/>
      <c r="BF11" s="261"/>
      <c r="BG11" s="262"/>
      <c r="BH11" s="263"/>
      <c r="BI11" s="261"/>
      <c r="BJ11" s="261"/>
      <c r="BK11" s="262"/>
      <c r="BL11" s="263"/>
      <c r="BM11" s="261"/>
      <c r="BN11" s="261"/>
      <c r="BO11" s="262"/>
      <c r="BP11" s="263"/>
      <c r="BQ11" s="261"/>
      <c r="BR11" s="261"/>
      <c r="BS11" s="262"/>
      <c r="BT11" s="263"/>
      <c r="BU11" s="261"/>
      <c r="BV11" s="261"/>
      <c r="BW11" s="266"/>
    </row>
    <row r="12" spans="1:75" ht="14.5" thickBot="1">
      <c r="A12" s="267" t="s">
        <v>364</v>
      </c>
      <c r="B12" s="268"/>
      <c r="C12" s="269" t="s">
        <v>383</v>
      </c>
      <c r="D12" s="315"/>
      <c r="E12" s="271"/>
      <c r="F12" s="271"/>
      <c r="G12" s="272"/>
      <c r="H12" s="273"/>
      <c r="I12" s="271"/>
      <c r="J12" s="271"/>
      <c r="K12" s="272"/>
      <c r="L12" s="273"/>
      <c r="M12" s="271"/>
      <c r="N12" s="271"/>
      <c r="O12" s="272"/>
      <c r="P12" s="273"/>
      <c r="Q12" s="271"/>
      <c r="R12" s="271"/>
      <c r="S12" s="272"/>
      <c r="T12" s="274"/>
      <c r="U12" s="275"/>
      <c r="V12" s="271"/>
      <c r="W12" s="272"/>
      <c r="X12" s="273"/>
      <c r="Y12" s="271"/>
      <c r="Z12" s="271"/>
      <c r="AA12" s="272"/>
      <c r="AB12" s="273"/>
      <c r="AC12" s="271"/>
      <c r="AD12" s="271"/>
      <c r="AE12" s="272"/>
      <c r="AF12" s="273"/>
      <c r="AG12" s="271"/>
      <c r="AH12" s="271"/>
      <c r="AI12" s="272"/>
      <c r="AJ12" s="273"/>
      <c r="AK12" s="271"/>
      <c r="AL12" s="271"/>
      <c r="AM12" s="272"/>
      <c r="AN12" s="273"/>
      <c r="AO12" s="271"/>
      <c r="AP12" s="271"/>
      <c r="AQ12" s="272"/>
      <c r="AR12" s="273"/>
      <c r="AS12" s="271"/>
      <c r="AT12" s="271"/>
      <c r="AU12" s="272"/>
      <c r="AV12" s="273"/>
      <c r="AW12" s="271"/>
      <c r="AX12" s="271"/>
      <c r="AY12" s="272"/>
      <c r="AZ12" s="273"/>
      <c r="BA12" s="271"/>
      <c r="BB12" s="271"/>
      <c r="BC12" s="272"/>
      <c r="BD12" s="273"/>
      <c r="BE12" s="271"/>
      <c r="BF12" s="271"/>
      <c r="BG12" s="272"/>
      <c r="BH12" s="273"/>
      <c r="BI12" s="271"/>
      <c r="BJ12" s="271"/>
      <c r="BK12" s="272"/>
      <c r="BL12" s="273"/>
      <c r="BM12" s="271"/>
      <c r="BN12" s="271"/>
      <c r="BO12" s="272"/>
      <c r="BP12" s="273"/>
      <c r="BQ12" s="271"/>
      <c r="BR12" s="271"/>
      <c r="BS12" s="272"/>
      <c r="BT12" s="273"/>
      <c r="BU12" s="271"/>
      <c r="BV12" s="271"/>
      <c r="BW12" s="276"/>
    </row>
    <row r="13" spans="1:75">
      <c r="A13" s="387" t="s">
        <v>324</v>
      </c>
      <c r="B13" s="388"/>
      <c r="C13" s="392"/>
      <c r="D13" s="277"/>
      <c r="E13" s="235"/>
      <c r="F13" s="235"/>
      <c r="G13" s="236"/>
      <c r="H13" s="237"/>
      <c r="I13" s="235"/>
      <c r="J13" s="235"/>
      <c r="K13" s="236"/>
      <c r="L13" s="237"/>
      <c r="M13" s="235"/>
      <c r="N13" s="235"/>
      <c r="O13" s="236"/>
      <c r="P13" s="237"/>
      <c r="Q13" s="235"/>
      <c r="R13" s="235"/>
      <c r="S13" s="236"/>
      <c r="T13" s="237"/>
      <c r="U13" s="235"/>
      <c r="V13" s="235"/>
      <c r="W13" s="236"/>
      <c r="X13" s="237"/>
      <c r="Y13" s="235"/>
      <c r="Z13" s="235"/>
      <c r="AA13" s="236"/>
      <c r="AB13" s="237"/>
      <c r="AC13" s="235"/>
      <c r="AD13" s="235"/>
      <c r="AE13" s="236"/>
      <c r="AF13" s="237"/>
      <c r="AG13" s="235"/>
      <c r="AH13" s="235"/>
      <c r="AI13" s="236"/>
      <c r="AJ13" s="237"/>
      <c r="AK13" s="235"/>
      <c r="AL13" s="235"/>
      <c r="AM13" s="236"/>
      <c r="AN13" s="237"/>
      <c r="AO13" s="235"/>
      <c r="AP13" s="235"/>
      <c r="AQ13" s="236"/>
      <c r="AR13" s="237"/>
      <c r="AS13" s="235"/>
      <c r="AT13" s="235"/>
      <c r="AU13" s="236"/>
      <c r="AV13" s="237"/>
      <c r="AW13" s="235"/>
      <c r="AX13" s="235"/>
      <c r="AY13" s="236"/>
      <c r="AZ13" s="237"/>
      <c r="BA13" s="235"/>
      <c r="BB13" s="235"/>
      <c r="BC13" s="236"/>
      <c r="BD13" s="237"/>
      <c r="BE13" s="235"/>
      <c r="BF13" s="235"/>
      <c r="BG13" s="236"/>
      <c r="BH13" s="237"/>
      <c r="BI13" s="235"/>
      <c r="BJ13" s="235"/>
      <c r="BK13" s="236"/>
      <c r="BL13" s="237"/>
      <c r="BM13" s="235"/>
      <c r="BN13" s="235"/>
      <c r="BO13" s="236"/>
      <c r="BP13" s="237"/>
      <c r="BQ13" s="235"/>
      <c r="BR13" s="235"/>
      <c r="BS13" s="236"/>
      <c r="BT13" s="237"/>
      <c r="BU13" s="235"/>
      <c r="BV13" s="235"/>
      <c r="BW13" s="238"/>
    </row>
    <row r="14" spans="1:75">
      <c r="A14" s="389" t="s">
        <v>315</v>
      </c>
      <c r="B14" s="250">
        <v>8</v>
      </c>
      <c r="C14" s="251" t="s">
        <v>325</v>
      </c>
      <c r="D14" s="246"/>
      <c r="E14" s="247"/>
      <c r="F14" s="247"/>
      <c r="G14" s="248"/>
      <c r="H14" s="246"/>
      <c r="I14" s="247"/>
      <c r="J14" s="247"/>
      <c r="K14" s="248"/>
      <c r="L14" s="246"/>
      <c r="M14" s="247"/>
      <c r="N14" s="247"/>
      <c r="O14" s="248"/>
      <c r="P14" s="246"/>
      <c r="Q14" s="247"/>
      <c r="R14" s="247"/>
      <c r="S14" s="248"/>
      <c r="T14" s="246"/>
      <c r="U14" s="247"/>
      <c r="V14" s="243"/>
      <c r="W14" s="252"/>
      <c r="X14" s="242"/>
      <c r="Y14" s="243"/>
      <c r="Z14" s="243"/>
      <c r="AA14" s="252"/>
      <c r="AB14" s="242"/>
      <c r="AC14" s="243"/>
      <c r="AD14" s="243"/>
      <c r="AE14" s="252"/>
      <c r="AF14" s="242"/>
      <c r="AG14" s="243"/>
      <c r="AH14" s="247"/>
      <c r="AI14" s="248"/>
      <c r="AJ14" s="246"/>
      <c r="AK14" s="247"/>
      <c r="AL14" s="247"/>
      <c r="AM14" s="248"/>
      <c r="AN14" s="246"/>
      <c r="AO14" s="247"/>
      <c r="AP14" s="247"/>
      <c r="AQ14" s="248"/>
      <c r="AR14" s="246"/>
      <c r="AS14" s="247"/>
      <c r="AT14" s="247"/>
      <c r="AU14" s="248"/>
      <c r="AV14" s="246"/>
      <c r="AW14" s="247"/>
      <c r="AX14" s="247"/>
      <c r="AY14" s="248"/>
      <c r="AZ14" s="246"/>
      <c r="BA14" s="247"/>
      <c r="BB14" s="247"/>
      <c r="BC14" s="248"/>
      <c r="BD14" s="246"/>
      <c r="BE14" s="247"/>
      <c r="BF14" s="247"/>
      <c r="BG14" s="248"/>
      <c r="BH14" s="246"/>
      <c r="BI14" s="247"/>
      <c r="BJ14" s="247"/>
      <c r="BK14" s="248"/>
      <c r="BL14" s="246"/>
      <c r="BM14" s="247"/>
      <c r="BN14" s="247"/>
      <c r="BO14" s="248"/>
      <c r="BP14" s="246"/>
      <c r="BQ14" s="247"/>
      <c r="BR14" s="247"/>
      <c r="BS14" s="248"/>
      <c r="BT14" s="246"/>
      <c r="BU14" s="247"/>
      <c r="BV14" s="247"/>
      <c r="BW14" s="249"/>
    </row>
    <row r="15" spans="1:75">
      <c r="A15" s="389"/>
      <c r="B15" s="240">
        <v>9</v>
      </c>
      <c r="C15" s="241" t="s">
        <v>326</v>
      </c>
      <c r="D15" s="253"/>
      <c r="E15" s="247"/>
      <c r="F15" s="247"/>
      <c r="G15" s="248"/>
      <c r="H15" s="246"/>
      <c r="I15" s="247"/>
      <c r="J15" s="247"/>
      <c r="K15" s="248"/>
      <c r="L15" s="246"/>
      <c r="M15" s="247"/>
      <c r="N15" s="247"/>
      <c r="O15" s="248"/>
      <c r="P15" s="246"/>
      <c r="Q15" s="247"/>
      <c r="R15" s="247"/>
      <c r="S15" s="248"/>
      <c r="T15" s="246"/>
      <c r="U15" s="247"/>
      <c r="V15" s="247"/>
      <c r="W15" s="248"/>
      <c r="X15" s="246"/>
      <c r="Y15" s="247"/>
      <c r="Z15" s="247"/>
      <c r="AA15" s="248"/>
      <c r="AB15" s="246"/>
      <c r="AC15" s="247"/>
      <c r="AD15" s="247"/>
      <c r="AE15" s="248"/>
      <c r="AF15" s="246"/>
      <c r="AG15" s="243"/>
      <c r="AH15" s="247"/>
      <c r="AI15" s="248"/>
      <c r="AJ15" s="246"/>
      <c r="AK15" s="247"/>
      <c r="AL15" s="247"/>
      <c r="AM15" s="248"/>
      <c r="AN15" s="246"/>
      <c r="AO15" s="247"/>
      <c r="AP15" s="247"/>
      <c r="AQ15" s="248"/>
      <c r="AR15" s="246"/>
      <c r="AS15" s="247"/>
      <c r="AT15" s="247"/>
      <c r="AU15" s="248"/>
      <c r="AV15" s="246"/>
      <c r="AW15" s="247"/>
      <c r="AX15" s="247"/>
      <c r="AY15" s="248"/>
      <c r="AZ15" s="246"/>
      <c r="BA15" s="247"/>
      <c r="BB15" s="247"/>
      <c r="BC15" s="248"/>
      <c r="BD15" s="246"/>
      <c r="BE15" s="261"/>
      <c r="BF15" s="247"/>
      <c r="BG15" s="248"/>
      <c r="BH15" s="246"/>
      <c r="BI15" s="247"/>
      <c r="BJ15" s="247"/>
      <c r="BK15" s="248"/>
      <c r="BL15" s="246"/>
      <c r="BM15" s="247"/>
      <c r="BN15" s="247"/>
      <c r="BO15" s="248"/>
      <c r="BP15" s="246"/>
      <c r="BQ15" s="247"/>
      <c r="BR15" s="247"/>
      <c r="BS15" s="248"/>
      <c r="BT15" s="246"/>
      <c r="BU15" s="247"/>
      <c r="BV15" s="247"/>
      <c r="BW15" s="249"/>
    </row>
    <row r="16" spans="1:75">
      <c r="A16" s="390" t="s">
        <v>368</v>
      </c>
      <c r="B16" s="391"/>
      <c r="C16" s="391"/>
      <c r="D16" s="254"/>
      <c r="E16" s="255"/>
      <c r="F16" s="255"/>
      <c r="G16" s="256"/>
      <c r="H16" s="257"/>
      <c r="I16" s="255"/>
      <c r="J16" s="255"/>
      <c r="K16" s="256"/>
      <c r="L16" s="257"/>
      <c r="M16" s="255"/>
      <c r="N16" s="255"/>
      <c r="O16" s="256"/>
      <c r="P16" s="257"/>
      <c r="Q16" s="255"/>
      <c r="R16" s="255"/>
      <c r="S16" s="256"/>
      <c r="T16" s="257"/>
      <c r="U16" s="255"/>
      <c r="V16" s="255"/>
      <c r="W16" s="256"/>
      <c r="X16" s="257"/>
      <c r="Y16" s="255"/>
      <c r="Z16" s="255"/>
      <c r="AA16" s="256"/>
      <c r="AB16" s="257"/>
      <c r="AC16" s="255"/>
      <c r="AD16" s="255"/>
      <c r="AE16" s="256"/>
      <c r="AF16" s="257"/>
      <c r="AG16" s="255"/>
      <c r="AH16" s="255"/>
      <c r="AI16" s="256"/>
      <c r="AJ16" s="257"/>
      <c r="AK16" s="255"/>
      <c r="AL16" s="255"/>
      <c r="AM16" s="256"/>
      <c r="AN16" s="257"/>
      <c r="AO16" s="255"/>
      <c r="AP16" s="255"/>
      <c r="AQ16" s="256"/>
      <c r="AR16" s="257"/>
      <c r="AS16" s="255"/>
      <c r="AT16" s="255"/>
      <c r="AU16" s="256"/>
      <c r="AV16" s="257"/>
      <c r="AW16" s="255"/>
      <c r="AX16" s="255"/>
      <c r="AY16" s="256"/>
      <c r="AZ16" s="257"/>
      <c r="BA16" s="255"/>
      <c r="BB16" s="255"/>
      <c r="BC16" s="256"/>
      <c r="BD16" s="257"/>
      <c r="BE16" s="255"/>
      <c r="BF16" s="255"/>
      <c r="BG16" s="256"/>
      <c r="BH16" s="257"/>
      <c r="BI16" s="255"/>
      <c r="BJ16" s="255"/>
      <c r="BK16" s="256"/>
      <c r="BL16" s="257"/>
      <c r="BM16" s="255"/>
      <c r="BN16" s="255"/>
      <c r="BO16" s="256"/>
      <c r="BP16" s="257"/>
      <c r="BQ16" s="255"/>
      <c r="BR16" s="255"/>
      <c r="BS16" s="256"/>
      <c r="BT16" s="257"/>
      <c r="BU16" s="255"/>
      <c r="BV16" s="255"/>
      <c r="BW16" s="258"/>
    </row>
    <row r="17" spans="1:75">
      <c r="A17" s="393" t="s">
        <v>318</v>
      </c>
      <c r="B17" s="240">
        <v>10</v>
      </c>
      <c r="C17" s="251" t="s">
        <v>327</v>
      </c>
      <c r="D17" s="253"/>
      <c r="E17" s="247"/>
      <c r="F17" s="247"/>
      <c r="G17" s="248"/>
      <c r="H17" s="246"/>
      <c r="I17" s="247"/>
      <c r="J17" s="247"/>
      <c r="K17" s="248"/>
      <c r="L17" s="246"/>
      <c r="M17" s="247"/>
      <c r="N17" s="247"/>
      <c r="O17" s="248"/>
      <c r="P17" s="246"/>
      <c r="Q17" s="247"/>
      <c r="R17" s="247"/>
      <c r="S17" s="248"/>
      <c r="T17" s="246"/>
      <c r="U17" s="247"/>
      <c r="V17" s="243"/>
      <c r="W17" s="252"/>
      <c r="X17" s="242"/>
      <c r="Y17" s="243"/>
      <c r="Z17" s="243"/>
      <c r="AA17" s="252"/>
      <c r="AB17" s="242"/>
      <c r="AC17" s="243"/>
      <c r="AD17" s="243"/>
      <c r="AE17" s="252"/>
      <c r="AF17" s="242"/>
      <c r="AG17" s="243"/>
      <c r="AH17" s="247"/>
      <c r="AI17" s="248"/>
      <c r="AJ17" s="246"/>
      <c r="AK17" s="247"/>
      <c r="AL17" s="247"/>
      <c r="AM17" s="248"/>
      <c r="AN17" s="246"/>
      <c r="AO17" s="247"/>
      <c r="AP17" s="247"/>
      <c r="AQ17" s="248"/>
      <c r="AR17" s="246"/>
      <c r="AS17" s="247"/>
      <c r="AT17" s="247"/>
      <c r="AU17" s="248"/>
      <c r="AV17" s="246"/>
      <c r="AW17" s="247"/>
      <c r="AX17" s="247"/>
      <c r="AY17" s="248"/>
      <c r="AZ17" s="317"/>
      <c r="BA17" s="247"/>
      <c r="BB17" s="247"/>
      <c r="BC17" s="248"/>
      <c r="BD17" s="317"/>
      <c r="BE17" s="247"/>
      <c r="BF17" s="247"/>
      <c r="BG17" s="248"/>
      <c r="BH17" s="246"/>
      <c r="BI17" s="247"/>
      <c r="BJ17" s="247"/>
      <c r="BK17" s="248"/>
      <c r="BL17" s="246"/>
      <c r="BM17" s="247"/>
      <c r="BN17" s="247"/>
      <c r="BO17" s="248"/>
      <c r="BP17" s="246"/>
      <c r="BQ17" s="247"/>
      <c r="BR17" s="247"/>
      <c r="BS17" s="248"/>
      <c r="BT17" s="246"/>
      <c r="BU17" s="247"/>
      <c r="BV17" s="247"/>
      <c r="BW17" s="249"/>
    </row>
    <row r="18" spans="1:75">
      <c r="A18" s="393"/>
      <c r="B18" s="240">
        <v>11</v>
      </c>
      <c r="C18" s="241" t="s">
        <v>328</v>
      </c>
      <c r="D18" s="253"/>
      <c r="E18" s="247"/>
      <c r="F18" s="247"/>
      <c r="G18" s="247"/>
      <c r="H18" s="246"/>
      <c r="I18" s="247"/>
      <c r="J18" s="247"/>
      <c r="K18" s="248"/>
      <c r="L18" s="246"/>
      <c r="M18" s="247"/>
      <c r="N18" s="247"/>
      <c r="O18" s="248"/>
      <c r="P18" s="246"/>
      <c r="Q18" s="247"/>
      <c r="R18" s="247"/>
      <c r="S18" s="248"/>
      <c r="T18" s="246"/>
      <c r="U18" s="247"/>
      <c r="V18" s="247"/>
      <c r="W18" s="248"/>
      <c r="X18" s="242"/>
      <c r="Y18" s="243"/>
      <c r="Z18" s="243"/>
      <c r="AA18" s="252"/>
      <c r="AB18" s="242"/>
      <c r="AC18" s="243"/>
      <c r="AD18" s="243"/>
      <c r="AE18" s="252"/>
      <c r="AF18" s="242"/>
      <c r="AG18" s="243"/>
      <c r="AH18" s="247"/>
      <c r="AI18" s="248"/>
      <c r="AJ18" s="246"/>
      <c r="AK18" s="247"/>
      <c r="AL18" s="247"/>
      <c r="AM18" s="248"/>
      <c r="AN18" s="246"/>
      <c r="AO18" s="247"/>
      <c r="AP18" s="247"/>
      <c r="AQ18" s="248"/>
      <c r="AR18" s="246"/>
      <c r="AS18" s="247"/>
      <c r="AT18" s="247"/>
      <c r="AU18" s="248"/>
      <c r="AV18" s="246"/>
      <c r="AW18" s="247"/>
      <c r="AX18" s="247"/>
      <c r="AY18" s="248"/>
      <c r="AZ18" s="317"/>
      <c r="BA18" s="247"/>
      <c r="BB18" s="247"/>
      <c r="BC18" s="248"/>
      <c r="BD18" s="317"/>
      <c r="BE18" s="247"/>
      <c r="BF18" s="247"/>
      <c r="BG18" s="248"/>
      <c r="BH18" s="246"/>
      <c r="BI18" s="247"/>
      <c r="BJ18" s="247"/>
      <c r="BK18" s="248"/>
      <c r="BL18" s="246"/>
      <c r="BM18" s="247"/>
      <c r="BN18" s="247"/>
      <c r="BO18" s="248"/>
      <c r="BP18" s="246"/>
      <c r="BQ18" s="247"/>
      <c r="BR18" s="247"/>
      <c r="BS18" s="248"/>
      <c r="BT18" s="246"/>
      <c r="BU18" s="247"/>
      <c r="BV18" s="247"/>
      <c r="BW18" s="249"/>
    </row>
    <row r="19" spans="1:75" ht="14.5" thickBot="1">
      <c r="A19" s="393"/>
      <c r="B19" s="240">
        <v>12</v>
      </c>
      <c r="C19" s="251" t="s">
        <v>329</v>
      </c>
      <c r="D19" s="260"/>
      <c r="E19" s="261"/>
      <c r="F19" s="261"/>
      <c r="G19" s="262"/>
      <c r="H19" s="263"/>
      <c r="I19" s="261"/>
      <c r="J19" s="261"/>
      <c r="K19" s="261"/>
      <c r="L19" s="263"/>
      <c r="M19" s="261"/>
      <c r="N19" s="261"/>
      <c r="O19" s="262"/>
      <c r="P19" s="263"/>
      <c r="Q19" s="261"/>
      <c r="R19" s="261"/>
      <c r="S19" s="262"/>
      <c r="T19" s="263"/>
      <c r="U19" s="261"/>
      <c r="V19" s="261"/>
      <c r="W19" s="261"/>
      <c r="X19" s="263"/>
      <c r="Y19" s="261"/>
      <c r="Z19" s="261"/>
      <c r="AA19" s="262"/>
      <c r="AB19" s="263"/>
      <c r="AC19" s="261"/>
      <c r="AD19" s="261"/>
      <c r="AE19" s="262"/>
      <c r="AF19" s="263"/>
      <c r="AG19" s="243"/>
      <c r="AH19" s="261"/>
      <c r="AI19" s="262"/>
      <c r="AJ19" s="263"/>
      <c r="AK19" s="261"/>
      <c r="AL19" s="261"/>
      <c r="AM19" s="262"/>
      <c r="AN19" s="263"/>
      <c r="AO19" s="261"/>
      <c r="AP19" s="261"/>
      <c r="AQ19" s="262"/>
      <c r="AR19" s="263"/>
      <c r="AS19" s="261"/>
      <c r="AT19" s="261"/>
      <c r="AU19" s="262"/>
      <c r="AV19" s="263"/>
      <c r="AW19" s="261"/>
      <c r="AX19" s="261"/>
      <c r="AY19" s="262"/>
      <c r="AZ19" s="263"/>
      <c r="BA19" s="261"/>
      <c r="BB19" s="261"/>
      <c r="BC19" s="262"/>
      <c r="BD19" s="261"/>
      <c r="BE19" s="318"/>
      <c r="BF19" s="278"/>
      <c r="BG19" s="262"/>
      <c r="BH19" s="263"/>
      <c r="BI19" s="261"/>
      <c r="BJ19" s="261"/>
      <c r="BK19" s="262"/>
      <c r="BL19" s="263"/>
      <c r="BM19" s="261"/>
      <c r="BN19" s="261"/>
      <c r="BO19" s="262"/>
      <c r="BP19" s="263"/>
      <c r="BQ19" s="261"/>
      <c r="BR19" s="261"/>
      <c r="BS19" s="262"/>
      <c r="BT19" s="263"/>
      <c r="BU19" s="261"/>
      <c r="BV19" s="261"/>
      <c r="BW19" s="266"/>
    </row>
    <row r="20" spans="1:75" ht="14.5" thickBot="1">
      <c r="A20" s="267" t="s">
        <v>365</v>
      </c>
      <c r="B20" s="268"/>
      <c r="C20" s="269" t="s">
        <v>384</v>
      </c>
      <c r="D20" s="270"/>
      <c r="E20" s="271"/>
      <c r="F20" s="271"/>
      <c r="G20" s="272"/>
      <c r="H20" s="273"/>
      <c r="I20" s="271"/>
      <c r="J20" s="271"/>
      <c r="K20" s="272"/>
      <c r="L20" s="273"/>
      <c r="M20" s="271"/>
      <c r="N20" s="271"/>
      <c r="O20" s="272"/>
      <c r="P20" s="273"/>
      <c r="Q20" s="271"/>
      <c r="R20" s="271"/>
      <c r="S20" s="272"/>
      <c r="T20" s="274"/>
      <c r="U20" s="271"/>
      <c r="V20" s="271"/>
      <c r="W20" s="272"/>
      <c r="X20" s="273"/>
      <c r="Y20" s="271"/>
      <c r="Z20" s="271"/>
      <c r="AA20" s="272"/>
      <c r="AB20" s="273"/>
      <c r="AC20" s="271"/>
      <c r="AD20" s="271"/>
      <c r="AE20" s="272"/>
      <c r="AF20" s="273"/>
      <c r="AG20" s="279"/>
      <c r="AH20" s="271"/>
      <c r="AI20" s="272"/>
      <c r="AJ20" s="273"/>
      <c r="AK20" s="271"/>
      <c r="AL20" s="271"/>
      <c r="AM20" s="272"/>
      <c r="AN20" s="273"/>
      <c r="AO20" s="271"/>
      <c r="AP20" s="271"/>
      <c r="AQ20" s="272"/>
      <c r="AR20" s="273"/>
      <c r="AS20" s="271"/>
      <c r="AT20" s="271"/>
      <c r="AU20" s="272"/>
      <c r="AV20" s="273"/>
      <c r="AW20" s="271"/>
      <c r="AX20" s="271"/>
      <c r="AY20" s="272"/>
      <c r="AZ20" s="273"/>
      <c r="BA20" s="271"/>
      <c r="BB20" s="271"/>
      <c r="BC20" s="280"/>
      <c r="BD20" s="273"/>
      <c r="BE20" s="281"/>
      <c r="BF20" s="282"/>
      <c r="BG20" s="272"/>
      <c r="BH20" s="273"/>
      <c r="BI20" s="271"/>
      <c r="BJ20" s="271"/>
      <c r="BK20" s="272"/>
      <c r="BL20" s="273"/>
      <c r="BM20" s="271"/>
      <c r="BN20" s="271"/>
      <c r="BO20" s="272"/>
      <c r="BP20" s="273"/>
      <c r="BQ20" s="271"/>
      <c r="BR20" s="271"/>
      <c r="BS20" s="272"/>
      <c r="BT20" s="273"/>
      <c r="BU20" s="271"/>
      <c r="BV20" s="271"/>
      <c r="BW20" s="276"/>
    </row>
    <row r="21" spans="1:75">
      <c r="A21" s="381" t="s">
        <v>373</v>
      </c>
      <c r="B21" s="382"/>
      <c r="C21" s="382"/>
      <c r="D21" s="234"/>
      <c r="E21" s="235"/>
      <c r="F21" s="235"/>
      <c r="G21" s="236"/>
      <c r="H21" s="237"/>
      <c r="I21" s="235"/>
      <c r="J21" s="235"/>
      <c r="K21" s="236"/>
      <c r="L21" s="237"/>
      <c r="M21" s="235"/>
      <c r="N21" s="235"/>
      <c r="O21" s="236"/>
      <c r="P21" s="237"/>
      <c r="Q21" s="235"/>
      <c r="R21" s="235"/>
      <c r="S21" s="236"/>
      <c r="T21" s="237"/>
      <c r="U21" s="235"/>
      <c r="V21" s="235"/>
      <c r="W21" s="236"/>
      <c r="X21" s="237"/>
      <c r="Y21" s="235"/>
      <c r="Z21" s="235"/>
      <c r="AA21" s="236"/>
      <c r="AB21" s="237"/>
      <c r="AC21" s="235"/>
      <c r="AD21" s="235"/>
      <c r="AE21" s="236"/>
      <c r="AF21" s="237"/>
      <c r="AG21" s="235"/>
      <c r="AH21" s="235"/>
      <c r="AI21" s="236"/>
      <c r="AJ21" s="237"/>
      <c r="AK21" s="235"/>
      <c r="AL21" s="235"/>
      <c r="AM21" s="236"/>
      <c r="AN21" s="237"/>
      <c r="AO21" s="235"/>
      <c r="AP21" s="235"/>
      <c r="AQ21" s="236"/>
      <c r="AR21" s="237"/>
      <c r="AS21" s="235"/>
      <c r="AT21" s="235"/>
      <c r="AU21" s="236"/>
      <c r="AV21" s="237"/>
      <c r="AW21" s="235"/>
      <c r="AX21" s="235"/>
      <c r="AY21" s="236"/>
      <c r="AZ21" s="237"/>
      <c r="BA21" s="235"/>
      <c r="BB21" s="235"/>
      <c r="BC21" s="236"/>
      <c r="BD21" s="237"/>
      <c r="BE21" s="235"/>
      <c r="BF21" s="235"/>
      <c r="BG21" s="236"/>
      <c r="BH21" s="237"/>
      <c r="BI21" s="235"/>
      <c r="BJ21" s="235"/>
      <c r="BK21" s="236"/>
      <c r="BL21" s="237"/>
      <c r="BM21" s="235"/>
      <c r="BN21" s="235"/>
      <c r="BO21" s="236"/>
      <c r="BP21" s="237"/>
      <c r="BQ21" s="235"/>
      <c r="BR21" s="235"/>
      <c r="BS21" s="236"/>
      <c r="BT21" s="237"/>
      <c r="BU21" s="235"/>
      <c r="BV21" s="235"/>
      <c r="BW21" s="238"/>
    </row>
    <row r="22" spans="1:75">
      <c r="A22" s="383" t="s">
        <v>330</v>
      </c>
      <c r="B22" s="284">
        <v>13</v>
      </c>
      <c r="C22" s="283" t="s">
        <v>331</v>
      </c>
      <c r="D22" s="253"/>
      <c r="E22" s="247"/>
      <c r="F22" s="285"/>
      <c r="G22" s="286"/>
      <c r="H22" s="246"/>
      <c r="I22" s="247"/>
      <c r="J22" s="247"/>
      <c r="K22" s="248"/>
      <c r="L22" s="246"/>
      <c r="M22" s="247"/>
      <c r="N22" s="247"/>
      <c r="O22" s="248"/>
      <c r="P22" s="242"/>
      <c r="Q22" s="243"/>
      <c r="R22" s="243"/>
      <c r="S22" s="252"/>
      <c r="T22" s="242"/>
      <c r="U22" s="243"/>
      <c r="V22" s="243"/>
      <c r="W22" s="252"/>
      <c r="X22" s="242"/>
      <c r="Y22" s="243"/>
      <c r="Z22" s="243"/>
      <c r="AA22" s="252"/>
      <c r="AB22" s="246"/>
      <c r="AC22" s="247"/>
      <c r="AD22" s="247"/>
      <c r="AE22" s="248"/>
      <c r="AF22" s="246"/>
      <c r="AG22" s="247"/>
      <c r="AH22" s="247"/>
      <c r="AI22" s="248"/>
      <c r="AJ22" s="246"/>
      <c r="AK22" s="247"/>
      <c r="AL22" s="247"/>
      <c r="AM22" s="248"/>
      <c r="AN22" s="246"/>
      <c r="AO22" s="247"/>
      <c r="AP22" s="247"/>
      <c r="AQ22" s="248"/>
      <c r="AR22" s="246"/>
      <c r="AS22" s="247"/>
      <c r="AT22" s="247"/>
      <c r="AU22" s="248"/>
      <c r="AV22" s="246"/>
      <c r="AW22" s="247"/>
      <c r="AX22" s="247"/>
      <c r="AY22" s="248"/>
      <c r="AZ22" s="246"/>
      <c r="BA22" s="247"/>
      <c r="BB22" s="247"/>
      <c r="BC22" s="248"/>
      <c r="BD22" s="246"/>
      <c r="BE22" s="247"/>
      <c r="BF22" s="247"/>
      <c r="BG22" s="248"/>
      <c r="BH22" s="246"/>
      <c r="BI22" s="247"/>
      <c r="BJ22" s="247"/>
      <c r="BK22" s="248"/>
      <c r="BL22" s="246"/>
      <c r="BM22" s="247"/>
      <c r="BN22" s="247"/>
      <c r="BO22" s="248"/>
      <c r="BP22" s="246"/>
      <c r="BQ22" s="247"/>
      <c r="BR22" s="247"/>
      <c r="BS22" s="248"/>
      <c r="BT22" s="246"/>
      <c r="BU22" s="247"/>
      <c r="BV22" s="247"/>
      <c r="BW22" s="249"/>
    </row>
    <row r="23" spans="1:75">
      <c r="A23" s="383"/>
      <c r="B23" s="284">
        <v>14</v>
      </c>
      <c r="C23" s="287" t="s">
        <v>332</v>
      </c>
      <c r="D23" s="253"/>
      <c r="E23" s="247"/>
      <c r="F23" s="285"/>
      <c r="G23" s="286"/>
      <c r="H23" s="285"/>
      <c r="I23" s="285"/>
      <c r="J23" s="285"/>
      <c r="K23" s="286"/>
      <c r="L23" s="246"/>
      <c r="M23" s="247"/>
      <c r="N23" s="247"/>
      <c r="O23" s="248"/>
      <c r="P23" s="246"/>
      <c r="Q23" s="243"/>
      <c r="R23" s="243"/>
      <c r="S23" s="252"/>
      <c r="T23" s="242"/>
      <c r="U23" s="243"/>
      <c r="V23" s="243"/>
      <c r="W23" s="252"/>
      <c r="X23" s="242"/>
      <c r="Y23" s="243"/>
      <c r="Z23" s="243"/>
      <c r="AA23" s="252"/>
      <c r="AB23" s="242"/>
      <c r="AC23" s="243"/>
      <c r="AD23" s="243"/>
      <c r="AE23" s="252"/>
      <c r="AF23" s="242"/>
      <c r="AG23" s="243"/>
      <c r="AH23" s="243"/>
      <c r="AI23" s="252"/>
      <c r="AJ23" s="242"/>
      <c r="AK23" s="243"/>
      <c r="AL23" s="243"/>
      <c r="AM23" s="252"/>
      <c r="AN23" s="246"/>
      <c r="AO23" s="247"/>
      <c r="AP23" s="247"/>
      <c r="AQ23" s="248"/>
      <c r="AR23" s="246"/>
      <c r="AS23" s="247"/>
      <c r="AT23" s="247"/>
      <c r="AU23" s="248"/>
      <c r="AV23" s="246"/>
      <c r="AW23" s="247"/>
      <c r="AX23" s="247"/>
      <c r="AY23" s="248"/>
      <c r="AZ23" s="246"/>
      <c r="BA23" s="247"/>
      <c r="BB23" s="247"/>
      <c r="BC23" s="248"/>
      <c r="BD23" s="246"/>
      <c r="BE23" s="247"/>
      <c r="BF23" s="247"/>
      <c r="BG23" s="248"/>
      <c r="BH23" s="246"/>
      <c r="BI23" s="247"/>
      <c r="BJ23" s="247"/>
      <c r="BK23" s="248"/>
      <c r="BL23" s="246"/>
      <c r="BM23" s="247"/>
      <c r="BN23" s="247"/>
      <c r="BO23" s="248"/>
      <c r="BP23" s="246"/>
      <c r="BQ23" s="247"/>
      <c r="BR23" s="247"/>
      <c r="BS23" s="248"/>
      <c r="BT23" s="246"/>
      <c r="BU23" s="247"/>
      <c r="BV23" s="247"/>
      <c r="BW23" s="249"/>
    </row>
    <row r="24" spans="1:75">
      <c r="A24" s="383"/>
      <c r="B24" s="284">
        <v>15</v>
      </c>
      <c r="C24" s="287" t="s">
        <v>333</v>
      </c>
      <c r="D24" s="253"/>
      <c r="E24" s="247"/>
      <c r="F24" s="247"/>
      <c r="G24" s="248"/>
      <c r="H24" s="247"/>
      <c r="I24" s="247"/>
      <c r="J24" s="247"/>
      <c r="K24" s="248"/>
      <c r="L24" s="246"/>
      <c r="M24" s="247"/>
      <c r="N24" s="247"/>
      <c r="O24" s="248"/>
      <c r="P24" s="246"/>
      <c r="Q24" s="247"/>
      <c r="R24" s="247"/>
      <c r="S24" s="248"/>
      <c r="T24" s="246"/>
      <c r="U24" s="247"/>
      <c r="V24" s="247"/>
      <c r="W24" s="248"/>
      <c r="X24" s="246"/>
      <c r="Y24" s="247"/>
      <c r="Z24" s="247"/>
      <c r="AA24" s="248"/>
      <c r="AB24" s="246"/>
      <c r="AC24" s="247"/>
      <c r="AD24" s="247"/>
      <c r="AE24" s="248"/>
      <c r="AF24" s="242"/>
      <c r="AG24" s="243"/>
      <c r="AH24" s="243"/>
      <c r="AI24" s="252"/>
      <c r="AJ24" s="242"/>
      <c r="AK24" s="243"/>
      <c r="AL24" s="243"/>
      <c r="AM24" s="252"/>
      <c r="AN24" s="246"/>
      <c r="AO24" s="247"/>
      <c r="AP24" s="247"/>
      <c r="AQ24" s="248"/>
      <c r="AR24" s="246"/>
      <c r="AS24" s="247"/>
      <c r="AT24" s="247"/>
      <c r="AU24" s="248"/>
      <c r="AV24" s="246"/>
      <c r="AW24" s="247"/>
      <c r="AX24" s="247"/>
      <c r="AY24" s="248"/>
      <c r="AZ24" s="246"/>
      <c r="BA24" s="247"/>
      <c r="BB24" s="247"/>
      <c r="BC24" s="248"/>
      <c r="BD24" s="246"/>
      <c r="BE24" s="247"/>
      <c r="BF24" s="247"/>
      <c r="BG24" s="248"/>
      <c r="BH24" s="246"/>
      <c r="BI24" s="247"/>
      <c r="BJ24" s="247"/>
      <c r="BK24" s="248"/>
      <c r="BL24" s="246"/>
      <c r="BM24" s="247"/>
      <c r="BN24" s="247"/>
      <c r="BO24" s="248"/>
      <c r="BP24" s="246"/>
      <c r="BQ24" s="247"/>
      <c r="BR24" s="247"/>
      <c r="BS24" s="248"/>
      <c r="BT24" s="246"/>
      <c r="BU24" s="247"/>
      <c r="BV24" s="247"/>
      <c r="BW24" s="249"/>
    </row>
    <row r="25" spans="1:75">
      <c r="A25" s="383" t="s">
        <v>334</v>
      </c>
      <c r="B25" s="284">
        <v>16</v>
      </c>
      <c r="C25" s="287" t="s">
        <v>335</v>
      </c>
      <c r="D25" s="253"/>
      <c r="E25" s="247"/>
      <c r="F25" s="247"/>
      <c r="G25" s="248"/>
      <c r="H25" s="247"/>
      <c r="I25" s="247"/>
      <c r="J25" s="247"/>
      <c r="K25" s="248"/>
      <c r="L25" s="246"/>
      <c r="M25" s="247"/>
      <c r="N25" s="247"/>
      <c r="O25" s="248"/>
      <c r="P25" s="246"/>
      <c r="Q25" s="247"/>
      <c r="R25" s="247"/>
      <c r="S25" s="248"/>
      <c r="T25" s="246"/>
      <c r="U25" s="247"/>
      <c r="V25" s="247"/>
      <c r="W25" s="248"/>
      <c r="X25" s="246"/>
      <c r="Y25" s="247"/>
      <c r="Z25" s="247"/>
      <c r="AA25" s="248"/>
      <c r="AB25" s="246"/>
      <c r="AC25" s="247"/>
      <c r="AD25" s="247"/>
      <c r="AE25" s="248"/>
      <c r="AF25" s="246"/>
      <c r="AG25" s="247"/>
      <c r="AH25" s="247"/>
      <c r="AI25" s="248"/>
      <c r="AJ25" s="246"/>
      <c r="AK25" s="247"/>
      <c r="AL25" s="243"/>
      <c r="AM25" s="252"/>
      <c r="AN25" s="246"/>
      <c r="AO25" s="247"/>
      <c r="AP25" s="247"/>
      <c r="AQ25" s="248"/>
      <c r="AR25" s="246"/>
      <c r="AS25" s="247"/>
      <c r="AT25" s="247"/>
      <c r="AU25" s="248"/>
      <c r="AV25" s="246"/>
      <c r="AW25" s="247"/>
      <c r="AX25" s="247"/>
      <c r="AY25" s="248"/>
      <c r="AZ25" s="246"/>
      <c r="BA25" s="247"/>
      <c r="BB25" s="247"/>
      <c r="BC25" s="248"/>
      <c r="BD25" s="246"/>
      <c r="BE25" s="247"/>
      <c r="BF25" s="247"/>
      <c r="BG25" s="248"/>
      <c r="BH25" s="246"/>
      <c r="BI25" s="247"/>
      <c r="BJ25" s="247"/>
      <c r="BK25" s="248"/>
      <c r="BL25" s="246"/>
      <c r="BM25" s="247"/>
      <c r="BN25" s="247"/>
      <c r="BO25" s="248"/>
      <c r="BP25" s="246"/>
      <c r="BQ25" s="247"/>
      <c r="BR25" s="247"/>
      <c r="BS25" s="248"/>
      <c r="BT25" s="246"/>
      <c r="BU25" s="247"/>
      <c r="BV25" s="247"/>
      <c r="BW25" s="249"/>
    </row>
    <row r="26" spans="1:75">
      <c r="A26" s="383"/>
      <c r="B26" s="284">
        <v>17</v>
      </c>
      <c r="C26" s="283" t="s">
        <v>336</v>
      </c>
      <c r="D26" s="253"/>
      <c r="E26" s="247"/>
      <c r="F26" s="247"/>
      <c r="G26" s="248"/>
      <c r="H26" s="247"/>
      <c r="I26" s="247"/>
      <c r="J26" s="247"/>
      <c r="K26" s="248"/>
      <c r="L26" s="247"/>
      <c r="M26" s="247"/>
      <c r="N26" s="247"/>
      <c r="O26" s="248"/>
      <c r="P26" s="246"/>
      <c r="Q26" s="247"/>
      <c r="R26" s="247"/>
      <c r="S26" s="248"/>
      <c r="T26" s="246"/>
      <c r="U26" s="247"/>
      <c r="V26" s="247"/>
      <c r="W26" s="248"/>
      <c r="X26" s="246"/>
      <c r="Y26" s="247"/>
      <c r="Z26" s="247"/>
      <c r="AA26" s="248"/>
      <c r="AB26" s="246"/>
      <c r="AC26" s="247"/>
      <c r="AD26" s="247"/>
      <c r="AE26" s="248"/>
      <c r="AF26" s="246"/>
      <c r="AG26" s="247"/>
      <c r="AH26" s="247"/>
      <c r="AI26" s="248"/>
      <c r="AJ26" s="246"/>
      <c r="AK26" s="247"/>
      <c r="AL26" s="247"/>
      <c r="AM26" s="248"/>
      <c r="AN26" s="242"/>
      <c r="AO26" s="243"/>
      <c r="AP26" s="247"/>
      <c r="AQ26" s="248"/>
      <c r="AR26" s="246"/>
      <c r="AS26" s="247"/>
      <c r="AT26" s="247"/>
      <c r="AU26" s="248"/>
      <c r="AV26" s="246"/>
      <c r="AW26" s="247"/>
      <c r="AX26" s="247"/>
      <c r="AY26" s="248"/>
      <c r="AZ26" s="246"/>
      <c r="BA26" s="247"/>
      <c r="BB26" s="247"/>
      <c r="BC26" s="248"/>
      <c r="BD26" s="246"/>
      <c r="BE26" s="247"/>
      <c r="BF26" s="247"/>
      <c r="BG26" s="248"/>
      <c r="BH26" s="246"/>
      <c r="BI26" s="247"/>
      <c r="BJ26" s="247"/>
      <c r="BK26" s="248"/>
      <c r="BL26" s="246"/>
      <c r="BM26" s="247"/>
      <c r="BN26" s="247"/>
      <c r="BO26" s="248"/>
      <c r="BP26" s="246"/>
      <c r="BQ26" s="247"/>
      <c r="BR26" s="247"/>
      <c r="BS26" s="248"/>
      <c r="BT26" s="246"/>
      <c r="BU26" s="247"/>
      <c r="BV26" s="247"/>
      <c r="BW26" s="249"/>
    </row>
    <row r="27" spans="1:75">
      <c r="A27" s="376" t="s">
        <v>337</v>
      </c>
      <c r="B27" s="284">
        <v>18</v>
      </c>
      <c r="C27" s="287" t="s">
        <v>377</v>
      </c>
      <c r="D27" s="253"/>
      <c r="E27" s="247"/>
      <c r="F27" s="247"/>
      <c r="G27" s="248"/>
      <c r="H27" s="247"/>
      <c r="I27" s="247"/>
      <c r="J27" s="247"/>
      <c r="K27" s="248"/>
      <c r="L27" s="247"/>
      <c r="M27" s="247"/>
      <c r="N27" s="247"/>
      <c r="O27" s="248"/>
      <c r="P27" s="246"/>
      <c r="Q27" s="247"/>
      <c r="R27" s="247"/>
      <c r="S27" s="248"/>
      <c r="T27" s="246"/>
      <c r="U27" s="247"/>
      <c r="V27" s="247"/>
      <c r="W27" s="248"/>
      <c r="X27" s="246"/>
      <c r="Y27" s="247"/>
      <c r="Z27" s="247"/>
      <c r="AA27" s="248"/>
      <c r="AB27" s="246"/>
      <c r="AC27" s="247"/>
      <c r="AD27" s="247"/>
      <c r="AE27" s="248"/>
      <c r="AF27" s="246"/>
      <c r="AG27" s="247"/>
      <c r="AH27" s="247"/>
      <c r="AI27" s="248"/>
      <c r="AJ27" s="246"/>
      <c r="AK27" s="247"/>
      <c r="AL27" s="247"/>
      <c r="AM27" s="248"/>
      <c r="AN27" s="246"/>
      <c r="AO27" s="247"/>
      <c r="AP27" s="243"/>
      <c r="AQ27" s="252"/>
      <c r="AR27" s="242"/>
      <c r="AS27" s="243"/>
      <c r="AT27" s="243"/>
      <c r="AU27" s="252"/>
      <c r="AV27" s="246"/>
      <c r="AW27" s="247"/>
      <c r="AX27" s="247"/>
      <c r="AY27" s="248"/>
      <c r="AZ27" s="246"/>
      <c r="BA27" s="247"/>
      <c r="BB27" s="247"/>
      <c r="BC27" s="248"/>
      <c r="BD27" s="246"/>
      <c r="BE27" s="247"/>
      <c r="BF27" s="247"/>
      <c r="BG27" s="248"/>
      <c r="BH27" s="246"/>
      <c r="BI27" s="247"/>
      <c r="BJ27" s="247"/>
      <c r="BK27" s="248"/>
      <c r="BL27" s="246"/>
      <c r="BM27" s="247"/>
      <c r="BN27" s="247"/>
      <c r="BO27" s="248"/>
      <c r="BP27" s="246"/>
      <c r="BQ27" s="247"/>
      <c r="BR27" s="247"/>
      <c r="BS27" s="248"/>
      <c r="BT27" s="246"/>
      <c r="BU27" s="247"/>
      <c r="BV27" s="247"/>
      <c r="BW27" s="249"/>
    </row>
    <row r="28" spans="1:75" ht="14.5" thickBot="1">
      <c r="A28" s="376"/>
      <c r="B28" s="284">
        <v>19</v>
      </c>
      <c r="C28" s="287" t="s">
        <v>338</v>
      </c>
      <c r="D28" s="260"/>
      <c r="E28" s="261"/>
      <c r="F28" s="261"/>
      <c r="G28" s="262"/>
      <c r="H28" s="261"/>
      <c r="I28" s="261"/>
      <c r="J28" s="261"/>
      <c r="K28" s="262"/>
      <c r="L28" s="261"/>
      <c r="M28" s="261"/>
      <c r="N28" s="261"/>
      <c r="O28" s="262"/>
      <c r="P28" s="263"/>
      <c r="Q28" s="261"/>
      <c r="R28" s="261"/>
      <c r="S28" s="262"/>
      <c r="T28" s="263"/>
      <c r="U28" s="261"/>
      <c r="V28" s="261"/>
      <c r="W28" s="262"/>
      <c r="X28" s="263"/>
      <c r="Y28" s="261"/>
      <c r="Z28" s="261"/>
      <c r="AA28" s="262"/>
      <c r="AB28" s="263"/>
      <c r="AC28" s="261"/>
      <c r="AD28" s="261"/>
      <c r="AE28" s="262"/>
      <c r="AF28" s="263"/>
      <c r="AG28" s="261"/>
      <c r="AH28" s="261"/>
      <c r="AI28" s="262"/>
      <c r="AJ28" s="263"/>
      <c r="AK28" s="261"/>
      <c r="AL28" s="261"/>
      <c r="AM28" s="262"/>
      <c r="AN28" s="263"/>
      <c r="AO28" s="261"/>
      <c r="AP28" s="261"/>
      <c r="AQ28" s="262"/>
      <c r="AR28" s="263"/>
      <c r="AS28" s="261"/>
      <c r="AT28" s="261"/>
      <c r="AU28" s="288"/>
      <c r="AV28" s="263"/>
      <c r="AW28" s="261"/>
      <c r="AX28" s="261"/>
      <c r="AY28" s="262"/>
      <c r="AZ28" s="263"/>
      <c r="BA28" s="261"/>
      <c r="BB28" s="261"/>
      <c r="BC28" s="262"/>
      <c r="BD28" s="263"/>
      <c r="BE28" s="261"/>
      <c r="BF28" s="261"/>
      <c r="BG28" s="262"/>
      <c r="BH28" s="263"/>
      <c r="BI28" s="261"/>
      <c r="BJ28" s="261"/>
      <c r="BK28" s="262"/>
      <c r="BL28" s="263"/>
      <c r="BM28" s="261"/>
      <c r="BN28" s="261"/>
      <c r="BO28" s="262"/>
      <c r="BP28" s="263"/>
      <c r="BQ28" s="261"/>
      <c r="BR28" s="261"/>
      <c r="BS28" s="262"/>
      <c r="BT28" s="263"/>
      <c r="BU28" s="261"/>
      <c r="BV28" s="261"/>
      <c r="BW28" s="266"/>
    </row>
    <row r="29" spans="1:75" ht="14.5" thickBot="1">
      <c r="A29" s="267" t="s">
        <v>366</v>
      </c>
      <c r="B29" s="268"/>
      <c r="C29" s="269" t="s">
        <v>385</v>
      </c>
      <c r="D29" s="315"/>
      <c r="E29" s="271"/>
      <c r="F29" s="271"/>
      <c r="G29" s="272"/>
      <c r="H29" s="273"/>
      <c r="I29" s="271"/>
      <c r="J29" s="271"/>
      <c r="K29" s="272"/>
      <c r="L29" s="273"/>
      <c r="M29" s="271"/>
      <c r="N29" s="271"/>
      <c r="O29" s="272"/>
      <c r="P29" s="273"/>
      <c r="Q29" s="271"/>
      <c r="R29" s="271"/>
      <c r="S29" s="272"/>
      <c r="T29" s="274"/>
      <c r="U29" s="271"/>
      <c r="V29" s="271"/>
      <c r="W29" s="272"/>
      <c r="X29" s="273"/>
      <c r="Y29" s="271"/>
      <c r="Z29" s="271"/>
      <c r="AA29" s="272"/>
      <c r="AB29" s="273"/>
      <c r="AC29" s="271"/>
      <c r="AD29" s="271"/>
      <c r="AE29" s="272"/>
      <c r="AF29" s="273"/>
      <c r="AG29" s="271"/>
      <c r="AH29" s="271"/>
      <c r="AI29" s="272"/>
      <c r="AJ29" s="273"/>
      <c r="AK29" s="271"/>
      <c r="AL29" s="271"/>
      <c r="AM29" s="272"/>
      <c r="AN29" s="273"/>
      <c r="AO29" s="271"/>
      <c r="AP29" s="271"/>
      <c r="AQ29" s="272"/>
      <c r="AR29" s="273"/>
      <c r="AS29" s="271"/>
      <c r="AT29" s="271"/>
      <c r="AU29" s="289"/>
      <c r="AV29" s="273"/>
      <c r="AW29" s="271"/>
      <c r="AX29" s="271"/>
      <c r="AY29" s="272"/>
      <c r="AZ29" s="273"/>
      <c r="BA29" s="271"/>
      <c r="BB29" s="271"/>
      <c r="BC29" s="272"/>
      <c r="BD29" s="273"/>
      <c r="BE29" s="271"/>
      <c r="BF29" s="271"/>
      <c r="BG29" s="272"/>
      <c r="BH29" s="273"/>
      <c r="BI29" s="271"/>
      <c r="BJ29" s="271"/>
      <c r="BK29" s="272"/>
      <c r="BL29" s="273"/>
      <c r="BM29" s="271"/>
      <c r="BN29" s="271"/>
      <c r="BO29" s="272"/>
      <c r="BP29" s="273"/>
      <c r="BQ29" s="271"/>
      <c r="BR29" s="271"/>
      <c r="BS29" s="272"/>
      <c r="BT29" s="273"/>
      <c r="BU29" s="271"/>
      <c r="BV29" s="271"/>
      <c r="BW29" s="276"/>
    </row>
    <row r="30" spans="1:75">
      <c r="A30" s="377" t="s">
        <v>374</v>
      </c>
      <c r="B30" s="378"/>
      <c r="C30" s="379"/>
      <c r="D30" s="277"/>
      <c r="E30" s="235"/>
      <c r="F30" s="235"/>
      <c r="G30" s="236"/>
      <c r="H30" s="237"/>
      <c r="I30" s="235"/>
      <c r="J30" s="235"/>
      <c r="K30" s="236"/>
      <c r="L30" s="237"/>
      <c r="M30" s="235"/>
      <c r="N30" s="235"/>
      <c r="O30" s="236"/>
      <c r="P30" s="237"/>
      <c r="Q30" s="235"/>
      <c r="R30" s="235"/>
      <c r="S30" s="236"/>
      <c r="T30" s="237"/>
      <c r="U30" s="235"/>
      <c r="V30" s="235"/>
      <c r="W30" s="236"/>
      <c r="X30" s="237"/>
      <c r="Y30" s="235"/>
      <c r="Z30" s="235"/>
      <c r="AA30" s="236"/>
      <c r="AB30" s="237"/>
      <c r="AC30" s="235"/>
      <c r="AD30" s="235"/>
      <c r="AE30" s="236"/>
      <c r="AF30" s="237"/>
      <c r="AG30" s="235"/>
      <c r="AH30" s="235"/>
      <c r="AI30" s="236"/>
      <c r="AJ30" s="237"/>
      <c r="AK30" s="235"/>
      <c r="AL30" s="235"/>
      <c r="AM30" s="236"/>
      <c r="AN30" s="237"/>
      <c r="AO30" s="235"/>
      <c r="AP30" s="235"/>
      <c r="AQ30" s="236"/>
      <c r="AR30" s="237"/>
      <c r="AS30" s="235"/>
      <c r="AT30" s="235"/>
      <c r="AU30" s="236"/>
      <c r="AV30" s="237"/>
      <c r="AW30" s="235"/>
      <c r="AX30" s="235"/>
      <c r="AY30" s="236"/>
      <c r="AZ30" s="237"/>
      <c r="BA30" s="235"/>
      <c r="BB30" s="235"/>
      <c r="BC30" s="236"/>
      <c r="BD30" s="237"/>
      <c r="BE30" s="235"/>
      <c r="BF30" s="235"/>
      <c r="BG30" s="236"/>
      <c r="BH30" s="237"/>
      <c r="BI30" s="235"/>
      <c r="BJ30" s="235"/>
      <c r="BK30" s="236"/>
      <c r="BL30" s="237"/>
      <c r="BM30" s="235"/>
      <c r="BN30" s="235"/>
      <c r="BO30" s="236"/>
      <c r="BP30" s="237"/>
      <c r="BQ30" s="235"/>
      <c r="BR30" s="235"/>
      <c r="BS30" s="236"/>
      <c r="BT30" s="237"/>
      <c r="BU30" s="235"/>
      <c r="BV30" s="235"/>
      <c r="BW30" s="238"/>
    </row>
    <row r="31" spans="1:75">
      <c r="A31" s="376" t="s">
        <v>339</v>
      </c>
      <c r="B31" s="284">
        <v>20</v>
      </c>
      <c r="C31" s="290" t="s">
        <v>340</v>
      </c>
      <c r="D31" s="314"/>
      <c r="E31" s="291"/>
      <c r="F31" s="291"/>
      <c r="G31" s="292"/>
      <c r="H31" s="293"/>
      <c r="I31" s="291"/>
      <c r="J31" s="291"/>
      <c r="K31" s="292"/>
      <c r="L31" s="291"/>
      <c r="M31" s="291"/>
      <c r="N31" s="291"/>
      <c r="O31" s="292"/>
      <c r="P31" s="293"/>
      <c r="Q31" s="291"/>
      <c r="R31" s="291"/>
      <c r="S31" s="292"/>
      <c r="T31" s="293"/>
      <c r="U31" s="291"/>
      <c r="V31" s="291"/>
      <c r="W31" s="292"/>
      <c r="X31" s="293"/>
      <c r="Y31" s="291"/>
      <c r="Z31" s="291"/>
      <c r="AA31" s="292"/>
      <c r="AB31" s="293"/>
      <c r="AC31" s="291"/>
      <c r="AD31" s="291"/>
      <c r="AE31" s="292"/>
      <c r="AF31" s="293"/>
      <c r="AG31" s="291"/>
      <c r="AH31" s="291"/>
      <c r="AI31" s="292"/>
      <c r="AJ31" s="293"/>
      <c r="AK31" s="291"/>
      <c r="AL31" s="291"/>
      <c r="AM31" s="292"/>
      <c r="AN31" s="293"/>
      <c r="AO31" s="291"/>
      <c r="AP31" s="291"/>
      <c r="AQ31" s="292"/>
      <c r="AR31" s="293"/>
      <c r="AS31" s="291"/>
      <c r="AT31" s="291"/>
      <c r="AU31" s="292"/>
      <c r="AV31" s="293"/>
      <c r="AW31" s="291"/>
      <c r="AX31" s="291"/>
      <c r="AY31" s="292"/>
      <c r="AZ31" s="293"/>
      <c r="BA31" s="291"/>
      <c r="BB31" s="291"/>
      <c r="BC31" s="292"/>
      <c r="BD31" s="293"/>
      <c r="BE31" s="291"/>
      <c r="BF31" s="291"/>
      <c r="BG31" s="292"/>
      <c r="BH31" s="293"/>
      <c r="BI31" s="291"/>
      <c r="BJ31" s="291"/>
      <c r="BK31" s="292"/>
      <c r="BL31" s="293"/>
      <c r="BM31" s="291"/>
      <c r="BN31" s="291"/>
      <c r="BO31" s="292"/>
      <c r="BP31" s="293"/>
      <c r="BQ31" s="291"/>
      <c r="BR31" s="291"/>
      <c r="BS31" s="292"/>
      <c r="BT31" s="293"/>
      <c r="BU31" s="291"/>
      <c r="BV31" s="291"/>
      <c r="BW31" s="294"/>
    </row>
    <row r="32" spans="1:75">
      <c r="A32" s="376"/>
      <c r="B32" s="284"/>
      <c r="C32" s="287" t="s">
        <v>341</v>
      </c>
      <c r="D32" s="296"/>
      <c r="E32" s="247"/>
      <c r="F32" s="247"/>
      <c r="G32" s="248"/>
      <c r="H32" s="246"/>
      <c r="I32" s="247"/>
      <c r="J32" s="247"/>
      <c r="K32" s="248"/>
      <c r="L32" s="247"/>
      <c r="M32" s="247"/>
      <c r="N32" s="247"/>
      <c r="O32" s="248"/>
      <c r="P32" s="246"/>
      <c r="Q32" s="247"/>
      <c r="R32" s="247"/>
      <c r="S32" s="248"/>
      <c r="T32" s="246"/>
      <c r="U32" s="247"/>
      <c r="V32" s="247"/>
      <c r="W32" s="248"/>
      <c r="X32" s="246"/>
      <c r="Y32" s="247"/>
      <c r="Z32" s="247"/>
      <c r="AA32" s="248"/>
      <c r="AB32" s="246"/>
      <c r="AC32" s="247"/>
      <c r="AD32" s="247"/>
      <c r="AE32" s="248"/>
      <c r="AF32" s="246"/>
      <c r="AG32" s="247"/>
      <c r="AH32" s="247"/>
      <c r="AI32" s="248"/>
      <c r="AJ32" s="246"/>
      <c r="AK32" s="247"/>
      <c r="AL32" s="247"/>
      <c r="AM32" s="248"/>
      <c r="AN32" s="246"/>
      <c r="AO32" s="247"/>
      <c r="AP32" s="247"/>
      <c r="AQ32" s="248"/>
      <c r="AR32" s="246"/>
      <c r="AS32" s="243"/>
      <c r="AT32" s="243"/>
      <c r="AU32" s="248"/>
      <c r="AV32" s="246"/>
      <c r="AW32" s="247"/>
      <c r="AX32" s="247"/>
      <c r="AY32" s="248"/>
      <c r="AZ32" s="246"/>
      <c r="BA32" s="247"/>
      <c r="BB32" s="247"/>
      <c r="BC32" s="248"/>
      <c r="BD32" s="246"/>
      <c r="BE32" s="247"/>
      <c r="BF32" s="247"/>
      <c r="BG32" s="248"/>
      <c r="BH32" s="246"/>
      <c r="BI32" s="247"/>
      <c r="BJ32" s="247"/>
      <c r="BK32" s="248"/>
      <c r="BL32" s="246"/>
      <c r="BM32" s="247"/>
      <c r="BN32" s="247"/>
      <c r="BO32" s="248"/>
      <c r="BP32" s="246"/>
      <c r="BQ32" s="247"/>
      <c r="BR32" s="247"/>
      <c r="BS32" s="248"/>
      <c r="BT32" s="246"/>
      <c r="BU32" s="247"/>
      <c r="BV32" s="247"/>
      <c r="BW32" s="249"/>
    </row>
    <row r="33" spans="1:75">
      <c r="A33" s="376"/>
      <c r="B33" s="284"/>
      <c r="C33" s="287" t="s">
        <v>342</v>
      </c>
      <c r="D33" s="296"/>
      <c r="E33" s="247"/>
      <c r="F33" s="247"/>
      <c r="G33" s="248"/>
      <c r="H33" s="246"/>
      <c r="I33" s="247"/>
      <c r="J33" s="247"/>
      <c r="K33" s="248"/>
      <c r="L33" s="246"/>
      <c r="M33" s="247"/>
      <c r="N33" s="247"/>
      <c r="O33" s="248"/>
      <c r="P33" s="246"/>
      <c r="Q33" s="247"/>
      <c r="R33" s="247"/>
      <c r="S33" s="248"/>
      <c r="T33" s="246"/>
      <c r="U33" s="247"/>
      <c r="V33" s="247"/>
      <c r="W33" s="248"/>
      <c r="X33" s="246"/>
      <c r="Y33" s="247"/>
      <c r="Z33" s="247"/>
      <c r="AA33" s="248"/>
      <c r="AB33" s="246"/>
      <c r="AC33" s="247"/>
      <c r="AD33" s="247"/>
      <c r="AE33" s="248"/>
      <c r="AF33" s="246"/>
      <c r="AG33" s="247"/>
      <c r="AH33" s="247"/>
      <c r="AI33" s="248"/>
      <c r="AJ33" s="246"/>
      <c r="AK33" s="247"/>
      <c r="AL33" s="247"/>
      <c r="AM33" s="248"/>
      <c r="AN33" s="246"/>
      <c r="AO33" s="247"/>
      <c r="AP33" s="247"/>
      <c r="AQ33" s="248"/>
      <c r="AR33" s="246"/>
      <c r="AS33" s="243"/>
      <c r="AT33" s="243"/>
      <c r="AU33" s="248"/>
      <c r="AV33" s="246"/>
      <c r="AW33" s="247"/>
      <c r="AX33" s="247"/>
      <c r="AY33" s="248"/>
      <c r="AZ33" s="246"/>
      <c r="BA33" s="247"/>
      <c r="BB33" s="247"/>
      <c r="BC33" s="248"/>
      <c r="BD33" s="246"/>
      <c r="BE33" s="247"/>
      <c r="BF33" s="247"/>
      <c r="BG33" s="248"/>
      <c r="BH33" s="246"/>
      <c r="BI33" s="247"/>
      <c r="BJ33" s="247"/>
      <c r="BK33" s="248"/>
      <c r="BL33" s="246"/>
      <c r="BM33" s="247"/>
      <c r="BN33" s="247"/>
      <c r="BO33" s="248"/>
      <c r="BP33" s="246"/>
      <c r="BQ33" s="247"/>
      <c r="BR33" s="247"/>
      <c r="BS33" s="248"/>
      <c r="BT33" s="246"/>
      <c r="BU33" s="247"/>
      <c r="BV33" s="247"/>
      <c r="BW33" s="249"/>
    </row>
    <row r="34" spans="1:75">
      <c r="A34" s="376" t="s">
        <v>343</v>
      </c>
      <c r="B34" s="295">
        <v>21</v>
      </c>
      <c r="C34" s="287" t="s">
        <v>344</v>
      </c>
      <c r="D34" s="296"/>
      <c r="E34" s="247"/>
      <c r="F34" s="247"/>
      <c r="G34" s="248"/>
      <c r="H34" s="246"/>
      <c r="I34" s="247"/>
      <c r="J34" s="247"/>
      <c r="K34" s="248"/>
      <c r="L34" s="246"/>
      <c r="M34" s="247"/>
      <c r="N34" s="247"/>
      <c r="O34" s="248"/>
      <c r="P34" s="246"/>
      <c r="Q34" s="247"/>
      <c r="R34" s="247"/>
      <c r="S34" s="248"/>
      <c r="T34" s="246"/>
      <c r="U34" s="247"/>
      <c r="V34" s="247"/>
      <c r="W34" s="248"/>
      <c r="X34" s="246"/>
      <c r="Y34" s="247"/>
      <c r="Z34" s="247"/>
      <c r="AA34" s="248"/>
      <c r="AB34" s="246"/>
      <c r="AC34" s="247"/>
      <c r="AD34" s="247"/>
      <c r="AE34" s="248"/>
      <c r="AF34" s="246"/>
      <c r="AG34" s="247"/>
      <c r="AH34" s="247"/>
      <c r="AI34" s="248"/>
      <c r="AJ34" s="246"/>
      <c r="AK34" s="247"/>
      <c r="AL34" s="247"/>
      <c r="AM34" s="248"/>
      <c r="AN34" s="246"/>
      <c r="AO34" s="247"/>
      <c r="AP34" s="247"/>
      <c r="AQ34" s="248"/>
      <c r="AR34" s="246"/>
      <c r="AS34" s="247"/>
      <c r="AT34" s="243"/>
      <c r="AU34" s="252"/>
      <c r="AV34" s="242"/>
      <c r="AW34" s="243"/>
      <c r="AX34" s="247"/>
      <c r="AY34" s="248"/>
      <c r="AZ34" s="246"/>
      <c r="BA34" s="247"/>
      <c r="BB34" s="247"/>
      <c r="BC34" s="248"/>
      <c r="BD34" s="246"/>
      <c r="BE34" s="247"/>
      <c r="BF34" s="247"/>
      <c r="BG34" s="248"/>
      <c r="BH34" s="246"/>
      <c r="BI34" s="247"/>
      <c r="BJ34" s="247"/>
      <c r="BK34" s="248"/>
      <c r="BL34" s="246"/>
      <c r="BM34" s="247"/>
      <c r="BN34" s="247"/>
      <c r="BO34" s="248"/>
      <c r="BP34" s="246"/>
      <c r="BQ34" s="247"/>
      <c r="BR34" s="247"/>
      <c r="BS34" s="248"/>
      <c r="BT34" s="246"/>
      <c r="BU34" s="247"/>
      <c r="BV34" s="247"/>
      <c r="BW34" s="249"/>
    </row>
    <row r="35" spans="1:75">
      <c r="A35" s="376"/>
      <c r="B35" s="295">
        <v>22</v>
      </c>
      <c r="C35" s="287" t="s">
        <v>379</v>
      </c>
      <c r="D35" s="296"/>
      <c r="E35" s="247"/>
      <c r="F35" s="247"/>
      <c r="G35" s="248"/>
      <c r="H35" s="246"/>
      <c r="I35" s="247"/>
      <c r="J35" s="247"/>
      <c r="K35" s="248"/>
      <c r="L35" s="246"/>
      <c r="M35" s="247"/>
      <c r="N35" s="247"/>
      <c r="O35" s="248"/>
      <c r="P35" s="246"/>
      <c r="Q35" s="247"/>
      <c r="R35" s="247"/>
      <c r="S35" s="248"/>
      <c r="T35" s="246"/>
      <c r="U35" s="247"/>
      <c r="V35" s="247"/>
      <c r="W35" s="248"/>
      <c r="X35" s="246"/>
      <c r="Y35" s="247"/>
      <c r="Z35" s="247"/>
      <c r="AA35" s="248"/>
      <c r="AB35" s="246"/>
      <c r="AC35" s="247"/>
      <c r="AD35" s="247"/>
      <c r="AE35" s="248"/>
      <c r="AF35" s="246"/>
      <c r="AG35" s="247"/>
      <c r="AH35" s="247"/>
      <c r="AI35" s="248"/>
      <c r="AJ35" s="246"/>
      <c r="AK35" s="247"/>
      <c r="AL35" s="247"/>
      <c r="AM35" s="248"/>
      <c r="AN35" s="246"/>
      <c r="AO35" s="247"/>
      <c r="AP35" s="247"/>
      <c r="AQ35" s="248"/>
      <c r="AR35" s="246"/>
      <c r="AS35" s="247"/>
      <c r="AT35" s="247"/>
      <c r="AU35" s="252"/>
      <c r="AV35" s="242"/>
      <c r="AW35" s="243"/>
      <c r="AX35" s="247"/>
      <c r="AY35" s="248"/>
      <c r="AZ35" s="246"/>
      <c r="BA35" s="247"/>
      <c r="BB35" s="247"/>
      <c r="BC35" s="248"/>
      <c r="BD35" s="246"/>
      <c r="BE35" s="247"/>
      <c r="BF35" s="247"/>
      <c r="BG35" s="248"/>
      <c r="BH35" s="246"/>
      <c r="BI35" s="247"/>
      <c r="BJ35" s="247"/>
      <c r="BK35" s="248"/>
      <c r="BL35" s="246"/>
      <c r="BM35" s="247"/>
      <c r="BN35" s="247"/>
      <c r="BO35" s="248"/>
      <c r="BP35" s="246"/>
      <c r="BQ35" s="247"/>
      <c r="BR35" s="247"/>
      <c r="BS35" s="248"/>
      <c r="BT35" s="246"/>
      <c r="BU35" s="247"/>
      <c r="BV35" s="247"/>
      <c r="BW35" s="249"/>
    </row>
    <row r="36" spans="1:75">
      <c r="A36" s="376"/>
      <c r="B36" s="295">
        <v>23</v>
      </c>
      <c r="C36" s="287" t="s">
        <v>380</v>
      </c>
      <c r="D36" s="296"/>
      <c r="E36" s="247"/>
      <c r="F36" s="247"/>
      <c r="G36" s="248"/>
      <c r="H36" s="246"/>
      <c r="I36" s="247"/>
      <c r="J36" s="247"/>
      <c r="K36" s="248"/>
      <c r="L36" s="246"/>
      <c r="M36" s="247"/>
      <c r="N36" s="247"/>
      <c r="O36" s="248"/>
      <c r="P36" s="246"/>
      <c r="Q36" s="247"/>
      <c r="R36" s="247"/>
      <c r="S36" s="248"/>
      <c r="T36" s="246"/>
      <c r="U36" s="247"/>
      <c r="V36" s="247"/>
      <c r="W36" s="248"/>
      <c r="X36" s="246"/>
      <c r="Y36" s="247"/>
      <c r="Z36" s="247"/>
      <c r="AA36" s="248"/>
      <c r="AB36" s="246"/>
      <c r="AC36" s="247"/>
      <c r="AD36" s="247"/>
      <c r="AE36" s="248"/>
      <c r="AF36" s="246"/>
      <c r="AG36" s="247"/>
      <c r="AH36" s="247"/>
      <c r="AI36" s="248"/>
      <c r="AJ36" s="246"/>
      <c r="AK36" s="247"/>
      <c r="AL36" s="247"/>
      <c r="AM36" s="248"/>
      <c r="AN36" s="246"/>
      <c r="AO36" s="247"/>
      <c r="AP36" s="247"/>
      <c r="AQ36" s="248"/>
      <c r="AR36" s="246"/>
      <c r="AS36" s="247"/>
      <c r="AT36" s="247"/>
      <c r="AU36" s="252"/>
      <c r="AV36" s="242"/>
      <c r="AW36" s="243"/>
      <c r="AX36" s="247"/>
      <c r="AY36" s="248"/>
      <c r="AZ36" s="246"/>
      <c r="BA36" s="247"/>
      <c r="BB36" s="247"/>
      <c r="BC36" s="248"/>
      <c r="BD36" s="246"/>
      <c r="BE36" s="247"/>
      <c r="BF36" s="247"/>
      <c r="BG36" s="248"/>
      <c r="BH36" s="246"/>
      <c r="BI36" s="247"/>
      <c r="BJ36" s="247"/>
      <c r="BK36" s="248"/>
      <c r="BL36" s="246"/>
      <c r="BM36" s="247"/>
      <c r="BN36" s="247"/>
      <c r="BO36" s="248"/>
      <c r="BP36" s="246"/>
      <c r="BQ36" s="247"/>
      <c r="BR36" s="247"/>
      <c r="BS36" s="248"/>
      <c r="BT36" s="246"/>
      <c r="BU36" s="247"/>
      <c r="BV36" s="247"/>
      <c r="BW36" s="249"/>
    </row>
    <row r="37" spans="1:75">
      <c r="A37" s="376"/>
      <c r="B37" s="295">
        <v>24</v>
      </c>
      <c r="C37" s="287" t="s">
        <v>345</v>
      </c>
      <c r="D37" s="296"/>
      <c r="E37" s="247"/>
      <c r="F37" s="247"/>
      <c r="G37" s="248"/>
      <c r="H37" s="246"/>
      <c r="I37" s="247"/>
      <c r="J37" s="247"/>
      <c r="K37" s="248"/>
      <c r="L37" s="246"/>
      <c r="M37" s="247"/>
      <c r="N37" s="247"/>
      <c r="O37" s="248"/>
      <c r="P37" s="246"/>
      <c r="Q37" s="247"/>
      <c r="R37" s="247"/>
      <c r="S37" s="248"/>
      <c r="T37" s="246"/>
      <c r="U37" s="247"/>
      <c r="V37" s="247"/>
      <c r="W37" s="248"/>
      <c r="X37" s="246"/>
      <c r="Y37" s="247"/>
      <c r="Z37" s="247"/>
      <c r="AA37" s="248"/>
      <c r="AB37" s="246"/>
      <c r="AC37" s="247"/>
      <c r="AD37" s="247"/>
      <c r="AE37" s="248"/>
      <c r="AF37" s="246"/>
      <c r="AG37" s="247"/>
      <c r="AH37" s="247"/>
      <c r="AI37" s="248"/>
      <c r="AJ37" s="246"/>
      <c r="AK37" s="247"/>
      <c r="AL37" s="247"/>
      <c r="AM37" s="248"/>
      <c r="AN37" s="246"/>
      <c r="AO37" s="247"/>
      <c r="AP37" s="247"/>
      <c r="AQ37" s="248"/>
      <c r="AR37" s="246"/>
      <c r="AS37" s="247"/>
      <c r="AT37" s="247"/>
      <c r="AU37" s="248"/>
      <c r="AV37" s="242"/>
      <c r="AW37" s="243"/>
      <c r="AX37" s="247"/>
      <c r="AY37" s="248"/>
      <c r="AZ37" s="246"/>
      <c r="BA37" s="247"/>
      <c r="BB37" s="247"/>
      <c r="BC37" s="248"/>
      <c r="BD37" s="246"/>
      <c r="BE37" s="247"/>
      <c r="BF37" s="247"/>
      <c r="BG37" s="248"/>
      <c r="BH37" s="246"/>
      <c r="BI37" s="247"/>
      <c r="BJ37" s="247"/>
      <c r="BK37" s="248"/>
      <c r="BL37" s="246"/>
      <c r="BM37" s="247"/>
      <c r="BN37" s="247"/>
      <c r="BO37" s="248"/>
      <c r="BP37" s="246"/>
      <c r="BQ37" s="247"/>
      <c r="BR37" s="247"/>
      <c r="BS37" s="248"/>
      <c r="BT37" s="246"/>
      <c r="BU37" s="247"/>
      <c r="BV37" s="247"/>
      <c r="BW37" s="249"/>
    </row>
    <row r="38" spans="1:75">
      <c r="A38" s="376"/>
      <c r="B38" s="295">
        <v>25</v>
      </c>
      <c r="C38" s="287" t="s">
        <v>346</v>
      </c>
      <c r="D38" s="296"/>
      <c r="E38" s="247"/>
      <c r="F38" s="247"/>
      <c r="G38" s="248"/>
      <c r="H38" s="246"/>
      <c r="I38" s="247"/>
      <c r="J38" s="247"/>
      <c r="K38" s="248"/>
      <c r="L38" s="246"/>
      <c r="M38" s="247"/>
      <c r="N38" s="247"/>
      <c r="O38" s="248"/>
      <c r="P38" s="246"/>
      <c r="Q38" s="247"/>
      <c r="R38" s="247"/>
      <c r="S38" s="248"/>
      <c r="T38" s="246"/>
      <c r="U38" s="247"/>
      <c r="V38" s="247"/>
      <c r="W38" s="248"/>
      <c r="X38" s="246"/>
      <c r="Y38" s="247"/>
      <c r="Z38" s="247"/>
      <c r="AA38" s="248"/>
      <c r="AB38" s="246"/>
      <c r="AC38" s="247"/>
      <c r="AD38" s="247"/>
      <c r="AE38" s="248"/>
      <c r="AF38" s="246"/>
      <c r="AG38" s="247"/>
      <c r="AH38" s="247"/>
      <c r="AI38" s="248"/>
      <c r="AJ38" s="246"/>
      <c r="AK38" s="247"/>
      <c r="AL38" s="247"/>
      <c r="AM38" s="248"/>
      <c r="AN38" s="246"/>
      <c r="AO38" s="247"/>
      <c r="AP38" s="247"/>
      <c r="AQ38" s="248"/>
      <c r="AR38" s="246"/>
      <c r="AS38" s="247"/>
      <c r="AT38" s="247"/>
      <c r="AU38" s="248"/>
      <c r="AV38" s="246"/>
      <c r="AW38" s="247"/>
      <c r="AX38" s="243"/>
      <c r="AY38" s="252"/>
      <c r="AZ38" s="246"/>
      <c r="BA38" s="247"/>
      <c r="BB38" s="247"/>
      <c r="BC38" s="248"/>
      <c r="BD38" s="246"/>
      <c r="BE38" s="247"/>
      <c r="BF38" s="247"/>
      <c r="BG38" s="248"/>
      <c r="BH38" s="246"/>
      <c r="BI38" s="247"/>
      <c r="BJ38" s="247"/>
      <c r="BK38" s="248"/>
      <c r="BL38" s="246"/>
      <c r="BM38" s="247"/>
      <c r="BN38" s="247"/>
      <c r="BO38" s="248"/>
      <c r="BP38" s="246"/>
      <c r="BQ38" s="247"/>
      <c r="BR38" s="247"/>
      <c r="BS38" s="248"/>
      <c r="BT38" s="246"/>
      <c r="BU38" s="247"/>
      <c r="BV38" s="247"/>
      <c r="BW38" s="249"/>
    </row>
    <row r="39" spans="1:75">
      <c r="A39" s="376"/>
      <c r="B39" s="295">
        <v>26</v>
      </c>
      <c r="C39" s="287" t="s">
        <v>347</v>
      </c>
      <c r="D39" s="296"/>
      <c r="E39" s="247"/>
      <c r="F39" s="247"/>
      <c r="G39" s="248"/>
      <c r="H39" s="246"/>
      <c r="I39" s="247"/>
      <c r="J39" s="247"/>
      <c r="K39" s="248"/>
      <c r="L39" s="246"/>
      <c r="M39" s="247"/>
      <c r="N39" s="247"/>
      <c r="O39" s="248"/>
      <c r="P39" s="246"/>
      <c r="Q39" s="247"/>
      <c r="R39" s="247"/>
      <c r="S39" s="248"/>
      <c r="T39" s="246"/>
      <c r="U39" s="247"/>
      <c r="V39" s="247"/>
      <c r="W39" s="248"/>
      <c r="X39" s="246"/>
      <c r="Y39" s="247"/>
      <c r="Z39" s="247"/>
      <c r="AA39" s="248"/>
      <c r="AB39" s="246"/>
      <c r="AC39" s="247"/>
      <c r="AD39" s="247"/>
      <c r="AE39" s="248"/>
      <c r="AF39" s="246"/>
      <c r="AG39" s="247"/>
      <c r="AH39" s="247"/>
      <c r="AI39" s="248"/>
      <c r="AJ39" s="246"/>
      <c r="AK39" s="247"/>
      <c r="AL39" s="247"/>
      <c r="AM39" s="248"/>
      <c r="AN39" s="246"/>
      <c r="AO39" s="247"/>
      <c r="AP39" s="247"/>
      <c r="AQ39" s="248"/>
      <c r="AR39" s="246"/>
      <c r="AS39" s="247"/>
      <c r="AT39" s="247"/>
      <c r="AU39" s="248"/>
      <c r="AV39" s="246"/>
      <c r="AW39" s="247"/>
      <c r="AX39" s="243"/>
      <c r="AY39" s="252"/>
      <c r="AZ39" s="242"/>
      <c r="BA39" s="243"/>
      <c r="BB39" s="247"/>
      <c r="BC39" s="248"/>
      <c r="BD39" s="246"/>
      <c r="BE39" s="247"/>
      <c r="BF39" s="247"/>
      <c r="BG39" s="248"/>
      <c r="BH39" s="246"/>
      <c r="BI39" s="247"/>
      <c r="BJ39" s="247"/>
      <c r="BK39" s="248"/>
      <c r="BL39" s="246"/>
      <c r="BM39" s="247"/>
      <c r="BN39" s="247"/>
      <c r="BO39" s="248"/>
      <c r="BP39" s="246"/>
      <c r="BQ39" s="247"/>
      <c r="BR39" s="247"/>
      <c r="BS39" s="248"/>
      <c r="BT39" s="246"/>
      <c r="BU39" s="247"/>
      <c r="BV39" s="247"/>
      <c r="BW39" s="249"/>
    </row>
    <row r="40" spans="1:75" ht="14.5" thickBot="1">
      <c r="A40" s="380"/>
      <c r="B40" s="307">
        <v>27</v>
      </c>
      <c r="C40" s="297" t="s">
        <v>348</v>
      </c>
      <c r="D40" s="316"/>
      <c r="E40" s="261"/>
      <c r="F40" s="261"/>
      <c r="G40" s="262"/>
      <c r="H40" s="263"/>
      <c r="I40" s="261"/>
      <c r="J40" s="261"/>
      <c r="K40" s="262"/>
      <c r="L40" s="263"/>
      <c r="M40" s="261"/>
      <c r="N40" s="261"/>
      <c r="O40" s="262"/>
      <c r="P40" s="263"/>
      <c r="Q40" s="261"/>
      <c r="R40" s="261"/>
      <c r="S40" s="262"/>
      <c r="T40" s="263"/>
      <c r="U40" s="261"/>
      <c r="V40" s="261"/>
      <c r="W40" s="262"/>
      <c r="X40" s="263"/>
      <c r="Y40" s="261"/>
      <c r="Z40" s="261"/>
      <c r="AA40" s="262"/>
      <c r="AB40" s="263"/>
      <c r="AC40" s="261"/>
      <c r="AD40" s="261"/>
      <c r="AE40" s="262"/>
      <c r="AF40" s="263"/>
      <c r="AG40" s="261"/>
      <c r="AH40" s="261"/>
      <c r="AI40" s="262"/>
      <c r="AJ40" s="263"/>
      <c r="AK40" s="261"/>
      <c r="AL40" s="261"/>
      <c r="AM40" s="262"/>
      <c r="AN40" s="263"/>
      <c r="AO40" s="261"/>
      <c r="AP40" s="261"/>
      <c r="AQ40" s="262"/>
      <c r="AR40" s="263"/>
      <c r="AS40" s="261"/>
      <c r="AT40" s="261"/>
      <c r="AU40" s="262"/>
      <c r="AV40" s="263"/>
      <c r="AW40" s="261"/>
      <c r="AX40" s="261"/>
      <c r="AY40" s="262"/>
      <c r="AZ40" s="264"/>
      <c r="BA40" s="265"/>
      <c r="BB40" s="265"/>
      <c r="BC40" s="288"/>
      <c r="BD40" s="263"/>
      <c r="BE40" s="261"/>
      <c r="BF40" s="261"/>
      <c r="BG40" s="262"/>
      <c r="BH40" s="263"/>
      <c r="BI40" s="261"/>
      <c r="BJ40" s="261"/>
      <c r="BK40" s="262"/>
      <c r="BL40" s="263"/>
      <c r="BM40" s="261"/>
      <c r="BN40" s="261"/>
      <c r="BO40" s="262"/>
      <c r="BP40" s="263"/>
      <c r="BQ40" s="261"/>
      <c r="BR40" s="261"/>
      <c r="BS40" s="262"/>
      <c r="BT40" s="263"/>
      <c r="BU40" s="261"/>
      <c r="BV40" s="261"/>
      <c r="BW40" s="266"/>
    </row>
    <row r="41" spans="1:75" ht="14.5" thickBot="1">
      <c r="A41" s="267" t="s">
        <v>370</v>
      </c>
      <c r="B41" s="268"/>
      <c r="C41" s="269" t="s">
        <v>386</v>
      </c>
      <c r="D41" s="270"/>
      <c r="E41" s="271"/>
      <c r="F41" s="271"/>
      <c r="G41" s="272"/>
      <c r="H41" s="273"/>
      <c r="I41" s="271"/>
      <c r="J41" s="271"/>
      <c r="K41" s="272"/>
      <c r="L41" s="273"/>
      <c r="M41" s="271"/>
      <c r="N41" s="271"/>
      <c r="O41" s="272"/>
      <c r="P41" s="273"/>
      <c r="Q41" s="271"/>
      <c r="R41" s="271"/>
      <c r="S41" s="272"/>
      <c r="T41" s="274"/>
      <c r="U41" s="271"/>
      <c r="V41" s="271"/>
      <c r="W41" s="272"/>
      <c r="X41" s="273"/>
      <c r="Y41" s="271"/>
      <c r="Z41" s="271"/>
      <c r="AA41" s="272"/>
      <c r="AB41" s="273"/>
      <c r="AC41" s="271"/>
      <c r="AD41" s="271"/>
      <c r="AE41" s="272"/>
      <c r="AF41" s="273"/>
      <c r="AG41" s="271"/>
      <c r="AH41" s="271"/>
      <c r="AI41" s="272"/>
      <c r="AJ41" s="273"/>
      <c r="AK41" s="271"/>
      <c r="AL41" s="271"/>
      <c r="AM41" s="272"/>
      <c r="AN41" s="273"/>
      <c r="AO41" s="271"/>
      <c r="AP41" s="271"/>
      <c r="AQ41" s="272"/>
      <c r="AR41" s="273"/>
      <c r="AS41" s="271"/>
      <c r="AT41" s="271"/>
      <c r="AU41" s="272"/>
      <c r="AV41" s="273"/>
      <c r="AW41" s="271"/>
      <c r="AX41" s="271"/>
      <c r="AY41" s="272"/>
      <c r="AZ41" s="273"/>
      <c r="BA41" s="271"/>
      <c r="BB41" s="271"/>
      <c r="BC41" s="289"/>
      <c r="BD41" s="273"/>
      <c r="BE41" s="271"/>
      <c r="BF41" s="271"/>
      <c r="BG41" s="272"/>
      <c r="BH41" s="273"/>
      <c r="BI41" s="271"/>
      <c r="BJ41" s="271"/>
      <c r="BK41" s="272"/>
      <c r="BL41" s="273"/>
      <c r="BM41" s="271"/>
      <c r="BN41" s="271"/>
      <c r="BO41" s="272"/>
      <c r="BP41" s="273"/>
      <c r="BQ41" s="271"/>
      <c r="BR41" s="271"/>
      <c r="BS41" s="272"/>
      <c r="BT41" s="273"/>
      <c r="BU41" s="271"/>
      <c r="BV41" s="271"/>
      <c r="BW41" s="276"/>
    </row>
    <row r="42" spans="1:75">
      <c r="A42" s="381" t="s">
        <v>375</v>
      </c>
      <c r="B42" s="382"/>
      <c r="C42" s="382"/>
      <c r="D42" s="277"/>
      <c r="E42" s="235"/>
      <c r="F42" s="235"/>
      <c r="G42" s="236"/>
      <c r="H42" s="237"/>
      <c r="I42" s="235"/>
      <c r="J42" s="235"/>
      <c r="K42" s="236"/>
      <c r="L42" s="237"/>
      <c r="M42" s="235"/>
      <c r="N42" s="235"/>
      <c r="O42" s="236"/>
      <c r="P42" s="237"/>
      <c r="Q42" s="235"/>
      <c r="R42" s="235"/>
      <c r="S42" s="236"/>
      <c r="T42" s="237"/>
      <c r="U42" s="235"/>
      <c r="V42" s="235"/>
      <c r="W42" s="236"/>
      <c r="X42" s="237"/>
      <c r="Y42" s="235"/>
      <c r="Z42" s="235"/>
      <c r="AA42" s="236"/>
      <c r="AB42" s="237"/>
      <c r="AC42" s="235"/>
      <c r="AD42" s="235"/>
      <c r="AE42" s="236"/>
      <c r="AF42" s="237"/>
      <c r="AG42" s="235"/>
      <c r="AH42" s="235"/>
      <c r="AI42" s="236"/>
      <c r="AJ42" s="237"/>
      <c r="AK42" s="235"/>
      <c r="AL42" s="235"/>
      <c r="AM42" s="236"/>
      <c r="AN42" s="237"/>
      <c r="AO42" s="235"/>
      <c r="AP42" s="235"/>
      <c r="AQ42" s="236"/>
      <c r="AR42" s="237"/>
      <c r="AS42" s="235"/>
      <c r="AT42" s="235"/>
      <c r="AU42" s="236"/>
      <c r="AV42" s="237"/>
      <c r="AW42" s="235"/>
      <c r="AX42" s="235"/>
      <c r="AY42" s="236"/>
      <c r="AZ42" s="237"/>
      <c r="BA42" s="235"/>
      <c r="BB42" s="235"/>
      <c r="BC42" s="236"/>
      <c r="BD42" s="237"/>
      <c r="BE42" s="235"/>
      <c r="BF42" s="235"/>
      <c r="BG42" s="236"/>
      <c r="BH42" s="237"/>
      <c r="BI42" s="235"/>
      <c r="BJ42" s="235"/>
      <c r="BK42" s="236"/>
      <c r="BL42" s="237"/>
      <c r="BM42" s="235"/>
      <c r="BN42" s="235"/>
      <c r="BO42" s="236"/>
      <c r="BP42" s="237"/>
      <c r="BQ42" s="235"/>
      <c r="BR42" s="235"/>
      <c r="BS42" s="236"/>
      <c r="BT42" s="237"/>
      <c r="BU42" s="235"/>
      <c r="BV42" s="235"/>
      <c r="BW42" s="238"/>
    </row>
    <row r="43" spans="1:75">
      <c r="A43" s="383" t="s">
        <v>330</v>
      </c>
      <c r="B43" s="284">
        <v>28</v>
      </c>
      <c r="C43" s="287" t="s">
        <v>349</v>
      </c>
      <c r="D43" s="253"/>
      <c r="E43" s="247"/>
      <c r="F43" s="285"/>
      <c r="G43" s="286"/>
      <c r="H43" s="285"/>
      <c r="I43" s="285"/>
      <c r="J43" s="285"/>
      <c r="K43" s="286"/>
      <c r="L43" s="246"/>
      <c r="M43" s="247"/>
      <c r="N43" s="247"/>
      <c r="O43" s="248"/>
      <c r="P43" s="246"/>
      <c r="Q43" s="247"/>
      <c r="R43" s="247"/>
      <c r="S43" s="248"/>
      <c r="T43" s="246"/>
      <c r="U43" s="247"/>
      <c r="V43" s="247"/>
      <c r="W43" s="248"/>
      <c r="X43" s="246"/>
      <c r="Y43" s="247"/>
      <c r="Z43" s="247"/>
      <c r="AA43" s="248"/>
      <c r="AB43" s="246"/>
      <c r="AC43" s="247"/>
      <c r="AD43" s="247"/>
      <c r="AE43" s="248"/>
      <c r="AF43" s="246"/>
      <c r="AG43" s="247"/>
      <c r="AH43" s="247"/>
      <c r="AI43" s="248"/>
      <c r="AJ43" s="246"/>
      <c r="AK43" s="247"/>
      <c r="AL43" s="247"/>
      <c r="AM43" s="248"/>
      <c r="AN43" s="246"/>
      <c r="AO43" s="247"/>
      <c r="AP43" s="247"/>
      <c r="AQ43" s="248"/>
      <c r="AR43" s="246"/>
      <c r="AS43" s="247"/>
      <c r="AT43" s="247"/>
      <c r="AU43" s="248"/>
      <c r="AV43" s="242"/>
      <c r="AW43" s="243"/>
      <c r="AX43" s="243"/>
      <c r="AY43" s="252"/>
      <c r="AZ43" s="246"/>
      <c r="BA43" s="247"/>
      <c r="BB43" s="247"/>
      <c r="BC43" s="248"/>
      <c r="BD43" s="246"/>
      <c r="BE43" s="247"/>
      <c r="BF43" s="247"/>
      <c r="BG43" s="248"/>
      <c r="BH43" s="246"/>
      <c r="BI43" s="247"/>
      <c r="BJ43" s="247"/>
      <c r="BK43" s="248"/>
      <c r="BL43" s="246"/>
      <c r="BM43" s="247"/>
      <c r="BN43" s="247"/>
      <c r="BO43" s="248"/>
      <c r="BP43" s="246"/>
      <c r="BQ43" s="247"/>
      <c r="BR43" s="247"/>
      <c r="BS43" s="248"/>
      <c r="BT43" s="246"/>
      <c r="BU43" s="247"/>
      <c r="BV43" s="247"/>
      <c r="BW43" s="249"/>
    </row>
    <row r="44" spans="1:75">
      <c r="A44" s="383"/>
      <c r="B44" s="284">
        <v>29</v>
      </c>
      <c r="C44" s="287" t="s">
        <v>350</v>
      </c>
      <c r="D44" s="253"/>
      <c r="E44" s="247"/>
      <c r="F44" s="247"/>
      <c r="G44" s="248"/>
      <c r="H44" s="247"/>
      <c r="I44" s="247"/>
      <c r="J44" s="247"/>
      <c r="K44" s="248"/>
      <c r="L44" s="246"/>
      <c r="M44" s="247"/>
      <c r="N44" s="247"/>
      <c r="O44" s="248"/>
      <c r="P44" s="246"/>
      <c r="Q44" s="247"/>
      <c r="R44" s="247"/>
      <c r="S44" s="248"/>
      <c r="T44" s="246"/>
      <c r="U44" s="247"/>
      <c r="V44" s="247"/>
      <c r="W44" s="248"/>
      <c r="X44" s="246"/>
      <c r="Y44" s="247"/>
      <c r="Z44" s="247"/>
      <c r="AA44" s="248"/>
      <c r="AB44" s="246"/>
      <c r="AC44" s="247"/>
      <c r="AD44" s="247"/>
      <c r="AE44" s="248"/>
      <c r="AF44" s="246"/>
      <c r="AG44" s="247"/>
      <c r="AH44" s="247"/>
      <c r="AI44" s="248"/>
      <c r="AJ44" s="246"/>
      <c r="AK44" s="247"/>
      <c r="AL44" s="247"/>
      <c r="AM44" s="248"/>
      <c r="AN44" s="246"/>
      <c r="AO44" s="247"/>
      <c r="AP44" s="247"/>
      <c r="AQ44" s="248"/>
      <c r="AR44" s="246"/>
      <c r="AS44" s="247"/>
      <c r="AT44" s="247"/>
      <c r="AU44" s="248"/>
      <c r="AV44" s="242"/>
      <c r="AW44" s="243"/>
      <c r="AX44" s="243"/>
      <c r="AY44" s="252"/>
      <c r="AZ44" s="242"/>
      <c r="BA44" s="243"/>
      <c r="BB44" s="243"/>
      <c r="BC44" s="252"/>
      <c r="BD44" s="242"/>
      <c r="BE44" s="243"/>
      <c r="BF44" s="243"/>
      <c r="BG44" s="252"/>
      <c r="BH44" s="242"/>
      <c r="BI44" s="243"/>
      <c r="BJ44" s="247"/>
      <c r="BK44" s="248"/>
      <c r="BL44" s="246"/>
      <c r="BM44" s="247"/>
      <c r="BN44" s="247"/>
      <c r="BO44" s="248"/>
      <c r="BP44" s="246"/>
      <c r="BQ44" s="247"/>
      <c r="BR44" s="247"/>
      <c r="BS44" s="248"/>
      <c r="BT44" s="246"/>
      <c r="BU44" s="247"/>
      <c r="BV44" s="247"/>
      <c r="BW44" s="249"/>
    </row>
    <row r="45" spans="1:75">
      <c r="A45" s="383"/>
      <c r="B45" s="284">
        <v>30</v>
      </c>
      <c r="C45" s="287" t="s">
        <v>351</v>
      </c>
      <c r="D45" s="253"/>
      <c r="E45" s="247"/>
      <c r="F45" s="247"/>
      <c r="G45" s="248"/>
      <c r="H45" s="247"/>
      <c r="I45" s="247"/>
      <c r="J45" s="247"/>
      <c r="K45" s="248"/>
      <c r="L45" s="246"/>
      <c r="M45" s="247"/>
      <c r="N45" s="247"/>
      <c r="O45" s="248"/>
      <c r="P45" s="246"/>
      <c r="Q45" s="247"/>
      <c r="R45" s="247"/>
      <c r="S45" s="248"/>
      <c r="T45" s="246"/>
      <c r="U45" s="247"/>
      <c r="V45" s="247"/>
      <c r="W45" s="248"/>
      <c r="X45" s="246"/>
      <c r="Y45" s="247"/>
      <c r="Z45" s="247"/>
      <c r="AA45" s="248"/>
      <c r="AB45" s="246"/>
      <c r="AC45" s="247"/>
      <c r="AD45" s="247"/>
      <c r="AE45" s="248"/>
      <c r="AF45" s="246"/>
      <c r="AG45" s="247"/>
      <c r="AH45" s="247"/>
      <c r="AI45" s="248"/>
      <c r="AJ45" s="246"/>
      <c r="AK45" s="247"/>
      <c r="AL45" s="247"/>
      <c r="AM45" s="248"/>
      <c r="AN45" s="246"/>
      <c r="AO45" s="247"/>
      <c r="AP45" s="247"/>
      <c r="AQ45" s="248"/>
      <c r="AR45" s="246"/>
      <c r="AS45" s="247"/>
      <c r="AT45" s="247"/>
      <c r="AU45" s="248"/>
      <c r="AV45" s="246"/>
      <c r="AW45" s="247"/>
      <c r="AX45" s="247"/>
      <c r="AY45" s="248"/>
      <c r="AZ45" s="246"/>
      <c r="BA45" s="247"/>
      <c r="BB45" s="243"/>
      <c r="BC45" s="252"/>
      <c r="BD45" s="242"/>
      <c r="BE45" s="243"/>
      <c r="BF45" s="243"/>
      <c r="BG45" s="252"/>
      <c r="BH45" s="242"/>
      <c r="BI45" s="243"/>
      <c r="BJ45" s="247"/>
      <c r="BK45" s="248"/>
      <c r="BL45" s="246"/>
      <c r="BM45" s="247"/>
      <c r="BN45" s="247"/>
      <c r="BO45" s="248"/>
      <c r="BP45" s="246"/>
      <c r="BQ45" s="247"/>
      <c r="BR45" s="247"/>
      <c r="BS45" s="248"/>
      <c r="BT45" s="246"/>
      <c r="BU45" s="247"/>
      <c r="BV45" s="247"/>
      <c r="BW45" s="249"/>
    </row>
    <row r="46" spans="1:75">
      <c r="A46" s="383" t="s">
        <v>334</v>
      </c>
      <c r="B46" s="284">
        <v>31</v>
      </c>
      <c r="C46" s="287" t="s">
        <v>352</v>
      </c>
      <c r="D46" s="253"/>
      <c r="E46" s="247"/>
      <c r="F46" s="247"/>
      <c r="G46" s="248"/>
      <c r="H46" s="247"/>
      <c r="I46" s="247"/>
      <c r="J46" s="247"/>
      <c r="K46" s="248"/>
      <c r="L46" s="246"/>
      <c r="M46" s="247"/>
      <c r="N46" s="247"/>
      <c r="O46" s="248"/>
      <c r="P46" s="246"/>
      <c r="Q46" s="247"/>
      <c r="R46" s="247"/>
      <c r="S46" s="248"/>
      <c r="T46" s="246"/>
      <c r="U46" s="247"/>
      <c r="V46" s="247"/>
      <c r="W46" s="248"/>
      <c r="X46" s="246"/>
      <c r="Y46" s="247"/>
      <c r="Z46" s="247"/>
      <c r="AA46" s="248"/>
      <c r="AB46" s="246"/>
      <c r="AC46" s="247"/>
      <c r="AD46" s="247"/>
      <c r="AE46" s="248"/>
      <c r="AF46" s="246"/>
      <c r="AG46" s="247"/>
      <c r="AH46" s="247"/>
      <c r="AI46" s="248"/>
      <c r="AJ46" s="246"/>
      <c r="AK46" s="247"/>
      <c r="AL46" s="247"/>
      <c r="AM46" s="248"/>
      <c r="AN46" s="246"/>
      <c r="AO46" s="247"/>
      <c r="AP46" s="247"/>
      <c r="AQ46" s="248"/>
      <c r="AR46" s="246"/>
      <c r="AS46" s="247"/>
      <c r="AT46" s="247"/>
      <c r="AU46" s="248"/>
      <c r="AV46" s="246"/>
      <c r="AW46" s="247"/>
      <c r="AX46" s="247"/>
      <c r="AY46" s="248"/>
      <c r="AZ46" s="246"/>
      <c r="BA46" s="247"/>
      <c r="BB46" s="247"/>
      <c r="BC46" s="248"/>
      <c r="BD46" s="246"/>
      <c r="BE46" s="247"/>
      <c r="BF46" s="247"/>
      <c r="BG46" s="248"/>
      <c r="BH46" s="242"/>
      <c r="BI46" s="243"/>
      <c r="BJ46" s="247"/>
      <c r="BK46" s="248"/>
      <c r="BL46" s="246"/>
      <c r="BM46" s="247"/>
      <c r="BN46" s="247"/>
      <c r="BO46" s="248"/>
      <c r="BP46" s="246"/>
      <c r="BQ46" s="247"/>
      <c r="BR46" s="247"/>
      <c r="BS46" s="248"/>
      <c r="BT46" s="246"/>
      <c r="BU46" s="247"/>
      <c r="BV46" s="247"/>
      <c r="BW46" s="249"/>
    </row>
    <row r="47" spans="1:75">
      <c r="A47" s="383"/>
      <c r="B47" s="284">
        <v>32</v>
      </c>
      <c r="C47" s="283" t="s">
        <v>353</v>
      </c>
      <c r="D47" s="253"/>
      <c r="E47" s="247"/>
      <c r="F47" s="247"/>
      <c r="G47" s="248"/>
      <c r="H47" s="247"/>
      <c r="I47" s="247"/>
      <c r="J47" s="247"/>
      <c r="K47" s="248"/>
      <c r="L47" s="246"/>
      <c r="M47" s="247"/>
      <c r="N47" s="247"/>
      <c r="O47" s="248"/>
      <c r="P47" s="246"/>
      <c r="Q47" s="247"/>
      <c r="R47" s="247"/>
      <c r="S47" s="248"/>
      <c r="T47" s="246"/>
      <c r="U47" s="247"/>
      <c r="V47" s="247"/>
      <c r="W47" s="248"/>
      <c r="X47" s="246"/>
      <c r="Y47" s="247"/>
      <c r="Z47" s="247"/>
      <c r="AA47" s="248"/>
      <c r="AB47" s="246"/>
      <c r="AC47" s="247"/>
      <c r="AD47" s="247"/>
      <c r="AE47" s="248"/>
      <c r="AF47" s="246"/>
      <c r="AG47" s="247"/>
      <c r="AH47" s="247"/>
      <c r="AI47" s="248"/>
      <c r="AJ47" s="246"/>
      <c r="AK47" s="247"/>
      <c r="AL47" s="247"/>
      <c r="AM47" s="248"/>
      <c r="AN47" s="246"/>
      <c r="AO47" s="247"/>
      <c r="AP47" s="247"/>
      <c r="AQ47" s="248"/>
      <c r="AR47" s="246"/>
      <c r="AS47" s="247"/>
      <c r="AT47" s="247"/>
      <c r="AU47" s="248"/>
      <c r="AV47" s="246"/>
      <c r="AW47" s="247"/>
      <c r="AX47" s="247"/>
      <c r="AY47" s="248"/>
      <c r="AZ47" s="246"/>
      <c r="BA47" s="247"/>
      <c r="BB47" s="247"/>
      <c r="BC47" s="248"/>
      <c r="BD47" s="246"/>
      <c r="BE47" s="247"/>
      <c r="BF47" s="247"/>
      <c r="BG47" s="248"/>
      <c r="BH47" s="246"/>
      <c r="BI47" s="247"/>
      <c r="BJ47" s="243"/>
      <c r="BK47" s="252"/>
      <c r="BL47" s="246"/>
      <c r="BM47" s="247"/>
      <c r="BN47" s="247"/>
      <c r="BO47" s="248"/>
      <c r="BP47" s="246"/>
      <c r="BQ47" s="247"/>
      <c r="BR47" s="247"/>
      <c r="BS47" s="248"/>
      <c r="BT47" s="246"/>
      <c r="BU47" s="247"/>
      <c r="BV47" s="247"/>
      <c r="BW47" s="249"/>
    </row>
    <row r="48" spans="1:75">
      <c r="A48" s="376" t="s">
        <v>337</v>
      </c>
      <c r="B48" s="284">
        <v>33</v>
      </c>
      <c r="C48" s="287" t="s">
        <v>378</v>
      </c>
      <c r="D48" s="253"/>
      <c r="E48" s="247"/>
      <c r="F48" s="247"/>
      <c r="G48" s="248"/>
      <c r="H48" s="247"/>
      <c r="I48" s="247"/>
      <c r="J48" s="247"/>
      <c r="K48" s="248"/>
      <c r="L48" s="247"/>
      <c r="M48" s="247"/>
      <c r="N48" s="247"/>
      <c r="O48" s="248"/>
      <c r="P48" s="246"/>
      <c r="Q48" s="247"/>
      <c r="R48" s="247"/>
      <c r="S48" s="248"/>
      <c r="T48" s="246"/>
      <c r="U48" s="247"/>
      <c r="V48" s="247"/>
      <c r="W48" s="248"/>
      <c r="X48" s="246"/>
      <c r="Y48" s="247"/>
      <c r="Z48" s="247"/>
      <c r="AA48" s="248"/>
      <c r="AB48" s="246"/>
      <c r="AC48" s="247"/>
      <c r="AD48" s="247"/>
      <c r="AE48" s="248"/>
      <c r="AF48" s="246"/>
      <c r="AG48" s="247"/>
      <c r="AH48" s="247"/>
      <c r="AI48" s="248"/>
      <c r="AJ48" s="246"/>
      <c r="AK48" s="247"/>
      <c r="AL48" s="247"/>
      <c r="AM48" s="248"/>
      <c r="AN48" s="246"/>
      <c r="AO48" s="247"/>
      <c r="AP48" s="247"/>
      <c r="AQ48" s="248"/>
      <c r="AR48" s="246"/>
      <c r="AS48" s="247"/>
      <c r="AT48" s="247"/>
      <c r="AU48" s="248"/>
      <c r="AV48" s="246"/>
      <c r="AW48" s="247"/>
      <c r="AX48" s="247"/>
      <c r="AY48" s="248"/>
      <c r="AZ48" s="246"/>
      <c r="BA48" s="247"/>
      <c r="BB48" s="247"/>
      <c r="BC48" s="248"/>
      <c r="BD48" s="246"/>
      <c r="BE48" s="247"/>
      <c r="BF48" s="247"/>
      <c r="BG48" s="248"/>
      <c r="BH48" s="246"/>
      <c r="BI48" s="247"/>
      <c r="BJ48" s="247"/>
      <c r="BK48" s="248"/>
      <c r="BL48" s="242"/>
      <c r="BM48" s="243"/>
      <c r="BN48" s="243"/>
      <c r="BO48" s="252"/>
      <c r="BP48" s="246"/>
      <c r="BQ48" s="247"/>
      <c r="BR48" s="247"/>
      <c r="BS48" s="248"/>
      <c r="BT48" s="246"/>
      <c r="BU48" s="247"/>
      <c r="BV48" s="247"/>
      <c r="BW48" s="249"/>
    </row>
    <row r="49" spans="1:75" ht="14.5" thickBot="1">
      <c r="A49" s="376"/>
      <c r="B49" s="284">
        <v>34</v>
      </c>
      <c r="C49" s="287" t="s">
        <v>354</v>
      </c>
      <c r="D49" s="260"/>
      <c r="E49" s="261"/>
      <c r="F49" s="261"/>
      <c r="G49" s="262"/>
      <c r="H49" s="261"/>
      <c r="I49" s="261"/>
      <c r="J49" s="261"/>
      <c r="K49" s="262"/>
      <c r="L49" s="261"/>
      <c r="M49" s="261"/>
      <c r="N49" s="261"/>
      <c r="O49" s="262"/>
      <c r="P49" s="263"/>
      <c r="Q49" s="261"/>
      <c r="R49" s="261"/>
      <c r="S49" s="262"/>
      <c r="T49" s="263"/>
      <c r="U49" s="261"/>
      <c r="V49" s="261"/>
      <c r="W49" s="262"/>
      <c r="X49" s="263"/>
      <c r="Y49" s="261"/>
      <c r="Z49" s="261"/>
      <c r="AA49" s="262"/>
      <c r="AB49" s="263"/>
      <c r="AC49" s="261"/>
      <c r="AD49" s="261"/>
      <c r="AE49" s="262"/>
      <c r="AF49" s="263"/>
      <c r="AG49" s="261"/>
      <c r="AH49" s="261"/>
      <c r="AI49" s="262"/>
      <c r="AJ49" s="263"/>
      <c r="AK49" s="261"/>
      <c r="AL49" s="261"/>
      <c r="AM49" s="262"/>
      <c r="AN49" s="263"/>
      <c r="AO49" s="261"/>
      <c r="AP49" s="261"/>
      <c r="AQ49" s="262"/>
      <c r="AR49" s="263"/>
      <c r="AS49" s="261"/>
      <c r="AT49" s="261"/>
      <c r="AU49" s="262"/>
      <c r="AV49" s="263"/>
      <c r="AW49" s="261"/>
      <c r="AX49" s="261"/>
      <c r="AY49" s="262"/>
      <c r="AZ49" s="263"/>
      <c r="BA49" s="261"/>
      <c r="BB49" s="261"/>
      <c r="BC49" s="262"/>
      <c r="BD49" s="263"/>
      <c r="BE49" s="261"/>
      <c r="BF49" s="261"/>
      <c r="BG49" s="262"/>
      <c r="BH49" s="263"/>
      <c r="BI49" s="261"/>
      <c r="BJ49" s="261"/>
      <c r="BK49" s="262"/>
      <c r="BL49" s="263"/>
      <c r="BM49" s="261"/>
      <c r="BN49" s="261"/>
      <c r="BO49" s="288"/>
      <c r="BP49" s="263"/>
      <c r="BQ49" s="261"/>
      <c r="BR49" s="261"/>
      <c r="BS49" s="262"/>
      <c r="BT49" s="263"/>
      <c r="BU49" s="261"/>
      <c r="BV49" s="261"/>
      <c r="BW49" s="266"/>
    </row>
    <row r="50" spans="1:75" ht="14.5" thickBot="1">
      <c r="A50" s="267" t="s">
        <v>371</v>
      </c>
      <c r="B50" s="268"/>
      <c r="C50" s="269" t="s">
        <v>387</v>
      </c>
      <c r="D50" s="270"/>
      <c r="E50" s="271"/>
      <c r="F50" s="271"/>
      <c r="G50" s="272"/>
      <c r="H50" s="273"/>
      <c r="I50" s="271"/>
      <c r="J50" s="271"/>
      <c r="K50" s="272"/>
      <c r="L50" s="273"/>
      <c r="M50" s="271"/>
      <c r="N50" s="271"/>
      <c r="O50" s="272"/>
      <c r="P50" s="273"/>
      <c r="Q50" s="271"/>
      <c r="R50" s="271"/>
      <c r="S50" s="272"/>
      <c r="T50" s="274"/>
      <c r="U50" s="271"/>
      <c r="V50" s="271"/>
      <c r="W50" s="272"/>
      <c r="X50" s="273"/>
      <c r="Y50" s="271"/>
      <c r="Z50" s="271"/>
      <c r="AA50" s="272"/>
      <c r="AB50" s="273"/>
      <c r="AC50" s="271"/>
      <c r="AD50" s="271"/>
      <c r="AE50" s="272"/>
      <c r="AF50" s="273"/>
      <c r="AG50" s="271"/>
      <c r="AH50" s="271"/>
      <c r="AI50" s="272"/>
      <c r="AJ50" s="273"/>
      <c r="AK50" s="271"/>
      <c r="AL50" s="271"/>
      <c r="AM50" s="272"/>
      <c r="AN50" s="273"/>
      <c r="AO50" s="282"/>
      <c r="AP50" s="282"/>
      <c r="AQ50" s="272"/>
      <c r="AR50" s="273"/>
      <c r="AS50" s="271"/>
      <c r="AT50" s="271"/>
      <c r="AU50" s="272"/>
      <c r="AV50" s="273"/>
      <c r="AW50" s="271"/>
      <c r="AX50" s="271"/>
      <c r="AY50" s="272"/>
      <c r="AZ50" s="273"/>
      <c r="BA50" s="271"/>
      <c r="BB50" s="271"/>
      <c r="BC50" s="272"/>
      <c r="BD50" s="273"/>
      <c r="BE50" s="271"/>
      <c r="BF50" s="271"/>
      <c r="BG50" s="272"/>
      <c r="BH50" s="273"/>
      <c r="BI50" s="271"/>
      <c r="BJ50" s="271"/>
      <c r="BK50" s="272"/>
      <c r="BL50" s="273"/>
      <c r="BM50" s="271"/>
      <c r="BN50" s="271"/>
      <c r="BO50" s="279"/>
      <c r="BP50" s="273"/>
      <c r="BQ50" s="271"/>
      <c r="BR50" s="271"/>
      <c r="BS50" s="272"/>
      <c r="BT50" s="273"/>
      <c r="BU50" s="271"/>
      <c r="BV50" s="271"/>
      <c r="BW50" s="276"/>
    </row>
    <row r="51" spans="1:75">
      <c r="A51" s="377" t="s">
        <v>376</v>
      </c>
      <c r="B51" s="378"/>
      <c r="C51" s="379"/>
      <c r="D51" s="277"/>
      <c r="E51" s="235"/>
      <c r="F51" s="235"/>
      <c r="G51" s="236"/>
      <c r="H51" s="237"/>
      <c r="I51" s="235"/>
      <c r="J51" s="235"/>
      <c r="K51" s="236"/>
      <c r="L51" s="237"/>
      <c r="M51" s="235"/>
      <c r="N51" s="235"/>
      <c r="O51" s="236"/>
      <c r="P51" s="237"/>
      <c r="Q51" s="235"/>
      <c r="R51" s="235"/>
      <c r="S51" s="236"/>
      <c r="T51" s="237"/>
      <c r="U51" s="235"/>
      <c r="V51" s="235"/>
      <c r="W51" s="236"/>
      <c r="X51" s="237"/>
      <c r="Y51" s="235"/>
      <c r="Z51" s="235"/>
      <c r="AA51" s="236"/>
      <c r="AB51" s="237"/>
      <c r="AC51" s="235"/>
      <c r="AD51" s="235"/>
      <c r="AE51" s="236"/>
      <c r="AF51" s="237"/>
      <c r="AG51" s="235"/>
      <c r="AH51" s="235"/>
      <c r="AI51" s="236"/>
      <c r="AJ51" s="237"/>
      <c r="AK51" s="235"/>
      <c r="AL51" s="235"/>
      <c r="AM51" s="236"/>
      <c r="AN51" s="237"/>
      <c r="AO51" s="235"/>
      <c r="AP51" s="235"/>
      <c r="AQ51" s="236"/>
      <c r="AR51" s="237"/>
      <c r="AS51" s="235"/>
      <c r="AT51" s="235"/>
      <c r="AU51" s="236"/>
      <c r="AV51" s="237"/>
      <c r="AW51" s="235"/>
      <c r="AX51" s="235"/>
      <c r="AY51" s="236"/>
      <c r="AZ51" s="237"/>
      <c r="BA51" s="235"/>
      <c r="BB51" s="235"/>
      <c r="BC51" s="236"/>
      <c r="BD51" s="237"/>
      <c r="BE51" s="235"/>
      <c r="BF51" s="235"/>
      <c r="BG51" s="236"/>
      <c r="BH51" s="237"/>
      <c r="BI51" s="235"/>
      <c r="BJ51" s="235"/>
      <c r="BK51" s="236"/>
      <c r="BL51" s="237"/>
      <c r="BM51" s="235"/>
      <c r="BN51" s="235"/>
      <c r="BO51" s="236"/>
      <c r="BP51" s="237"/>
      <c r="BQ51" s="235"/>
      <c r="BR51" s="235"/>
      <c r="BS51" s="236"/>
      <c r="BT51" s="237"/>
      <c r="BU51" s="235"/>
      <c r="BV51" s="235"/>
      <c r="BW51" s="238"/>
    </row>
    <row r="52" spans="1:75">
      <c r="A52" s="376" t="s">
        <v>339</v>
      </c>
      <c r="B52" s="284">
        <v>35</v>
      </c>
      <c r="C52" s="290" t="s">
        <v>340</v>
      </c>
      <c r="D52" s="314"/>
      <c r="E52" s="291"/>
      <c r="F52" s="291"/>
      <c r="G52" s="292"/>
      <c r="H52" s="293"/>
      <c r="I52" s="291"/>
      <c r="J52" s="291"/>
      <c r="K52" s="292"/>
      <c r="L52" s="291"/>
      <c r="M52" s="291"/>
      <c r="N52" s="291"/>
      <c r="O52" s="292"/>
      <c r="P52" s="293"/>
      <c r="Q52" s="291"/>
      <c r="R52" s="291"/>
      <c r="S52" s="292"/>
      <c r="T52" s="293"/>
      <c r="U52" s="291"/>
      <c r="V52" s="291"/>
      <c r="W52" s="292"/>
      <c r="X52" s="293"/>
      <c r="Y52" s="291"/>
      <c r="Z52" s="291"/>
      <c r="AA52" s="292"/>
      <c r="AB52" s="293"/>
      <c r="AC52" s="291"/>
      <c r="AD52" s="291"/>
      <c r="AE52" s="292"/>
      <c r="AF52" s="293"/>
      <c r="AG52" s="291"/>
      <c r="AH52" s="291"/>
      <c r="AI52" s="292"/>
      <c r="AJ52" s="293"/>
      <c r="AK52" s="291"/>
      <c r="AL52" s="291"/>
      <c r="AM52" s="292"/>
      <c r="AN52" s="293"/>
      <c r="AO52" s="291"/>
      <c r="AP52" s="291"/>
      <c r="AQ52" s="292"/>
      <c r="AR52" s="293"/>
      <c r="AS52" s="291"/>
      <c r="AT52" s="291"/>
      <c r="AU52" s="292"/>
      <c r="AV52" s="293"/>
      <c r="AW52" s="291"/>
      <c r="AX52" s="291"/>
      <c r="AY52" s="292"/>
      <c r="AZ52" s="293"/>
      <c r="BA52" s="291"/>
      <c r="BB52" s="291"/>
      <c r="BC52" s="292"/>
      <c r="BD52" s="293"/>
      <c r="BE52" s="291"/>
      <c r="BF52" s="291"/>
      <c r="BG52" s="292"/>
      <c r="BH52" s="293"/>
      <c r="BI52" s="291"/>
      <c r="BJ52" s="291"/>
      <c r="BK52" s="292"/>
      <c r="BL52" s="293"/>
      <c r="BM52" s="291"/>
      <c r="BN52" s="291"/>
      <c r="BO52" s="292"/>
      <c r="BP52" s="293"/>
      <c r="BQ52" s="291"/>
      <c r="BR52" s="291"/>
      <c r="BS52" s="292"/>
      <c r="BT52" s="293"/>
      <c r="BU52" s="291"/>
      <c r="BV52" s="291"/>
      <c r="BW52" s="294"/>
    </row>
    <row r="53" spans="1:75">
      <c r="A53" s="376"/>
      <c r="B53" s="284"/>
      <c r="C53" s="287" t="s">
        <v>355</v>
      </c>
      <c r="D53" s="296"/>
      <c r="E53" s="247"/>
      <c r="F53" s="247"/>
      <c r="G53" s="248"/>
      <c r="H53" s="246"/>
      <c r="I53" s="247"/>
      <c r="J53" s="247"/>
      <c r="K53" s="248"/>
      <c r="L53" s="247"/>
      <c r="M53" s="247"/>
      <c r="N53" s="247"/>
      <c r="O53" s="248"/>
      <c r="P53" s="246"/>
      <c r="Q53" s="247"/>
      <c r="R53" s="247"/>
      <c r="S53" s="248"/>
      <c r="T53" s="246"/>
      <c r="U53" s="247"/>
      <c r="V53" s="247"/>
      <c r="W53" s="248"/>
      <c r="X53" s="246"/>
      <c r="Y53" s="247"/>
      <c r="Z53" s="247"/>
      <c r="AA53" s="248"/>
      <c r="AB53" s="246"/>
      <c r="AC53" s="247"/>
      <c r="AD53" s="247"/>
      <c r="AE53" s="248"/>
      <c r="AF53" s="246"/>
      <c r="AG53" s="247"/>
      <c r="AH53" s="247"/>
      <c r="AI53" s="248"/>
      <c r="AJ53" s="246"/>
      <c r="AK53" s="247"/>
      <c r="AL53" s="247"/>
      <c r="AM53" s="248"/>
      <c r="AN53" s="246"/>
      <c r="AO53" s="247"/>
      <c r="AP53" s="247"/>
      <c r="AQ53" s="248"/>
      <c r="AR53" s="246"/>
      <c r="AS53" s="247"/>
      <c r="AT53" s="247"/>
      <c r="AU53" s="248"/>
      <c r="AV53" s="246"/>
      <c r="AW53" s="247"/>
      <c r="AX53" s="247"/>
      <c r="AY53" s="248"/>
      <c r="AZ53" s="246"/>
      <c r="BA53" s="247"/>
      <c r="BB53" s="247"/>
      <c r="BC53" s="248"/>
      <c r="BD53" s="246"/>
      <c r="BE53" s="247"/>
      <c r="BF53" s="247"/>
      <c r="BG53" s="248"/>
      <c r="BH53" s="246"/>
      <c r="BI53" s="247"/>
      <c r="BJ53" s="247"/>
      <c r="BK53" s="248"/>
      <c r="BL53" s="246"/>
      <c r="BM53" s="243"/>
      <c r="BN53" s="243"/>
      <c r="BO53" s="248"/>
      <c r="BP53" s="246"/>
      <c r="BQ53" s="247"/>
      <c r="BR53" s="247"/>
      <c r="BS53" s="248"/>
      <c r="BT53" s="246"/>
      <c r="BU53" s="247"/>
      <c r="BV53" s="247"/>
      <c r="BW53" s="249"/>
    </row>
    <row r="54" spans="1:75">
      <c r="A54" s="376"/>
      <c r="B54" s="284"/>
      <c r="C54" s="287" t="s">
        <v>356</v>
      </c>
      <c r="D54" s="296"/>
      <c r="E54" s="247"/>
      <c r="F54" s="247"/>
      <c r="G54" s="248"/>
      <c r="H54" s="246"/>
      <c r="I54" s="247"/>
      <c r="J54" s="247"/>
      <c r="K54" s="248"/>
      <c r="L54" s="246"/>
      <c r="M54" s="247"/>
      <c r="N54" s="247"/>
      <c r="O54" s="248"/>
      <c r="P54" s="246"/>
      <c r="Q54" s="247"/>
      <c r="R54" s="247"/>
      <c r="S54" s="248"/>
      <c r="T54" s="246"/>
      <c r="U54" s="247"/>
      <c r="V54" s="247"/>
      <c r="W54" s="248"/>
      <c r="X54" s="246"/>
      <c r="Y54" s="247"/>
      <c r="Z54" s="247"/>
      <c r="AA54" s="248"/>
      <c r="AB54" s="246"/>
      <c r="AC54" s="247"/>
      <c r="AD54" s="247"/>
      <c r="AE54" s="248"/>
      <c r="AF54" s="246"/>
      <c r="AG54" s="247"/>
      <c r="AH54" s="247"/>
      <c r="AI54" s="248"/>
      <c r="AJ54" s="246"/>
      <c r="AK54" s="247"/>
      <c r="AL54" s="247"/>
      <c r="AM54" s="248"/>
      <c r="AN54" s="246"/>
      <c r="AO54" s="247"/>
      <c r="AP54" s="247"/>
      <c r="AQ54" s="248"/>
      <c r="AR54" s="246"/>
      <c r="AS54" s="247"/>
      <c r="AT54" s="247"/>
      <c r="AU54" s="248"/>
      <c r="AV54" s="246"/>
      <c r="AW54" s="247"/>
      <c r="AX54" s="247"/>
      <c r="AY54" s="248"/>
      <c r="AZ54" s="246"/>
      <c r="BA54" s="247"/>
      <c r="BB54" s="247"/>
      <c r="BC54" s="248"/>
      <c r="BD54" s="246"/>
      <c r="BE54" s="247"/>
      <c r="BF54" s="247"/>
      <c r="BG54" s="248"/>
      <c r="BH54" s="246"/>
      <c r="BI54" s="247"/>
      <c r="BJ54" s="247"/>
      <c r="BK54" s="248"/>
      <c r="BL54" s="246"/>
      <c r="BM54" s="243"/>
      <c r="BN54" s="243"/>
      <c r="BO54" s="248"/>
      <c r="BP54" s="246"/>
      <c r="BQ54" s="247"/>
      <c r="BR54" s="247"/>
      <c r="BS54" s="248"/>
      <c r="BT54" s="246"/>
      <c r="BU54" s="247"/>
      <c r="BV54" s="247"/>
      <c r="BW54" s="249"/>
    </row>
    <row r="55" spans="1:75">
      <c r="A55" s="302" t="s">
        <v>343</v>
      </c>
      <c r="B55" s="295">
        <v>36</v>
      </c>
      <c r="C55" s="287" t="s">
        <v>357</v>
      </c>
      <c r="D55" s="296"/>
      <c r="E55" s="247"/>
      <c r="F55" s="247"/>
      <c r="G55" s="248"/>
      <c r="H55" s="246"/>
      <c r="I55" s="247"/>
      <c r="J55" s="247"/>
      <c r="K55" s="248"/>
      <c r="L55" s="246"/>
      <c r="M55" s="247"/>
      <c r="N55" s="247"/>
      <c r="O55" s="248"/>
      <c r="P55" s="246"/>
      <c r="Q55" s="247"/>
      <c r="R55" s="247"/>
      <c r="S55" s="248"/>
      <c r="T55" s="246"/>
      <c r="U55" s="247"/>
      <c r="V55" s="247"/>
      <c r="W55" s="248"/>
      <c r="X55" s="246"/>
      <c r="Y55" s="247"/>
      <c r="Z55" s="247"/>
      <c r="AA55" s="248"/>
      <c r="AB55" s="246"/>
      <c r="AC55" s="247"/>
      <c r="AD55" s="247"/>
      <c r="AE55" s="248"/>
      <c r="AF55" s="246"/>
      <c r="AG55" s="247"/>
      <c r="AH55" s="247"/>
      <c r="AI55" s="248"/>
      <c r="AJ55" s="246"/>
      <c r="AK55" s="247"/>
      <c r="AL55" s="247"/>
      <c r="AM55" s="248"/>
      <c r="AN55" s="246"/>
      <c r="AO55" s="247"/>
      <c r="AP55" s="247"/>
      <c r="AQ55" s="248"/>
      <c r="AR55" s="246"/>
      <c r="AS55" s="247"/>
      <c r="AT55" s="247"/>
      <c r="AU55" s="248"/>
      <c r="AV55" s="246"/>
      <c r="AW55" s="247"/>
      <c r="AX55" s="247"/>
      <c r="AY55" s="248"/>
      <c r="AZ55" s="246"/>
      <c r="BA55" s="247"/>
      <c r="BB55" s="247"/>
      <c r="BC55" s="248"/>
      <c r="BD55" s="246"/>
      <c r="BE55" s="247"/>
      <c r="BF55" s="247"/>
      <c r="BG55" s="248"/>
      <c r="BH55" s="246"/>
      <c r="BI55" s="247"/>
      <c r="BJ55" s="247"/>
      <c r="BK55" s="248"/>
      <c r="BL55" s="246"/>
      <c r="BM55" s="247"/>
      <c r="BN55" s="243"/>
      <c r="BO55" s="252"/>
      <c r="BP55" s="242"/>
      <c r="BQ55" s="243"/>
      <c r="BR55" s="247"/>
      <c r="BS55" s="248"/>
      <c r="BT55" s="246"/>
      <c r="BU55" s="247"/>
      <c r="BV55" s="247"/>
      <c r="BW55" s="249"/>
    </row>
    <row r="56" spans="1:75">
      <c r="A56" s="302"/>
      <c r="B56" s="295">
        <v>37</v>
      </c>
      <c r="C56" s="287" t="s">
        <v>381</v>
      </c>
      <c r="D56" s="296"/>
      <c r="E56" s="247"/>
      <c r="F56" s="247"/>
      <c r="G56" s="248"/>
      <c r="H56" s="246"/>
      <c r="I56" s="247"/>
      <c r="J56" s="247"/>
      <c r="K56" s="248"/>
      <c r="L56" s="246"/>
      <c r="M56" s="247"/>
      <c r="N56" s="247"/>
      <c r="O56" s="248"/>
      <c r="P56" s="246"/>
      <c r="Q56" s="247"/>
      <c r="R56" s="247"/>
      <c r="S56" s="248"/>
      <c r="T56" s="246"/>
      <c r="U56" s="247"/>
      <c r="V56" s="247"/>
      <c r="W56" s="248"/>
      <c r="X56" s="246"/>
      <c r="Y56" s="247"/>
      <c r="Z56" s="247"/>
      <c r="AA56" s="248"/>
      <c r="AB56" s="246"/>
      <c r="AC56" s="247"/>
      <c r="AD56" s="247"/>
      <c r="AE56" s="248"/>
      <c r="AF56" s="246"/>
      <c r="AG56" s="247"/>
      <c r="AH56" s="247"/>
      <c r="AI56" s="248"/>
      <c r="AJ56" s="246"/>
      <c r="AK56" s="247"/>
      <c r="AL56" s="247"/>
      <c r="AM56" s="248"/>
      <c r="AN56" s="246"/>
      <c r="AO56" s="247"/>
      <c r="AP56" s="247"/>
      <c r="AQ56" s="248"/>
      <c r="AR56" s="246"/>
      <c r="AS56" s="247"/>
      <c r="AT56" s="247"/>
      <c r="AU56" s="248"/>
      <c r="AV56" s="246"/>
      <c r="AW56" s="247"/>
      <c r="AX56" s="247"/>
      <c r="AY56" s="248"/>
      <c r="AZ56" s="246"/>
      <c r="BA56" s="247"/>
      <c r="BB56" s="247"/>
      <c r="BC56" s="248"/>
      <c r="BD56" s="246"/>
      <c r="BE56" s="247"/>
      <c r="BF56" s="247"/>
      <c r="BG56" s="248"/>
      <c r="BH56" s="246"/>
      <c r="BI56" s="247"/>
      <c r="BJ56" s="247"/>
      <c r="BK56" s="248"/>
      <c r="BL56" s="246"/>
      <c r="BM56" s="247"/>
      <c r="BN56" s="247"/>
      <c r="BO56" s="248"/>
      <c r="BP56" s="242"/>
      <c r="BQ56" s="243"/>
      <c r="BR56" s="243"/>
      <c r="BS56" s="248"/>
      <c r="BT56" s="246"/>
      <c r="BU56" s="247"/>
      <c r="BV56" s="247"/>
      <c r="BW56" s="249"/>
    </row>
    <row r="57" spans="1:75">
      <c r="A57" s="302"/>
      <c r="B57" s="295">
        <v>38</v>
      </c>
      <c r="C57" s="287" t="s">
        <v>358</v>
      </c>
      <c r="D57" s="296"/>
      <c r="E57" s="247"/>
      <c r="F57" s="247"/>
      <c r="G57" s="248"/>
      <c r="H57" s="246"/>
      <c r="I57" s="247"/>
      <c r="J57" s="247"/>
      <c r="K57" s="248"/>
      <c r="L57" s="246"/>
      <c r="M57" s="247"/>
      <c r="N57" s="247"/>
      <c r="O57" s="248"/>
      <c r="P57" s="246"/>
      <c r="Q57" s="247"/>
      <c r="R57" s="247"/>
      <c r="S57" s="248"/>
      <c r="T57" s="246"/>
      <c r="U57" s="247"/>
      <c r="V57" s="247"/>
      <c r="W57" s="248"/>
      <c r="X57" s="246"/>
      <c r="Y57" s="247"/>
      <c r="Z57" s="247"/>
      <c r="AA57" s="248"/>
      <c r="AB57" s="246"/>
      <c r="AC57" s="247"/>
      <c r="AD57" s="247"/>
      <c r="AE57" s="248"/>
      <c r="AF57" s="246"/>
      <c r="AG57" s="247"/>
      <c r="AH57" s="247"/>
      <c r="AI57" s="248"/>
      <c r="AJ57" s="246"/>
      <c r="AK57" s="247"/>
      <c r="AL57" s="247"/>
      <c r="AM57" s="248"/>
      <c r="AN57" s="246"/>
      <c r="AO57" s="247"/>
      <c r="AP57" s="247"/>
      <c r="AQ57" s="248"/>
      <c r="AR57" s="246"/>
      <c r="AS57" s="247"/>
      <c r="AT57" s="247"/>
      <c r="AU57" s="248"/>
      <c r="AV57" s="246"/>
      <c r="AW57" s="247"/>
      <c r="AX57" s="247"/>
      <c r="AY57" s="248"/>
      <c r="AZ57" s="246"/>
      <c r="BA57" s="247"/>
      <c r="BB57" s="247"/>
      <c r="BC57" s="248"/>
      <c r="BD57" s="246"/>
      <c r="BE57" s="247"/>
      <c r="BF57" s="247"/>
      <c r="BG57" s="248"/>
      <c r="BH57" s="246"/>
      <c r="BI57" s="247"/>
      <c r="BJ57" s="247"/>
      <c r="BK57" s="248"/>
      <c r="BL57" s="246"/>
      <c r="BM57" s="247"/>
      <c r="BN57" s="247"/>
      <c r="BO57" s="248"/>
      <c r="BP57" s="246"/>
      <c r="BQ57" s="243"/>
      <c r="BR57" s="243"/>
      <c r="BS57" s="248"/>
      <c r="BT57" s="246"/>
      <c r="BU57" s="247"/>
      <c r="BV57" s="247"/>
      <c r="BW57" s="249"/>
    </row>
    <row r="58" spans="1:75">
      <c r="A58" s="302"/>
      <c r="B58" s="295">
        <v>39</v>
      </c>
      <c r="C58" s="287" t="s">
        <v>359</v>
      </c>
      <c r="D58" s="296"/>
      <c r="E58" s="247"/>
      <c r="F58" s="247"/>
      <c r="G58" s="248"/>
      <c r="H58" s="246"/>
      <c r="I58" s="247"/>
      <c r="J58" s="247"/>
      <c r="K58" s="248"/>
      <c r="L58" s="246"/>
      <c r="M58" s="247"/>
      <c r="N58" s="247"/>
      <c r="O58" s="248"/>
      <c r="P58" s="246"/>
      <c r="Q58" s="247"/>
      <c r="R58" s="247"/>
      <c r="S58" s="248"/>
      <c r="T58" s="246"/>
      <c r="U58" s="247"/>
      <c r="V58" s="247"/>
      <c r="W58" s="248"/>
      <c r="X58" s="246"/>
      <c r="Y58" s="247"/>
      <c r="Z58" s="247"/>
      <c r="AA58" s="248"/>
      <c r="AB58" s="246"/>
      <c r="AC58" s="247"/>
      <c r="AD58" s="247"/>
      <c r="AE58" s="248"/>
      <c r="AF58" s="246"/>
      <c r="AG58" s="247"/>
      <c r="AH58" s="247"/>
      <c r="AI58" s="248"/>
      <c r="AJ58" s="246"/>
      <c r="AK58" s="247"/>
      <c r="AL58" s="247"/>
      <c r="AM58" s="248"/>
      <c r="AN58" s="246"/>
      <c r="AO58" s="247"/>
      <c r="AP58" s="247"/>
      <c r="AQ58" s="248"/>
      <c r="AR58" s="246"/>
      <c r="AS58" s="247"/>
      <c r="AT58" s="247"/>
      <c r="AU58" s="248"/>
      <c r="AV58" s="246"/>
      <c r="AW58" s="247"/>
      <c r="AX58" s="247"/>
      <c r="AY58" s="248"/>
      <c r="AZ58" s="246"/>
      <c r="BA58" s="247"/>
      <c r="BB58" s="247"/>
      <c r="BC58" s="248"/>
      <c r="BD58" s="246"/>
      <c r="BE58" s="247"/>
      <c r="BF58" s="247"/>
      <c r="BG58" s="248"/>
      <c r="BH58" s="246"/>
      <c r="BI58" s="247"/>
      <c r="BJ58" s="247"/>
      <c r="BK58" s="248"/>
      <c r="BL58" s="246"/>
      <c r="BM58" s="247"/>
      <c r="BN58" s="247"/>
      <c r="BO58" s="248"/>
      <c r="BP58" s="246"/>
      <c r="BQ58" s="247"/>
      <c r="BR58" s="243"/>
      <c r="BS58" s="252"/>
      <c r="BT58" s="246"/>
      <c r="BU58" s="247"/>
      <c r="BV58" s="247"/>
      <c r="BW58" s="249"/>
    </row>
    <row r="59" spans="1:75">
      <c r="A59" s="302"/>
      <c r="B59" s="295">
        <v>40</v>
      </c>
      <c r="C59" s="287" t="s">
        <v>360</v>
      </c>
      <c r="D59" s="296"/>
      <c r="E59" s="247"/>
      <c r="F59" s="247"/>
      <c r="G59" s="248"/>
      <c r="H59" s="246"/>
      <c r="I59" s="247"/>
      <c r="J59" s="247"/>
      <c r="K59" s="248"/>
      <c r="L59" s="246"/>
      <c r="M59" s="247"/>
      <c r="N59" s="247"/>
      <c r="O59" s="248"/>
      <c r="P59" s="246"/>
      <c r="Q59" s="247"/>
      <c r="R59" s="247"/>
      <c r="S59" s="248"/>
      <c r="T59" s="246"/>
      <c r="U59" s="247"/>
      <c r="V59" s="247"/>
      <c r="W59" s="248"/>
      <c r="X59" s="246"/>
      <c r="Y59" s="247"/>
      <c r="Z59" s="247"/>
      <c r="AA59" s="248"/>
      <c r="AB59" s="246"/>
      <c r="AC59" s="247"/>
      <c r="AD59" s="247"/>
      <c r="AE59" s="248"/>
      <c r="AF59" s="246"/>
      <c r="AG59" s="247"/>
      <c r="AH59" s="247"/>
      <c r="AI59" s="248"/>
      <c r="AJ59" s="246"/>
      <c r="AK59" s="247"/>
      <c r="AL59" s="247"/>
      <c r="AM59" s="248"/>
      <c r="AN59" s="246"/>
      <c r="AO59" s="247"/>
      <c r="AP59" s="247"/>
      <c r="AQ59" s="248"/>
      <c r="AR59" s="246"/>
      <c r="AS59" s="247"/>
      <c r="AT59" s="247"/>
      <c r="AU59" s="248"/>
      <c r="AV59" s="246"/>
      <c r="AW59" s="247"/>
      <c r="AX59" s="247"/>
      <c r="AY59" s="248"/>
      <c r="AZ59" s="246"/>
      <c r="BA59" s="247"/>
      <c r="BB59" s="247"/>
      <c r="BC59" s="248"/>
      <c r="BD59" s="246"/>
      <c r="BE59" s="247"/>
      <c r="BF59" s="247"/>
      <c r="BG59" s="248"/>
      <c r="BH59" s="246"/>
      <c r="BI59" s="247"/>
      <c r="BJ59" s="247"/>
      <c r="BK59" s="248"/>
      <c r="BL59" s="246"/>
      <c r="BM59" s="247"/>
      <c r="BN59" s="247"/>
      <c r="BO59" s="248"/>
      <c r="BP59" s="246"/>
      <c r="BQ59" s="247"/>
      <c r="BR59" s="243"/>
      <c r="BS59" s="252"/>
      <c r="BT59" s="242"/>
      <c r="BU59" s="243"/>
      <c r="BV59" s="247"/>
      <c r="BW59" s="249"/>
    </row>
    <row r="60" spans="1:75" ht="14.5" thickBot="1">
      <c r="A60" s="302"/>
      <c r="B60" s="295">
        <v>41</v>
      </c>
      <c r="C60" s="287" t="s">
        <v>361</v>
      </c>
      <c r="D60" s="296"/>
      <c r="E60" s="247"/>
      <c r="F60" s="247"/>
      <c r="G60" s="248"/>
      <c r="H60" s="246"/>
      <c r="I60" s="247"/>
      <c r="J60" s="247"/>
      <c r="K60" s="248"/>
      <c r="L60" s="246"/>
      <c r="M60" s="247"/>
      <c r="N60" s="247"/>
      <c r="O60" s="248"/>
      <c r="P60" s="246"/>
      <c r="Q60" s="247"/>
      <c r="R60" s="247"/>
      <c r="S60" s="248"/>
      <c r="T60" s="246"/>
      <c r="U60" s="247"/>
      <c r="V60" s="247"/>
      <c r="W60" s="248"/>
      <c r="X60" s="246"/>
      <c r="Y60" s="247"/>
      <c r="Z60" s="247"/>
      <c r="AA60" s="248"/>
      <c r="AB60" s="246"/>
      <c r="AC60" s="247"/>
      <c r="AD60" s="247"/>
      <c r="AE60" s="248"/>
      <c r="AF60" s="246"/>
      <c r="AG60" s="247"/>
      <c r="AH60" s="247"/>
      <c r="AI60" s="248"/>
      <c r="AJ60" s="246"/>
      <c r="AK60" s="247"/>
      <c r="AL60" s="247"/>
      <c r="AM60" s="248"/>
      <c r="AN60" s="246"/>
      <c r="AO60" s="247"/>
      <c r="AP60" s="247"/>
      <c r="AQ60" s="248"/>
      <c r="AR60" s="246"/>
      <c r="AS60" s="247"/>
      <c r="AT60" s="247"/>
      <c r="AU60" s="248"/>
      <c r="AV60" s="246"/>
      <c r="AW60" s="247"/>
      <c r="AX60" s="247"/>
      <c r="AY60" s="248"/>
      <c r="AZ60" s="246"/>
      <c r="BA60" s="247"/>
      <c r="BB60" s="247"/>
      <c r="BC60" s="248"/>
      <c r="BD60" s="246"/>
      <c r="BE60" s="247"/>
      <c r="BF60" s="247"/>
      <c r="BG60" s="248"/>
      <c r="BH60" s="246"/>
      <c r="BI60" s="247"/>
      <c r="BJ60" s="247"/>
      <c r="BK60" s="248"/>
      <c r="BL60" s="246"/>
      <c r="BM60" s="247"/>
      <c r="BN60" s="247"/>
      <c r="BO60" s="248"/>
      <c r="BP60" s="246"/>
      <c r="BQ60" s="247"/>
      <c r="BR60" s="247"/>
      <c r="BS60" s="248"/>
      <c r="BT60" s="242"/>
      <c r="BU60" s="243"/>
      <c r="BV60" s="243"/>
      <c r="BW60" s="303"/>
    </row>
    <row r="61" spans="1:75" ht="14.5" thickBot="1">
      <c r="A61" s="267" t="s">
        <v>372</v>
      </c>
      <c r="B61" s="268"/>
      <c r="C61" s="269" t="s">
        <v>388</v>
      </c>
      <c r="D61" s="315"/>
      <c r="E61" s="271"/>
      <c r="F61" s="271"/>
      <c r="G61" s="272"/>
      <c r="H61" s="273"/>
      <c r="I61" s="271"/>
      <c r="J61" s="271"/>
      <c r="K61" s="272"/>
      <c r="L61" s="273"/>
      <c r="M61" s="271"/>
      <c r="N61" s="271"/>
      <c r="O61" s="272"/>
      <c r="P61" s="273"/>
      <c r="Q61" s="271"/>
      <c r="R61" s="271"/>
      <c r="S61" s="272"/>
      <c r="T61" s="274"/>
      <c r="U61" s="271"/>
      <c r="V61" s="271"/>
      <c r="W61" s="272"/>
      <c r="X61" s="273"/>
      <c r="Y61" s="271"/>
      <c r="Z61" s="271"/>
      <c r="AA61" s="272"/>
      <c r="AB61" s="273"/>
      <c r="AC61" s="271"/>
      <c r="AD61" s="271"/>
      <c r="AE61" s="272"/>
      <c r="AF61" s="273"/>
      <c r="AG61" s="271"/>
      <c r="AH61" s="271"/>
      <c r="AI61" s="272"/>
      <c r="AJ61" s="273"/>
      <c r="AK61" s="271"/>
      <c r="AL61" s="271"/>
      <c r="AM61" s="272"/>
      <c r="AN61" s="273"/>
      <c r="AO61" s="282"/>
      <c r="AP61" s="282"/>
      <c r="AQ61" s="272"/>
      <c r="AR61" s="273"/>
      <c r="AS61" s="271"/>
      <c r="AT61" s="271"/>
      <c r="AU61" s="272"/>
      <c r="AV61" s="273"/>
      <c r="AW61" s="271"/>
      <c r="AX61" s="271"/>
      <c r="AY61" s="272"/>
      <c r="AZ61" s="273"/>
      <c r="BA61" s="271"/>
      <c r="BB61" s="271"/>
      <c r="BC61" s="272"/>
      <c r="BD61" s="273"/>
      <c r="BE61" s="271"/>
      <c r="BF61" s="271"/>
      <c r="BG61" s="272"/>
      <c r="BH61" s="273"/>
      <c r="BI61" s="271"/>
      <c r="BJ61" s="271"/>
      <c r="BK61" s="272"/>
      <c r="BL61" s="273"/>
      <c r="BM61" s="271"/>
      <c r="BN61" s="271"/>
      <c r="BO61" s="304"/>
      <c r="BP61" s="273"/>
      <c r="BQ61" s="271"/>
      <c r="BR61" s="271"/>
      <c r="BS61" s="272"/>
      <c r="BT61" s="273"/>
      <c r="BU61" s="271"/>
      <c r="BV61" s="271"/>
      <c r="BW61" s="343"/>
    </row>
    <row r="62" spans="1:75">
      <c r="A62" s="302"/>
      <c r="B62" s="295">
        <v>42</v>
      </c>
      <c r="C62" s="305" t="s">
        <v>362</v>
      </c>
      <c r="D62" s="296"/>
      <c r="E62" s="247"/>
      <c r="F62" s="247"/>
      <c r="G62" s="248"/>
      <c r="H62" s="246"/>
      <c r="I62" s="247"/>
      <c r="J62" s="247"/>
      <c r="K62" s="248"/>
      <c r="L62" s="246"/>
      <c r="M62" s="247"/>
      <c r="N62" s="247"/>
      <c r="O62" s="248"/>
      <c r="P62" s="246"/>
      <c r="Q62" s="247"/>
      <c r="R62" s="247"/>
      <c r="S62" s="248"/>
      <c r="T62" s="246"/>
      <c r="U62" s="247"/>
      <c r="V62" s="247"/>
      <c r="W62" s="248"/>
      <c r="X62" s="246"/>
      <c r="Y62" s="247"/>
      <c r="Z62" s="247"/>
      <c r="AA62" s="248"/>
      <c r="AB62" s="246"/>
      <c r="AC62" s="247"/>
      <c r="AD62" s="247"/>
      <c r="AE62" s="248"/>
      <c r="AF62" s="246"/>
      <c r="AG62" s="247"/>
      <c r="AH62" s="247"/>
      <c r="AI62" s="248"/>
      <c r="AJ62" s="246"/>
      <c r="AK62" s="247"/>
      <c r="AL62" s="247"/>
      <c r="AM62" s="248"/>
      <c r="AN62" s="246"/>
      <c r="AO62" s="247"/>
      <c r="AP62" s="247"/>
      <c r="AQ62" s="248"/>
      <c r="AR62" s="246"/>
      <c r="AS62" s="247"/>
      <c r="AT62" s="247"/>
      <c r="AU62" s="248"/>
      <c r="AV62" s="246"/>
      <c r="AW62" s="247"/>
      <c r="AX62" s="247"/>
      <c r="AY62" s="248"/>
      <c r="AZ62" s="246"/>
      <c r="BA62" s="247"/>
      <c r="BB62" s="247"/>
      <c r="BC62" s="248"/>
      <c r="BD62" s="246"/>
      <c r="BE62" s="247"/>
      <c r="BF62" s="247"/>
      <c r="BG62" s="248"/>
      <c r="BH62" s="246"/>
      <c r="BI62" s="247"/>
      <c r="BJ62" s="247"/>
      <c r="BK62" s="248"/>
      <c r="BL62" s="246"/>
      <c r="BM62" s="247"/>
      <c r="BN62" s="247"/>
      <c r="BO62" s="248"/>
      <c r="BP62" s="246"/>
      <c r="BQ62" s="247"/>
      <c r="BR62" s="247"/>
      <c r="BS62" s="248"/>
      <c r="BT62" s="246"/>
      <c r="BU62" s="247"/>
      <c r="BV62" s="247"/>
      <c r="BW62" s="249"/>
    </row>
    <row r="63" spans="1:75" ht="14.5" thickBot="1">
      <c r="A63" s="306"/>
      <c r="B63" s="307">
        <v>43</v>
      </c>
      <c r="C63" s="298" t="s">
        <v>363</v>
      </c>
      <c r="D63" s="308"/>
      <c r="E63" s="300"/>
      <c r="F63" s="300"/>
      <c r="G63" s="301"/>
      <c r="H63" s="299"/>
      <c r="I63" s="300"/>
      <c r="J63" s="300"/>
      <c r="K63" s="301"/>
      <c r="L63" s="299"/>
      <c r="M63" s="300"/>
      <c r="N63" s="300"/>
      <c r="O63" s="301"/>
      <c r="P63" s="299"/>
      <c r="Q63" s="300"/>
      <c r="R63" s="300"/>
      <c r="S63" s="301"/>
      <c r="T63" s="299"/>
      <c r="U63" s="300"/>
      <c r="V63" s="300"/>
      <c r="W63" s="301"/>
      <c r="X63" s="299"/>
      <c r="Y63" s="300"/>
      <c r="Z63" s="300"/>
      <c r="AA63" s="301"/>
      <c r="AB63" s="299"/>
      <c r="AC63" s="300"/>
      <c r="AD63" s="300"/>
      <c r="AE63" s="301"/>
      <c r="AF63" s="299"/>
      <c r="AG63" s="300"/>
      <c r="AH63" s="300"/>
      <c r="AI63" s="301"/>
      <c r="AJ63" s="299"/>
      <c r="AK63" s="300"/>
      <c r="AL63" s="300"/>
      <c r="AM63" s="301"/>
      <c r="AN63" s="299"/>
      <c r="AO63" s="300"/>
      <c r="AP63" s="300"/>
      <c r="AQ63" s="301"/>
      <c r="AR63" s="299"/>
      <c r="AS63" s="300"/>
      <c r="AT63" s="300"/>
      <c r="AU63" s="301"/>
      <c r="AV63" s="299"/>
      <c r="AW63" s="300"/>
      <c r="AX63" s="300"/>
      <c r="AY63" s="301"/>
      <c r="AZ63" s="299"/>
      <c r="BA63" s="300"/>
      <c r="BB63" s="300"/>
      <c r="BC63" s="301"/>
      <c r="BD63" s="299"/>
      <c r="BE63" s="300"/>
      <c r="BF63" s="300"/>
      <c r="BG63" s="301"/>
      <c r="BH63" s="299"/>
      <c r="BI63" s="300"/>
      <c r="BJ63" s="300"/>
      <c r="BK63" s="301"/>
      <c r="BL63" s="299"/>
      <c r="BM63" s="300"/>
      <c r="BN63" s="300"/>
      <c r="BO63" s="301"/>
      <c r="BP63" s="299"/>
      <c r="BQ63" s="300"/>
      <c r="BR63" s="300"/>
      <c r="BS63" s="301"/>
      <c r="BT63" s="299"/>
      <c r="BU63" s="300"/>
      <c r="BV63" s="300"/>
      <c r="BW63" s="309"/>
    </row>
    <row r="64" spans="1:75">
      <c r="U64" s="233">
        <v>135</v>
      </c>
      <c r="AG64">
        <v>225</v>
      </c>
      <c r="AU64">
        <v>330</v>
      </c>
      <c r="BC64">
        <v>390</v>
      </c>
      <c r="BO64">
        <v>480</v>
      </c>
      <c r="BW64">
        <v>540</v>
      </c>
    </row>
    <row r="66" spans="2:6">
      <c r="B66" s="310"/>
      <c r="C66" s="311" t="s">
        <v>211</v>
      </c>
    </row>
    <row r="67" spans="2:6">
      <c r="B67" s="310">
        <v>1</v>
      </c>
      <c r="C67" s="312" t="s">
        <v>383</v>
      </c>
      <c r="F67" s="313"/>
    </row>
    <row r="68" spans="2:6">
      <c r="B68" s="310">
        <v>2</v>
      </c>
      <c r="C68" s="312" t="s">
        <v>384</v>
      </c>
    </row>
    <row r="69" spans="2:6">
      <c r="B69" s="310">
        <v>3</v>
      </c>
      <c r="C69" s="312" t="s">
        <v>385</v>
      </c>
    </row>
    <row r="70" spans="2:6">
      <c r="B70" s="310">
        <v>4</v>
      </c>
      <c r="C70" s="312" t="s">
        <v>386</v>
      </c>
    </row>
    <row r="71" spans="2:6">
      <c r="B71" s="310">
        <v>5</v>
      </c>
      <c r="C71" s="312" t="s">
        <v>387</v>
      </c>
    </row>
    <row r="72" spans="2:6">
      <c r="B72" s="310">
        <v>6</v>
      </c>
      <c r="C72" s="312" t="s">
        <v>388</v>
      </c>
    </row>
  </sheetData>
  <mergeCells count="41">
    <mergeCell ref="AJ1:AM1"/>
    <mergeCell ref="L1:O1"/>
    <mergeCell ref="A1:A2"/>
    <mergeCell ref="B1:B2"/>
    <mergeCell ref="C1:C2"/>
    <mergeCell ref="D1:G1"/>
    <mergeCell ref="H1:K1"/>
    <mergeCell ref="P1:S1"/>
    <mergeCell ref="T1:W1"/>
    <mergeCell ref="X1:AA1"/>
    <mergeCell ref="AB1:AE1"/>
    <mergeCell ref="AF1:AI1"/>
    <mergeCell ref="A27:A28"/>
    <mergeCell ref="A3:C3"/>
    <mergeCell ref="A5:A6"/>
    <mergeCell ref="A7:C7"/>
    <mergeCell ref="A13:C13"/>
    <mergeCell ref="A14:A15"/>
    <mergeCell ref="A16:C16"/>
    <mergeCell ref="A17:A19"/>
    <mergeCell ref="A21:C21"/>
    <mergeCell ref="A22:A24"/>
    <mergeCell ref="A25:A26"/>
    <mergeCell ref="BL1:BO1"/>
    <mergeCell ref="BP1:BS1"/>
    <mergeCell ref="BT1:BW1"/>
    <mergeCell ref="AN1:AQ1"/>
    <mergeCell ref="AR1:AU1"/>
    <mergeCell ref="AV1:AY1"/>
    <mergeCell ref="AZ1:BC1"/>
    <mergeCell ref="BD1:BG1"/>
    <mergeCell ref="BH1:BK1"/>
    <mergeCell ref="A48:A49"/>
    <mergeCell ref="A51:C51"/>
    <mergeCell ref="A52:A54"/>
    <mergeCell ref="A30:C30"/>
    <mergeCell ref="A31:A33"/>
    <mergeCell ref="A34:A40"/>
    <mergeCell ref="A42:C42"/>
    <mergeCell ref="A43:A45"/>
    <mergeCell ref="A46:A47"/>
  </mergeCells>
  <pageMargins left="0.7" right="0.7" top="0.75" bottom="0.75" header="0.3" footer="0.3"/>
  <pageSetup paperSize="9" orientation="portrait" horizont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72"/>
  <sheetViews>
    <sheetView topLeftCell="H6" zoomScale="85" zoomScaleNormal="85" workbookViewId="0">
      <selection activeCell="BD43" sqref="BD43"/>
    </sheetView>
  </sheetViews>
  <sheetFormatPr defaultRowHeight="14"/>
  <cols>
    <col min="1" max="1" width="30" bestFit="1" customWidth="1"/>
    <col min="2" max="2" width="5.25" style="233" customWidth="1"/>
    <col min="3" max="3" width="52" customWidth="1"/>
    <col min="4" max="31" width="3.58203125" style="233" customWidth="1"/>
    <col min="32" max="32" width="3.58203125" customWidth="1"/>
    <col min="33" max="33" width="4.08203125" bestFit="1" customWidth="1"/>
    <col min="34" max="46" width="3.58203125" customWidth="1"/>
    <col min="47" max="47" width="4.08203125" bestFit="1" customWidth="1"/>
    <col min="48" max="54" width="3.58203125" customWidth="1"/>
    <col min="55" max="55" width="4.08203125" bestFit="1" customWidth="1"/>
    <col min="56" max="82" width="3.58203125" customWidth="1"/>
    <col min="83" max="83" width="4.08203125" bestFit="1" customWidth="1"/>
    <col min="84" max="90" width="3.58203125" customWidth="1"/>
    <col min="91" max="91" width="4.08203125" bestFit="1" customWidth="1"/>
  </cols>
  <sheetData>
    <row r="1" spans="1:91">
      <c r="A1" s="394" t="s">
        <v>2</v>
      </c>
      <c r="B1" s="396"/>
      <c r="C1" s="398" t="s">
        <v>382</v>
      </c>
      <c r="D1" s="384" t="s">
        <v>291</v>
      </c>
      <c r="E1" s="385"/>
      <c r="F1" s="385"/>
      <c r="G1" s="385"/>
      <c r="H1" s="384" t="s">
        <v>292</v>
      </c>
      <c r="I1" s="385"/>
      <c r="J1" s="385"/>
      <c r="K1" s="385"/>
      <c r="L1" s="384" t="s">
        <v>293</v>
      </c>
      <c r="M1" s="385"/>
      <c r="N1" s="385"/>
      <c r="O1" s="385"/>
      <c r="P1" s="384" t="s">
        <v>294</v>
      </c>
      <c r="Q1" s="385"/>
      <c r="R1" s="385"/>
      <c r="S1" s="385"/>
      <c r="T1" s="384" t="s">
        <v>295</v>
      </c>
      <c r="U1" s="385"/>
      <c r="V1" s="385"/>
      <c r="W1" s="385"/>
      <c r="X1" s="384" t="s">
        <v>296</v>
      </c>
      <c r="Y1" s="385"/>
      <c r="Z1" s="385"/>
      <c r="AA1" s="385"/>
      <c r="AB1" s="384" t="s">
        <v>297</v>
      </c>
      <c r="AC1" s="385"/>
      <c r="AD1" s="385"/>
      <c r="AE1" s="385"/>
      <c r="AF1" s="384" t="s">
        <v>298</v>
      </c>
      <c r="AG1" s="385"/>
      <c r="AH1" s="385"/>
      <c r="AI1" s="385"/>
      <c r="AJ1" s="384" t="s">
        <v>299</v>
      </c>
      <c r="AK1" s="385"/>
      <c r="AL1" s="385"/>
      <c r="AM1" s="385"/>
      <c r="AN1" s="384" t="s">
        <v>300</v>
      </c>
      <c r="AO1" s="385"/>
      <c r="AP1" s="385"/>
      <c r="AQ1" s="385"/>
      <c r="AR1" s="384" t="s">
        <v>301</v>
      </c>
      <c r="AS1" s="385"/>
      <c r="AT1" s="385"/>
      <c r="AU1" s="385"/>
      <c r="AV1" s="384" t="s">
        <v>302</v>
      </c>
      <c r="AW1" s="385"/>
      <c r="AX1" s="385"/>
      <c r="AY1" s="385"/>
      <c r="AZ1" s="384" t="s">
        <v>303</v>
      </c>
      <c r="BA1" s="385"/>
      <c r="BB1" s="385"/>
      <c r="BC1" s="385"/>
      <c r="BD1" s="384" t="s">
        <v>304</v>
      </c>
      <c r="BE1" s="385"/>
      <c r="BF1" s="385"/>
      <c r="BG1" s="385"/>
      <c r="BH1" s="384" t="s">
        <v>305</v>
      </c>
      <c r="BI1" s="385"/>
      <c r="BJ1" s="385"/>
      <c r="BK1" s="385"/>
      <c r="BL1" s="384" t="s">
        <v>306</v>
      </c>
      <c r="BM1" s="385"/>
      <c r="BN1" s="385"/>
      <c r="BO1" s="385"/>
      <c r="BP1" s="384" t="s">
        <v>307</v>
      </c>
      <c r="BQ1" s="385"/>
      <c r="BR1" s="385"/>
      <c r="BS1" s="385"/>
      <c r="BT1" s="384" t="s">
        <v>308</v>
      </c>
      <c r="BU1" s="385"/>
      <c r="BV1" s="385"/>
      <c r="BW1" s="385"/>
      <c r="BX1" s="384" t="s">
        <v>309</v>
      </c>
      <c r="BY1" s="385"/>
      <c r="BZ1" s="385"/>
      <c r="CA1" s="385"/>
      <c r="CB1" s="384" t="s">
        <v>310</v>
      </c>
      <c r="CC1" s="385"/>
      <c r="CD1" s="385"/>
      <c r="CE1" s="385"/>
      <c r="CF1" s="384" t="s">
        <v>311</v>
      </c>
      <c r="CG1" s="385"/>
      <c r="CH1" s="385"/>
      <c r="CI1" s="385"/>
      <c r="CJ1" s="384" t="s">
        <v>312</v>
      </c>
      <c r="CK1" s="385"/>
      <c r="CL1" s="385"/>
      <c r="CM1" s="386"/>
    </row>
    <row r="2" spans="1:91" ht="20.25" customHeight="1" thickBot="1">
      <c r="A2" s="395"/>
      <c r="B2" s="397"/>
      <c r="C2" s="399"/>
      <c r="D2" s="320" t="s">
        <v>62</v>
      </c>
      <c r="E2" s="320" t="s">
        <v>63</v>
      </c>
      <c r="F2" s="320" t="s">
        <v>64</v>
      </c>
      <c r="G2" s="320" t="s">
        <v>65</v>
      </c>
      <c r="H2" s="320" t="s">
        <v>62</v>
      </c>
      <c r="I2" s="320" t="s">
        <v>63</v>
      </c>
      <c r="J2" s="320" t="s">
        <v>64</v>
      </c>
      <c r="K2" s="320" t="s">
        <v>65</v>
      </c>
      <c r="L2" s="320" t="s">
        <v>62</v>
      </c>
      <c r="M2" s="320" t="s">
        <v>63</v>
      </c>
      <c r="N2" s="320" t="s">
        <v>64</v>
      </c>
      <c r="O2" s="320" t="s">
        <v>65</v>
      </c>
      <c r="P2" s="320" t="s">
        <v>62</v>
      </c>
      <c r="Q2" s="320" t="s">
        <v>63</v>
      </c>
      <c r="R2" s="320" t="s">
        <v>64</v>
      </c>
      <c r="S2" s="320" t="s">
        <v>65</v>
      </c>
      <c r="T2" s="320" t="s">
        <v>62</v>
      </c>
      <c r="U2" s="320" t="s">
        <v>63</v>
      </c>
      <c r="V2" s="320" t="s">
        <v>64</v>
      </c>
      <c r="W2" s="320" t="s">
        <v>65</v>
      </c>
      <c r="X2" s="320" t="s">
        <v>62</v>
      </c>
      <c r="Y2" s="320" t="s">
        <v>63</v>
      </c>
      <c r="Z2" s="320" t="s">
        <v>64</v>
      </c>
      <c r="AA2" s="320" t="s">
        <v>65</v>
      </c>
      <c r="AB2" s="320" t="s">
        <v>62</v>
      </c>
      <c r="AC2" s="320" t="s">
        <v>63</v>
      </c>
      <c r="AD2" s="320" t="s">
        <v>64</v>
      </c>
      <c r="AE2" s="320" t="s">
        <v>65</v>
      </c>
      <c r="AF2" s="320" t="s">
        <v>62</v>
      </c>
      <c r="AG2" s="320" t="s">
        <v>63</v>
      </c>
      <c r="AH2" s="320" t="s">
        <v>64</v>
      </c>
      <c r="AI2" s="320" t="s">
        <v>65</v>
      </c>
      <c r="AJ2" s="320" t="s">
        <v>62</v>
      </c>
      <c r="AK2" s="320" t="s">
        <v>63</v>
      </c>
      <c r="AL2" s="320" t="s">
        <v>64</v>
      </c>
      <c r="AM2" s="320" t="s">
        <v>65</v>
      </c>
      <c r="AN2" s="320" t="s">
        <v>62</v>
      </c>
      <c r="AO2" s="320" t="s">
        <v>63</v>
      </c>
      <c r="AP2" s="320" t="s">
        <v>64</v>
      </c>
      <c r="AQ2" s="320" t="s">
        <v>65</v>
      </c>
      <c r="AR2" s="320" t="s">
        <v>62</v>
      </c>
      <c r="AS2" s="320" t="s">
        <v>63</v>
      </c>
      <c r="AT2" s="320" t="s">
        <v>64</v>
      </c>
      <c r="AU2" s="320" t="s">
        <v>65</v>
      </c>
      <c r="AV2" s="320" t="s">
        <v>62</v>
      </c>
      <c r="AW2" s="320" t="s">
        <v>63</v>
      </c>
      <c r="AX2" s="320" t="s">
        <v>64</v>
      </c>
      <c r="AY2" s="320" t="s">
        <v>65</v>
      </c>
      <c r="AZ2" s="320" t="s">
        <v>62</v>
      </c>
      <c r="BA2" s="320" t="s">
        <v>63</v>
      </c>
      <c r="BB2" s="320" t="s">
        <v>64</v>
      </c>
      <c r="BC2" s="320" t="s">
        <v>65</v>
      </c>
      <c r="BD2" s="320" t="s">
        <v>62</v>
      </c>
      <c r="BE2" s="320" t="s">
        <v>63</v>
      </c>
      <c r="BF2" s="320" t="s">
        <v>64</v>
      </c>
      <c r="BG2" s="320" t="s">
        <v>65</v>
      </c>
      <c r="BH2" s="320" t="s">
        <v>62</v>
      </c>
      <c r="BI2" s="320" t="s">
        <v>63</v>
      </c>
      <c r="BJ2" s="320" t="s">
        <v>64</v>
      </c>
      <c r="BK2" s="320" t="s">
        <v>65</v>
      </c>
      <c r="BL2" s="320" t="s">
        <v>62</v>
      </c>
      <c r="BM2" s="320" t="s">
        <v>63</v>
      </c>
      <c r="BN2" s="320" t="s">
        <v>64</v>
      </c>
      <c r="BO2" s="320" t="s">
        <v>65</v>
      </c>
      <c r="BP2" s="320" t="s">
        <v>62</v>
      </c>
      <c r="BQ2" s="320" t="s">
        <v>63</v>
      </c>
      <c r="BR2" s="320" t="s">
        <v>64</v>
      </c>
      <c r="BS2" s="320" t="s">
        <v>65</v>
      </c>
      <c r="BT2" s="320" t="s">
        <v>62</v>
      </c>
      <c r="BU2" s="320" t="s">
        <v>63</v>
      </c>
      <c r="BV2" s="320" t="s">
        <v>64</v>
      </c>
      <c r="BW2" s="320" t="s">
        <v>65</v>
      </c>
      <c r="BX2" s="320" t="s">
        <v>62</v>
      </c>
      <c r="BY2" s="320" t="s">
        <v>63</v>
      </c>
      <c r="BZ2" s="320" t="s">
        <v>64</v>
      </c>
      <c r="CA2" s="320" t="s">
        <v>65</v>
      </c>
      <c r="CB2" s="320" t="s">
        <v>62</v>
      </c>
      <c r="CC2" s="320" t="s">
        <v>63</v>
      </c>
      <c r="CD2" s="320" t="s">
        <v>64</v>
      </c>
      <c r="CE2" s="320" t="s">
        <v>65</v>
      </c>
      <c r="CF2" s="320" t="s">
        <v>62</v>
      </c>
      <c r="CG2" s="320" t="s">
        <v>63</v>
      </c>
      <c r="CH2" s="320" t="s">
        <v>64</v>
      </c>
      <c r="CI2" s="320" t="s">
        <v>65</v>
      </c>
      <c r="CJ2" s="320" t="s">
        <v>62</v>
      </c>
      <c r="CK2" s="320" t="s">
        <v>63</v>
      </c>
      <c r="CL2" s="320" t="s">
        <v>64</v>
      </c>
      <c r="CM2" s="321" t="s">
        <v>65</v>
      </c>
    </row>
    <row r="3" spans="1:91" ht="14.5" customHeight="1">
      <c r="A3" s="387" t="s">
        <v>367</v>
      </c>
      <c r="B3" s="388"/>
      <c r="C3" s="388"/>
      <c r="D3" s="319"/>
      <c r="E3" s="291"/>
      <c r="F3" s="291"/>
      <c r="G3" s="292"/>
      <c r="H3" s="293"/>
      <c r="I3" s="291"/>
      <c r="J3" s="291"/>
      <c r="K3" s="292"/>
      <c r="L3" s="293"/>
      <c r="M3" s="291"/>
      <c r="N3" s="291"/>
      <c r="O3" s="292"/>
      <c r="P3" s="293"/>
      <c r="Q3" s="291"/>
      <c r="R3" s="291"/>
      <c r="S3" s="292"/>
      <c r="T3" s="293"/>
      <c r="U3" s="291"/>
      <c r="V3" s="291"/>
      <c r="W3" s="292"/>
      <c r="X3" s="293"/>
      <c r="Y3" s="291"/>
      <c r="Z3" s="291"/>
      <c r="AA3" s="292"/>
      <c r="AB3" s="293"/>
      <c r="AC3" s="291"/>
      <c r="AD3" s="291"/>
      <c r="AE3" s="292"/>
      <c r="AF3" s="293"/>
      <c r="AG3" s="291"/>
      <c r="AH3" s="291"/>
      <c r="AI3" s="292"/>
      <c r="AJ3" s="293"/>
      <c r="AK3" s="291"/>
      <c r="AL3" s="291"/>
      <c r="AM3" s="292"/>
      <c r="AN3" s="293"/>
      <c r="AO3" s="291"/>
      <c r="AP3" s="291"/>
      <c r="AQ3" s="292"/>
      <c r="AR3" s="293"/>
      <c r="AS3" s="291"/>
      <c r="AT3" s="291"/>
      <c r="AU3" s="292"/>
      <c r="AV3" s="293"/>
      <c r="AW3" s="291"/>
      <c r="AX3" s="291"/>
      <c r="AY3" s="292"/>
      <c r="AZ3" s="293"/>
      <c r="BA3" s="291"/>
      <c r="BB3" s="291"/>
      <c r="BC3" s="292"/>
      <c r="BD3" s="293"/>
      <c r="BE3" s="291"/>
      <c r="BF3" s="291"/>
      <c r="BG3" s="292"/>
      <c r="BH3" s="293"/>
      <c r="BI3" s="291"/>
      <c r="BJ3" s="291"/>
      <c r="BK3" s="292"/>
      <c r="BL3" s="293"/>
      <c r="BM3" s="291"/>
      <c r="BN3" s="291"/>
      <c r="BO3" s="292"/>
      <c r="BP3" s="293"/>
      <c r="BQ3" s="291"/>
      <c r="BR3" s="291"/>
      <c r="BS3" s="292"/>
      <c r="BT3" s="293"/>
      <c r="BU3" s="291"/>
      <c r="BV3" s="291"/>
      <c r="BW3" s="292"/>
      <c r="BX3" s="293"/>
      <c r="BY3" s="291"/>
      <c r="BZ3" s="291"/>
      <c r="CA3" s="292"/>
      <c r="CB3" s="293"/>
      <c r="CC3" s="291"/>
      <c r="CD3" s="291"/>
      <c r="CE3" s="292"/>
      <c r="CF3" s="293"/>
      <c r="CG3" s="291"/>
      <c r="CH3" s="291"/>
      <c r="CI3" s="292"/>
      <c r="CJ3" s="293"/>
      <c r="CK3" s="291"/>
      <c r="CL3" s="291"/>
      <c r="CM3" s="294"/>
    </row>
    <row r="4" spans="1:91">
      <c r="A4" s="239" t="s">
        <v>313</v>
      </c>
      <c r="B4" s="240">
        <v>1</v>
      </c>
      <c r="C4" s="241" t="s">
        <v>314</v>
      </c>
      <c r="D4" s="242"/>
      <c r="E4" s="243"/>
      <c r="F4" s="244"/>
      <c r="G4" s="245"/>
      <c r="H4" s="246"/>
      <c r="I4" s="247"/>
      <c r="J4" s="247"/>
      <c r="K4" s="248"/>
      <c r="L4" s="246"/>
      <c r="M4" s="247"/>
      <c r="N4" s="247"/>
      <c r="O4" s="248"/>
      <c r="P4" s="246"/>
      <c r="Q4" s="247"/>
      <c r="R4" s="247"/>
      <c r="S4" s="248"/>
      <c r="T4" s="246"/>
      <c r="U4" s="247"/>
      <c r="V4" s="247"/>
      <c r="W4" s="248"/>
      <c r="X4" s="246"/>
      <c r="Y4" s="247"/>
      <c r="Z4" s="247"/>
      <c r="AA4" s="248"/>
      <c r="AB4" s="246"/>
      <c r="AC4" s="247"/>
      <c r="AD4" s="247"/>
      <c r="AE4" s="248"/>
      <c r="AF4" s="246"/>
      <c r="AG4" s="247"/>
      <c r="AH4" s="247"/>
      <c r="AI4" s="248"/>
      <c r="AJ4" s="246"/>
      <c r="AK4" s="247"/>
      <c r="AL4" s="247"/>
      <c r="AM4" s="248"/>
      <c r="AN4" s="246"/>
      <c r="AO4" s="247"/>
      <c r="AP4" s="247"/>
      <c r="AQ4" s="248"/>
      <c r="AR4" s="246"/>
      <c r="AS4" s="247"/>
      <c r="AT4" s="247"/>
      <c r="AU4" s="248"/>
      <c r="AV4" s="246"/>
      <c r="AW4" s="247"/>
      <c r="AX4" s="247"/>
      <c r="AY4" s="248"/>
      <c r="AZ4" s="246"/>
      <c r="BA4" s="247"/>
      <c r="BB4" s="247"/>
      <c r="BC4" s="248"/>
      <c r="BD4" s="246"/>
      <c r="BE4" s="247"/>
      <c r="BF4" s="247"/>
      <c r="BG4" s="248"/>
      <c r="BH4" s="246"/>
      <c r="BI4" s="247"/>
      <c r="BJ4" s="247"/>
      <c r="BK4" s="248"/>
      <c r="BL4" s="246"/>
      <c r="BM4" s="247"/>
      <c r="BN4" s="247"/>
      <c r="BO4" s="248"/>
      <c r="BP4" s="246"/>
      <c r="BQ4" s="247"/>
      <c r="BR4" s="247"/>
      <c r="BS4" s="248"/>
      <c r="BT4" s="246"/>
      <c r="BU4" s="247"/>
      <c r="BV4" s="247"/>
      <c r="BW4" s="248"/>
      <c r="BX4" s="246"/>
      <c r="BY4" s="247"/>
      <c r="BZ4" s="247"/>
      <c r="CA4" s="248"/>
      <c r="CB4" s="246"/>
      <c r="CC4" s="247"/>
      <c r="CD4" s="247"/>
      <c r="CE4" s="248"/>
      <c r="CF4" s="246"/>
      <c r="CG4" s="247"/>
      <c r="CH4" s="247"/>
      <c r="CI4" s="248"/>
      <c r="CJ4" s="246"/>
      <c r="CK4" s="247"/>
      <c r="CL4" s="247"/>
      <c r="CM4" s="249"/>
    </row>
    <row r="5" spans="1:91">
      <c r="A5" s="389" t="s">
        <v>315</v>
      </c>
      <c r="B5" s="250">
        <v>2</v>
      </c>
      <c r="C5" s="251" t="s">
        <v>316</v>
      </c>
      <c r="D5" s="246"/>
      <c r="E5" s="243"/>
      <c r="F5" s="243"/>
      <c r="G5" s="252"/>
      <c r="H5" s="242"/>
      <c r="I5" s="243"/>
      <c r="J5" s="243"/>
      <c r="K5" s="252"/>
      <c r="L5" s="242"/>
      <c r="M5" s="243"/>
      <c r="N5" s="243"/>
      <c r="O5" s="252"/>
      <c r="P5" s="242"/>
      <c r="Q5" s="243"/>
      <c r="R5" s="243"/>
      <c r="S5" s="252"/>
      <c r="T5" s="246"/>
      <c r="U5" s="247"/>
      <c r="V5" s="247"/>
      <c r="W5" s="248"/>
      <c r="X5" s="246"/>
      <c r="Y5" s="247"/>
      <c r="Z5" s="247"/>
      <c r="AA5" s="248"/>
      <c r="AB5" s="246"/>
      <c r="AC5" s="247"/>
      <c r="AD5" s="247"/>
      <c r="AE5" s="248"/>
      <c r="AF5" s="246"/>
      <c r="AG5" s="247"/>
      <c r="AH5" s="247"/>
      <c r="AI5" s="248"/>
      <c r="AJ5" s="246"/>
      <c r="AK5" s="247"/>
      <c r="AL5" s="247"/>
      <c r="AM5" s="248"/>
      <c r="AN5" s="246"/>
      <c r="AO5" s="247"/>
      <c r="AP5" s="247"/>
      <c r="AQ5" s="248"/>
      <c r="AR5" s="246"/>
      <c r="AS5" s="247"/>
      <c r="AT5" s="247"/>
      <c r="AU5" s="248"/>
      <c r="AV5" s="246"/>
      <c r="AW5" s="247"/>
      <c r="AX5" s="247"/>
      <c r="AY5" s="248"/>
      <c r="AZ5" s="246"/>
      <c r="BA5" s="247"/>
      <c r="BB5" s="247"/>
      <c r="BC5" s="248"/>
      <c r="BD5" s="246"/>
      <c r="BE5" s="247"/>
      <c r="BF5" s="247"/>
      <c r="BG5" s="248"/>
      <c r="BH5" s="246"/>
      <c r="BI5" s="247"/>
      <c r="BJ5" s="247"/>
      <c r="BK5" s="248"/>
      <c r="BL5" s="246"/>
      <c r="BM5" s="247"/>
      <c r="BN5" s="247"/>
      <c r="BO5" s="248"/>
      <c r="BP5" s="246"/>
      <c r="BQ5" s="247"/>
      <c r="BR5" s="247"/>
      <c r="BS5" s="248"/>
      <c r="BT5" s="246"/>
      <c r="BU5" s="247"/>
      <c r="BV5" s="247"/>
      <c r="BW5" s="248"/>
      <c r="BX5" s="246"/>
      <c r="BY5" s="247"/>
      <c r="BZ5" s="247"/>
      <c r="CA5" s="248"/>
      <c r="CB5" s="246"/>
      <c r="CC5" s="247"/>
      <c r="CD5" s="247"/>
      <c r="CE5" s="248"/>
      <c r="CF5" s="246"/>
      <c r="CG5" s="247"/>
      <c r="CH5" s="247"/>
      <c r="CI5" s="248"/>
      <c r="CJ5" s="246"/>
      <c r="CK5" s="247"/>
      <c r="CL5" s="247"/>
      <c r="CM5" s="249"/>
    </row>
    <row r="6" spans="1:91">
      <c r="A6" s="389"/>
      <c r="B6" s="240">
        <v>3</v>
      </c>
      <c r="C6" s="241" t="s">
        <v>317</v>
      </c>
      <c r="D6" s="253"/>
      <c r="E6" s="247"/>
      <c r="F6" s="247"/>
      <c r="G6" s="248"/>
      <c r="H6" s="246"/>
      <c r="I6" s="247"/>
      <c r="J6" s="247"/>
      <c r="K6" s="248"/>
      <c r="L6" s="246"/>
      <c r="M6" s="247"/>
      <c r="N6" s="247"/>
      <c r="O6" s="248"/>
      <c r="P6" s="246"/>
      <c r="Q6" s="247"/>
      <c r="R6" s="247"/>
      <c r="S6" s="248"/>
      <c r="T6" s="242"/>
      <c r="U6" s="243"/>
      <c r="V6" s="247"/>
      <c r="W6" s="248"/>
      <c r="X6" s="246"/>
      <c r="Y6" s="247"/>
      <c r="Z6" s="247"/>
      <c r="AA6" s="248"/>
      <c r="AB6" s="246"/>
      <c r="AC6" s="247"/>
      <c r="AD6" s="247"/>
      <c r="AE6" s="248"/>
      <c r="AF6" s="246"/>
      <c r="AG6" s="247"/>
      <c r="AH6" s="247"/>
      <c r="AI6" s="248"/>
      <c r="AJ6" s="246"/>
      <c r="AK6" s="247"/>
      <c r="AL6" s="247"/>
      <c r="AM6" s="248"/>
      <c r="AN6" s="246"/>
      <c r="AO6" s="247"/>
      <c r="AP6" s="247"/>
      <c r="AQ6" s="248"/>
      <c r="AR6" s="246"/>
      <c r="AS6" s="247"/>
      <c r="AT6" s="247"/>
      <c r="AU6" s="248"/>
      <c r="AV6" s="246"/>
      <c r="AW6" s="247"/>
      <c r="AX6" s="247"/>
      <c r="AY6" s="248"/>
      <c r="AZ6" s="246"/>
      <c r="BA6" s="247"/>
      <c r="BB6" s="247"/>
      <c r="BC6" s="248"/>
      <c r="BD6" s="246"/>
      <c r="BE6" s="247"/>
      <c r="BF6" s="247"/>
      <c r="BG6" s="248"/>
      <c r="BH6" s="246"/>
      <c r="BI6" s="247"/>
      <c r="BJ6" s="247"/>
      <c r="BK6" s="248"/>
      <c r="BL6" s="246"/>
      <c r="BM6" s="247"/>
      <c r="BN6" s="247"/>
      <c r="BO6" s="248"/>
      <c r="BP6" s="246"/>
      <c r="BQ6" s="247"/>
      <c r="BR6" s="247"/>
      <c r="BS6" s="248"/>
      <c r="BT6" s="246"/>
      <c r="BU6" s="247"/>
      <c r="BV6" s="247"/>
      <c r="BW6" s="248"/>
      <c r="BX6" s="246"/>
      <c r="BY6" s="247"/>
      <c r="BZ6" s="247"/>
      <c r="CA6" s="248"/>
      <c r="CB6" s="246"/>
      <c r="CC6" s="247"/>
      <c r="CD6" s="247"/>
      <c r="CE6" s="248"/>
      <c r="CF6" s="246"/>
      <c r="CG6" s="247"/>
      <c r="CH6" s="247"/>
      <c r="CI6" s="248"/>
      <c r="CJ6" s="246"/>
      <c r="CK6" s="247"/>
      <c r="CL6" s="247"/>
      <c r="CM6" s="249"/>
    </row>
    <row r="7" spans="1:91">
      <c r="A7" s="390" t="s">
        <v>369</v>
      </c>
      <c r="B7" s="391"/>
      <c r="C7" s="391"/>
      <c r="D7" s="254"/>
      <c r="E7" s="255"/>
      <c r="F7" s="255"/>
      <c r="G7" s="256"/>
      <c r="H7" s="257"/>
      <c r="I7" s="255"/>
      <c r="J7" s="255"/>
      <c r="K7" s="256"/>
      <c r="L7" s="257"/>
      <c r="M7" s="255"/>
      <c r="N7" s="255"/>
      <c r="O7" s="256"/>
      <c r="P7" s="257"/>
      <c r="Q7" s="255"/>
      <c r="R7" s="255"/>
      <c r="S7" s="256"/>
      <c r="T7" s="257"/>
      <c r="U7" s="255"/>
      <c r="V7" s="255"/>
      <c r="W7" s="256"/>
      <c r="X7" s="257"/>
      <c r="Y7" s="255"/>
      <c r="Z7" s="255"/>
      <c r="AA7" s="256"/>
      <c r="AB7" s="257"/>
      <c r="AC7" s="255"/>
      <c r="AD7" s="255"/>
      <c r="AE7" s="256"/>
      <c r="AF7" s="257"/>
      <c r="AG7" s="255"/>
      <c r="AH7" s="255"/>
      <c r="AI7" s="256"/>
      <c r="AJ7" s="257"/>
      <c r="AK7" s="255"/>
      <c r="AL7" s="255"/>
      <c r="AM7" s="256"/>
      <c r="AN7" s="257"/>
      <c r="AO7" s="255"/>
      <c r="AP7" s="255"/>
      <c r="AQ7" s="256"/>
      <c r="AR7" s="257"/>
      <c r="AS7" s="255"/>
      <c r="AT7" s="255"/>
      <c r="AU7" s="256"/>
      <c r="AV7" s="257"/>
      <c r="AW7" s="255"/>
      <c r="AX7" s="255"/>
      <c r="AY7" s="256"/>
      <c r="AZ7" s="257"/>
      <c r="BA7" s="255"/>
      <c r="BB7" s="255"/>
      <c r="BC7" s="256"/>
      <c r="BD7" s="257"/>
      <c r="BE7" s="255"/>
      <c r="BF7" s="255"/>
      <c r="BG7" s="256"/>
      <c r="BH7" s="257"/>
      <c r="BI7" s="255"/>
      <c r="BJ7" s="255"/>
      <c r="BK7" s="256"/>
      <c r="BL7" s="257"/>
      <c r="BM7" s="255"/>
      <c r="BN7" s="255"/>
      <c r="BO7" s="256"/>
      <c r="BP7" s="257"/>
      <c r="BQ7" s="255"/>
      <c r="BR7" s="255"/>
      <c r="BS7" s="256"/>
      <c r="BT7" s="257"/>
      <c r="BU7" s="255"/>
      <c r="BV7" s="255"/>
      <c r="BW7" s="256"/>
      <c r="BX7" s="257"/>
      <c r="BY7" s="255"/>
      <c r="BZ7" s="255"/>
      <c r="CA7" s="256"/>
      <c r="CB7" s="257"/>
      <c r="CC7" s="255"/>
      <c r="CD7" s="255"/>
      <c r="CE7" s="256"/>
      <c r="CF7" s="257"/>
      <c r="CG7" s="255"/>
      <c r="CH7" s="255"/>
      <c r="CI7" s="256"/>
      <c r="CJ7" s="257"/>
      <c r="CK7" s="255"/>
      <c r="CL7" s="255"/>
      <c r="CM7" s="258"/>
    </row>
    <row r="8" spans="1:91">
      <c r="A8" s="259" t="s">
        <v>318</v>
      </c>
      <c r="B8" s="240">
        <v>5</v>
      </c>
      <c r="C8" s="251" t="s">
        <v>319</v>
      </c>
      <c r="D8" s="253"/>
      <c r="E8" s="247"/>
      <c r="F8" s="247"/>
      <c r="G8" s="248"/>
      <c r="H8" s="246"/>
      <c r="I8" s="243"/>
      <c r="J8" s="243"/>
      <c r="K8" s="252"/>
      <c r="L8" s="242"/>
      <c r="M8" s="243"/>
      <c r="N8" s="243"/>
      <c r="O8" s="252"/>
      <c r="P8" s="242"/>
      <c r="Q8" s="243"/>
      <c r="R8" s="243"/>
      <c r="S8" s="248"/>
      <c r="T8" s="246"/>
      <c r="U8" s="247"/>
      <c r="V8" s="247"/>
      <c r="W8" s="248"/>
      <c r="X8" s="246"/>
      <c r="Y8" s="247"/>
      <c r="Z8" s="247"/>
      <c r="AA8" s="248"/>
      <c r="AB8" s="246"/>
      <c r="AC8" s="247"/>
      <c r="AD8" s="247"/>
      <c r="AE8" s="248"/>
      <c r="AF8" s="246"/>
      <c r="AG8" s="247"/>
      <c r="AH8" s="247"/>
      <c r="AI8" s="248"/>
      <c r="AJ8" s="246"/>
      <c r="AK8" s="247"/>
      <c r="AL8" s="247"/>
      <c r="AM8" s="248"/>
      <c r="AN8" s="246"/>
      <c r="AO8" s="247"/>
      <c r="AP8" s="247"/>
      <c r="AQ8" s="248"/>
      <c r="AR8" s="246"/>
      <c r="AS8" s="247"/>
      <c r="AT8" s="247"/>
      <c r="AU8" s="248"/>
      <c r="AV8" s="246"/>
      <c r="AW8" s="247"/>
      <c r="AX8" s="247"/>
      <c r="AY8" s="248"/>
      <c r="AZ8" s="246"/>
      <c r="BA8" s="247"/>
      <c r="BB8" s="247"/>
      <c r="BC8" s="248"/>
      <c r="BD8" s="246"/>
      <c r="BE8" s="247"/>
      <c r="BF8" s="247"/>
      <c r="BG8" s="248"/>
      <c r="BH8" s="246"/>
      <c r="BI8" s="247"/>
      <c r="BJ8" s="247"/>
      <c r="BK8" s="248"/>
      <c r="BL8" s="246"/>
      <c r="BM8" s="247"/>
      <c r="BN8" s="247"/>
      <c r="BO8" s="248"/>
      <c r="BP8" s="246"/>
      <c r="BQ8" s="247"/>
      <c r="BR8" s="247"/>
      <c r="BS8" s="248"/>
      <c r="BT8" s="246"/>
      <c r="BU8" s="247"/>
      <c r="BV8" s="247"/>
      <c r="BW8" s="248"/>
      <c r="BX8" s="246"/>
      <c r="BY8" s="247"/>
      <c r="BZ8" s="247"/>
      <c r="CA8" s="248"/>
      <c r="CB8" s="246"/>
      <c r="CC8" s="247"/>
      <c r="CD8" s="247"/>
      <c r="CE8" s="248"/>
      <c r="CF8" s="246"/>
      <c r="CG8" s="247"/>
      <c r="CH8" s="247"/>
      <c r="CI8" s="248"/>
      <c r="CJ8" s="246"/>
      <c r="CK8" s="247"/>
      <c r="CL8" s="247"/>
      <c r="CM8" s="249"/>
    </row>
    <row r="9" spans="1:91">
      <c r="A9" s="259"/>
      <c r="B9" s="240">
        <v>6</v>
      </c>
      <c r="C9" s="241" t="s">
        <v>320</v>
      </c>
      <c r="D9" s="253"/>
      <c r="E9" s="247"/>
      <c r="F9" s="247"/>
      <c r="G9" s="247"/>
      <c r="H9" s="246"/>
      <c r="I9" s="247"/>
      <c r="J9" s="243"/>
      <c r="K9" s="252"/>
      <c r="L9" s="242"/>
      <c r="M9" s="243"/>
      <c r="N9" s="243"/>
      <c r="O9" s="252"/>
      <c r="P9" s="242"/>
      <c r="Q9" s="243"/>
      <c r="R9" s="243"/>
      <c r="S9" s="252"/>
      <c r="T9" s="246"/>
      <c r="U9" s="247"/>
      <c r="V9" s="247"/>
      <c r="W9" s="248"/>
      <c r="X9" s="246"/>
      <c r="Y9" s="247"/>
      <c r="Z9" s="247"/>
      <c r="AA9" s="248"/>
      <c r="AB9" s="246"/>
      <c r="AC9" s="247"/>
      <c r="AD9" s="247"/>
      <c r="AE9" s="248"/>
      <c r="AF9" s="246"/>
      <c r="AG9" s="247"/>
      <c r="AH9" s="247"/>
      <c r="AI9" s="248"/>
      <c r="AJ9" s="246"/>
      <c r="AK9" s="247"/>
      <c r="AL9" s="247"/>
      <c r="AM9" s="248"/>
      <c r="AN9" s="246"/>
      <c r="AO9" s="247"/>
      <c r="AP9" s="247"/>
      <c r="AQ9" s="248"/>
      <c r="AR9" s="246"/>
      <c r="AS9" s="247"/>
      <c r="AT9" s="247"/>
      <c r="AU9" s="248"/>
      <c r="AV9" s="246"/>
      <c r="AW9" s="247"/>
      <c r="AX9" s="247"/>
      <c r="AY9" s="248"/>
      <c r="AZ9" s="246"/>
      <c r="BA9" s="247"/>
      <c r="BB9" s="247"/>
      <c r="BC9" s="248"/>
      <c r="BD9" s="246"/>
      <c r="BE9" s="247"/>
      <c r="BF9" s="247"/>
      <c r="BG9" s="248"/>
      <c r="BH9" s="246"/>
      <c r="BI9" s="247"/>
      <c r="BJ9" s="247"/>
      <c r="BK9" s="248"/>
      <c r="BL9" s="246"/>
      <c r="BM9" s="247"/>
      <c r="BN9" s="247"/>
      <c r="BO9" s="248"/>
      <c r="BP9" s="246"/>
      <c r="BQ9" s="247"/>
      <c r="BR9" s="247"/>
      <c r="BS9" s="248"/>
      <c r="BT9" s="246"/>
      <c r="BU9" s="247"/>
      <c r="BV9" s="247"/>
      <c r="BW9" s="248"/>
      <c r="BX9" s="246"/>
      <c r="BY9" s="247"/>
      <c r="BZ9" s="247"/>
      <c r="CA9" s="248"/>
      <c r="CB9" s="246"/>
      <c r="CC9" s="247"/>
      <c r="CD9" s="247"/>
      <c r="CE9" s="248"/>
      <c r="CF9" s="246"/>
      <c r="CG9" s="247"/>
      <c r="CH9" s="247"/>
      <c r="CI9" s="248"/>
      <c r="CJ9" s="246"/>
      <c r="CK9" s="247"/>
      <c r="CL9" s="247"/>
      <c r="CM9" s="249"/>
    </row>
    <row r="10" spans="1:91">
      <c r="A10" s="239" t="s">
        <v>321</v>
      </c>
      <c r="B10" s="240">
        <v>4</v>
      </c>
      <c r="C10" s="241" t="s">
        <v>322</v>
      </c>
      <c r="D10" s="253"/>
      <c r="E10" s="247"/>
      <c r="F10" s="247"/>
      <c r="G10" s="248"/>
      <c r="H10" s="246"/>
      <c r="I10" s="247"/>
      <c r="J10" s="247"/>
      <c r="K10" s="248"/>
      <c r="L10" s="246"/>
      <c r="M10" s="247"/>
      <c r="N10" s="243"/>
      <c r="O10" s="252"/>
      <c r="P10" s="242"/>
      <c r="Q10" s="243"/>
      <c r="R10" s="243"/>
      <c r="S10" s="252"/>
      <c r="T10" s="242"/>
      <c r="U10" s="243"/>
      <c r="V10" s="247"/>
      <c r="W10" s="248"/>
      <c r="X10" s="246"/>
      <c r="Y10" s="247"/>
      <c r="Z10" s="247"/>
      <c r="AA10" s="248"/>
      <c r="AB10" s="246"/>
      <c r="AC10" s="247"/>
      <c r="AD10" s="247"/>
      <c r="AE10" s="248"/>
      <c r="AF10" s="246"/>
      <c r="AG10" s="247"/>
      <c r="AH10" s="247"/>
      <c r="AI10" s="248"/>
      <c r="AJ10" s="246"/>
      <c r="AK10" s="247"/>
      <c r="AL10" s="247"/>
      <c r="AM10" s="248"/>
      <c r="AN10" s="246"/>
      <c r="AO10" s="247"/>
      <c r="AP10" s="247"/>
      <c r="AQ10" s="248"/>
      <c r="AR10" s="246"/>
      <c r="AS10" s="247"/>
      <c r="AT10" s="247"/>
      <c r="AU10" s="248"/>
      <c r="AV10" s="246"/>
      <c r="AW10" s="247"/>
      <c r="AX10" s="247"/>
      <c r="AY10" s="248"/>
      <c r="AZ10" s="246"/>
      <c r="BA10" s="247"/>
      <c r="BB10" s="247"/>
      <c r="BC10" s="248"/>
      <c r="BD10" s="246"/>
      <c r="BE10" s="247"/>
      <c r="BF10" s="247"/>
      <c r="BG10" s="248"/>
      <c r="BH10" s="246"/>
      <c r="BI10" s="247"/>
      <c r="BJ10" s="247"/>
      <c r="BK10" s="248"/>
      <c r="BL10" s="246"/>
      <c r="BM10" s="247"/>
      <c r="BN10" s="247"/>
      <c r="BO10" s="248"/>
      <c r="BP10" s="246"/>
      <c r="BQ10" s="247"/>
      <c r="BR10" s="247"/>
      <c r="BS10" s="248"/>
      <c r="BT10" s="246"/>
      <c r="BU10" s="247"/>
      <c r="BV10" s="247"/>
      <c r="BW10" s="248"/>
      <c r="BX10" s="246"/>
      <c r="BY10" s="247"/>
      <c r="BZ10" s="247"/>
      <c r="CA10" s="248"/>
      <c r="CB10" s="246"/>
      <c r="CC10" s="247"/>
      <c r="CD10" s="247"/>
      <c r="CE10" s="248"/>
      <c r="CF10" s="246"/>
      <c r="CG10" s="247"/>
      <c r="CH10" s="247"/>
      <c r="CI10" s="248"/>
      <c r="CJ10" s="246"/>
      <c r="CK10" s="247"/>
      <c r="CL10" s="247"/>
      <c r="CM10" s="249"/>
    </row>
    <row r="11" spans="1:91" ht="14.5" thickBot="1">
      <c r="A11" s="259"/>
      <c r="B11" s="240">
        <v>7</v>
      </c>
      <c r="C11" s="251" t="s">
        <v>323</v>
      </c>
      <c r="D11" s="260"/>
      <c r="E11" s="261"/>
      <c r="F11" s="261"/>
      <c r="G11" s="262"/>
      <c r="H11" s="263"/>
      <c r="I11" s="261"/>
      <c r="J11" s="261"/>
      <c r="K11" s="261"/>
      <c r="L11" s="263"/>
      <c r="M11" s="261"/>
      <c r="N11" s="261"/>
      <c r="O11" s="262"/>
      <c r="P11" s="263"/>
      <c r="Q11" s="261"/>
      <c r="R11" s="261"/>
      <c r="S11" s="262"/>
      <c r="T11" s="264"/>
      <c r="U11" s="265"/>
      <c r="V11" s="261"/>
      <c r="W11" s="262"/>
      <c r="X11" s="263"/>
      <c r="Y11" s="261"/>
      <c r="Z11" s="261"/>
      <c r="AA11" s="262"/>
      <c r="AB11" s="263"/>
      <c r="AC11" s="261"/>
      <c r="AD11" s="261"/>
      <c r="AE11" s="262"/>
      <c r="AF11" s="263"/>
      <c r="AG11" s="261"/>
      <c r="AH11" s="261"/>
      <c r="AI11" s="262"/>
      <c r="AJ11" s="263"/>
      <c r="AK11" s="261"/>
      <c r="AL11" s="261"/>
      <c r="AM11" s="262"/>
      <c r="AN11" s="263"/>
      <c r="AO11" s="261"/>
      <c r="AP11" s="261"/>
      <c r="AQ11" s="262"/>
      <c r="AR11" s="263"/>
      <c r="AS11" s="261"/>
      <c r="AT11" s="261"/>
      <c r="AU11" s="262"/>
      <c r="AV11" s="263"/>
      <c r="AW11" s="261"/>
      <c r="AX11" s="261"/>
      <c r="AY11" s="262"/>
      <c r="AZ11" s="263"/>
      <c r="BA11" s="261"/>
      <c r="BB11" s="261"/>
      <c r="BC11" s="262"/>
      <c r="BD11" s="263"/>
      <c r="BE11" s="261"/>
      <c r="BF11" s="261"/>
      <c r="BG11" s="262"/>
      <c r="BH11" s="263"/>
      <c r="BI11" s="261"/>
      <c r="BJ11" s="261"/>
      <c r="BK11" s="262"/>
      <c r="BL11" s="263"/>
      <c r="BM11" s="261"/>
      <c r="BN11" s="261"/>
      <c r="BO11" s="262"/>
      <c r="BP11" s="263"/>
      <c r="BQ11" s="261"/>
      <c r="BR11" s="261"/>
      <c r="BS11" s="262"/>
      <c r="BT11" s="263"/>
      <c r="BU11" s="261"/>
      <c r="BV11" s="261"/>
      <c r="BW11" s="262"/>
      <c r="BX11" s="263"/>
      <c r="BY11" s="261"/>
      <c r="BZ11" s="261"/>
      <c r="CA11" s="262"/>
      <c r="CB11" s="263"/>
      <c r="CC11" s="261"/>
      <c r="CD11" s="261"/>
      <c r="CE11" s="262"/>
      <c r="CF11" s="263"/>
      <c r="CG11" s="261"/>
      <c r="CH11" s="261"/>
      <c r="CI11" s="262"/>
      <c r="CJ11" s="263"/>
      <c r="CK11" s="261"/>
      <c r="CL11" s="261"/>
      <c r="CM11" s="266"/>
    </row>
    <row r="12" spans="1:91" ht="14.5" thickBot="1">
      <c r="A12" s="267" t="s">
        <v>364</v>
      </c>
      <c r="B12" s="268"/>
      <c r="C12" s="269" t="s">
        <v>383</v>
      </c>
      <c r="D12" s="315"/>
      <c r="E12" s="271"/>
      <c r="F12" s="271"/>
      <c r="G12" s="272"/>
      <c r="H12" s="273"/>
      <c r="I12" s="271"/>
      <c r="J12" s="271"/>
      <c r="K12" s="272"/>
      <c r="L12" s="273"/>
      <c r="M12" s="271"/>
      <c r="N12" s="271"/>
      <c r="O12" s="272"/>
      <c r="P12" s="273"/>
      <c r="Q12" s="271"/>
      <c r="R12" s="271"/>
      <c r="S12" s="272"/>
      <c r="T12" s="274"/>
      <c r="U12" s="275"/>
      <c r="V12" s="271"/>
      <c r="W12" s="272"/>
      <c r="X12" s="273"/>
      <c r="Y12" s="271"/>
      <c r="Z12" s="271"/>
      <c r="AA12" s="272"/>
      <c r="AB12" s="273"/>
      <c r="AC12" s="271"/>
      <c r="AD12" s="271"/>
      <c r="AE12" s="272"/>
      <c r="AF12" s="273"/>
      <c r="AG12" s="271"/>
      <c r="AH12" s="271"/>
      <c r="AI12" s="272"/>
      <c r="AJ12" s="273"/>
      <c r="AK12" s="271"/>
      <c r="AL12" s="271"/>
      <c r="AM12" s="272"/>
      <c r="AN12" s="273"/>
      <c r="AO12" s="271"/>
      <c r="AP12" s="271"/>
      <c r="AQ12" s="272"/>
      <c r="AR12" s="273"/>
      <c r="AS12" s="271"/>
      <c r="AT12" s="271"/>
      <c r="AU12" s="272"/>
      <c r="AV12" s="273"/>
      <c r="AW12" s="271"/>
      <c r="AX12" s="271"/>
      <c r="AY12" s="272"/>
      <c r="AZ12" s="273"/>
      <c r="BA12" s="271"/>
      <c r="BB12" s="271"/>
      <c r="BC12" s="272"/>
      <c r="BD12" s="273"/>
      <c r="BE12" s="271"/>
      <c r="BF12" s="271"/>
      <c r="BG12" s="272"/>
      <c r="BH12" s="273"/>
      <c r="BI12" s="271"/>
      <c r="BJ12" s="271"/>
      <c r="BK12" s="272"/>
      <c r="BL12" s="273"/>
      <c r="BM12" s="271"/>
      <c r="BN12" s="271"/>
      <c r="BO12" s="272"/>
      <c r="BP12" s="273"/>
      <c r="BQ12" s="271"/>
      <c r="BR12" s="271"/>
      <c r="BS12" s="272"/>
      <c r="BT12" s="273"/>
      <c r="BU12" s="271"/>
      <c r="BV12" s="271"/>
      <c r="BW12" s="272"/>
      <c r="BX12" s="273"/>
      <c r="BY12" s="271"/>
      <c r="BZ12" s="271"/>
      <c r="CA12" s="272"/>
      <c r="CB12" s="273"/>
      <c r="CC12" s="271"/>
      <c r="CD12" s="271"/>
      <c r="CE12" s="272"/>
      <c r="CF12" s="273"/>
      <c r="CG12" s="271"/>
      <c r="CH12" s="271"/>
      <c r="CI12" s="272"/>
      <c r="CJ12" s="273"/>
      <c r="CK12" s="271"/>
      <c r="CL12" s="271"/>
      <c r="CM12" s="276"/>
    </row>
    <row r="13" spans="1:91">
      <c r="A13" s="387" t="s">
        <v>324</v>
      </c>
      <c r="B13" s="388"/>
      <c r="C13" s="392"/>
      <c r="D13" s="277"/>
      <c r="E13" s="235"/>
      <c r="F13" s="235"/>
      <c r="G13" s="236"/>
      <c r="H13" s="237"/>
      <c r="I13" s="235"/>
      <c r="J13" s="235"/>
      <c r="K13" s="236"/>
      <c r="L13" s="237"/>
      <c r="M13" s="235"/>
      <c r="N13" s="235"/>
      <c r="O13" s="236"/>
      <c r="P13" s="237"/>
      <c r="Q13" s="235"/>
      <c r="R13" s="235"/>
      <c r="S13" s="236"/>
      <c r="T13" s="237"/>
      <c r="U13" s="235"/>
      <c r="V13" s="235"/>
      <c r="W13" s="236"/>
      <c r="X13" s="237"/>
      <c r="Y13" s="235"/>
      <c r="Z13" s="235"/>
      <c r="AA13" s="236"/>
      <c r="AB13" s="237"/>
      <c r="AC13" s="235"/>
      <c r="AD13" s="235"/>
      <c r="AE13" s="236"/>
      <c r="AF13" s="237"/>
      <c r="AG13" s="235"/>
      <c r="AH13" s="235"/>
      <c r="AI13" s="236"/>
      <c r="AJ13" s="237"/>
      <c r="AK13" s="235"/>
      <c r="AL13" s="235"/>
      <c r="AM13" s="236"/>
      <c r="AN13" s="237"/>
      <c r="AO13" s="235"/>
      <c r="AP13" s="235"/>
      <c r="AQ13" s="236"/>
      <c r="AR13" s="237"/>
      <c r="AS13" s="235"/>
      <c r="AT13" s="235"/>
      <c r="AU13" s="236"/>
      <c r="AV13" s="237"/>
      <c r="AW13" s="235"/>
      <c r="AX13" s="235"/>
      <c r="AY13" s="236"/>
      <c r="AZ13" s="237"/>
      <c r="BA13" s="235"/>
      <c r="BB13" s="235"/>
      <c r="BC13" s="236"/>
      <c r="BD13" s="237"/>
      <c r="BE13" s="235"/>
      <c r="BF13" s="235"/>
      <c r="BG13" s="236"/>
      <c r="BH13" s="237"/>
      <c r="BI13" s="235"/>
      <c r="BJ13" s="235"/>
      <c r="BK13" s="236"/>
      <c r="BL13" s="237"/>
      <c r="BM13" s="235"/>
      <c r="BN13" s="235"/>
      <c r="BO13" s="236"/>
      <c r="BP13" s="237"/>
      <c r="BQ13" s="235"/>
      <c r="BR13" s="235"/>
      <c r="BS13" s="236"/>
      <c r="BT13" s="237"/>
      <c r="BU13" s="235"/>
      <c r="BV13" s="235"/>
      <c r="BW13" s="236"/>
      <c r="BX13" s="237"/>
      <c r="BY13" s="235"/>
      <c r="BZ13" s="235"/>
      <c r="CA13" s="236"/>
      <c r="CB13" s="237"/>
      <c r="CC13" s="235"/>
      <c r="CD13" s="235"/>
      <c r="CE13" s="236"/>
      <c r="CF13" s="237"/>
      <c r="CG13" s="235"/>
      <c r="CH13" s="235"/>
      <c r="CI13" s="236"/>
      <c r="CJ13" s="237"/>
      <c r="CK13" s="235"/>
      <c r="CL13" s="235"/>
      <c r="CM13" s="238"/>
    </row>
    <row r="14" spans="1:91">
      <c r="A14" s="389" t="s">
        <v>315</v>
      </c>
      <c r="B14" s="250">
        <v>8</v>
      </c>
      <c r="C14" s="251" t="s">
        <v>325</v>
      </c>
      <c r="D14" s="246"/>
      <c r="E14" s="247"/>
      <c r="F14" s="247"/>
      <c r="G14" s="248"/>
      <c r="H14" s="246"/>
      <c r="I14" s="247"/>
      <c r="J14" s="247"/>
      <c r="K14" s="248"/>
      <c r="L14" s="246"/>
      <c r="M14" s="247"/>
      <c r="N14" s="247"/>
      <c r="O14" s="248"/>
      <c r="P14" s="246"/>
      <c r="Q14" s="247"/>
      <c r="R14" s="247"/>
      <c r="S14" s="248"/>
      <c r="T14" s="246"/>
      <c r="U14" s="247"/>
      <c r="V14" s="243"/>
      <c r="W14" s="252"/>
      <c r="X14" s="242"/>
      <c r="Y14" s="243"/>
      <c r="Z14" s="243"/>
      <c r="AA14" s="252"/>
      <c r="AB14" s="242"/>
      <c r="AC14" s="243"/>
      <c r="AD14" s="243"/>
      <c r="AE14" s="252"/>
      <c r="AF14" s="242"/>
      <c r="AG14" s="243"/>
      <c r="AH14" s="247"/>
      <c r="AI14" s="248"/>
      <c r="AJ14" s="246"/>
      <c r="AK14" s="247"/>
      <c r="AL14" s="247"/>
      <c r="AM14" s="248"/>
      <c r="AN14" s="246"/>
      <c r="AO14" s="247"/>
      <c r="AP14" s="247"/>
      <c r="AQ14" s="248"/>
      <c r="AR14" s="246"/>
      <c r="AS14" s="247"/>
      <c r="AT14" s="247"/>
      <c r="AU14" s="248"/>
      <c r="AV14" s="246"/>
      <c r="AW14" s="247"/>
      <c r="AX14" s="247"/>
      <c r="AY14" s="248"/>
      <c r="AZ14" s="246"/>
      <c r="BA14" s="247"/>
      <c r="BB14" s="247"/>
      <c r="BC14" s="248"/>
      <c r="BD14" s="246"/>
      <c r="BE14" s="247"/>
      <c r="BF14" s="247"/>
      <c r="BG14" s="248"/>
      <c r="BH14" s="246"/>
      <c r="BI14" s="247"/>
      <c r="BJ14" s="247"/>
      <c r="BK14" s="248"/>
      <c r="BL14" s="246"/>
      <c r="BM14" s="247"/>
      <c r="BN14" s="247"/>
      <c r="BO14" s="248"/>
      <c r="BP14" s="246"/>
      <c r="BQ14" s="247"/>
      <c r="BR14" s="247"/>
      <c r="BS14" s="248"/>
      <c r="BT14" s="246"/>
      <c r="BU14" s="247"/>
      <c r="BV14" s="247"/>
      <c r="BW14" s="248"/>
      <c r="BX14" s="246"/>
      <c r="BY14" s="247"/>
      <c r="BZ14" s="247"/>
      <c r="CA14" s="248"/>
      <c r="CB14" s="246"/>
      <c r="CC14" s="247"/>
      <c r="CD14" s="247"/>
      <c r="CE14" s="248"/>
      <c r="CF14" s="246"/>
      <c r="CG14" s="247"/>
      <c r="CH14" s="247"/>
      <c r="CI14" s="248"/>
      <c r="CJ14" s="246"/>
      <c r="CK14" s="247"/>
      <c r="CL14" s="247"/>
      <c r="CM14" s="249"/>
    </row>
    <row r="15" spans="1:91">
      <c r="A15" s="389"/>
      <c r="B15" s="240">
        <v>9</v>
      </c>
      <c r="C15" s="241" t="s">
        <v>326</v>
      </c>
      <c r="D15" s="253"/>
      <c r="E15" s="247"/>
      <c r="F15" s="247"/>
      <c r="G15" s="248"/>
      <c r="H15" s="246"/>
      <c r="I15" s="247"/>
      <c r="J15" s="247"/>
      <c r="K15" s="248"/>
      <c r="L15" s="246"/>
      <c r="M15" s="247"/>
      <c r="N15" s="247"/>
      <c r="O15" s="248"/>
      <c r="P15" s="246"/>
      <c r="Q15" s="247"/>
      <c r="R15" s="247"/>
      <c r="S15" s="248"/>
      <c r="T15" s="246"/>
      <c r="U15" s="247"/>
      <c r="V15" s="247"/>
      <c r="W15" s="248"/>
      <c r="X15" s="246"/>
      <c r="Y15" s="247"/>
      <c r="Z15" s="247"/>
      <c r="AA15" s="248"/>
      <c r="AB15" s="246"/>
      <c r="AC15" s="247"/>
      <c r="AD15" s="247"/>
      <c r="AE15" s="248"/>
      <c r="AF15" s="246"/>
      <c r="AG15" s="243"/>
      <c r="AH15" s="247"/>
      <c r="AI15" s="248"/>
      <c r="AJ15" s="246"/>
      <c r="AK15" s="247"/>
      <c r="AL15" s="247"/>
      <c r="AM15" s="248"/>
      <c r="AN15" s="246"/>
      <c r="AO15" s="247"/>
      <c r="AP15" s="247"/>
      <c r="AQ15" s="248"/>
      <c r="AR15" s="246"/>
      <c r="AS15" s="247"/>
      <c r="AT15" s="247"/>
      <c r="AU15" s="248"/>
      <c r="AV15" s="246"/>
      <c r="AW15" s="247"/>
      <c r="AX15" s="247"/>
      <c r="AY15" s="248"/>
      <c r="AZ15" s="246"/>
      <c r="BA15" s="247"/>
      <c r="BB15" s="247"/>
      <c r="BC15" s="248"/>
      <c r="BD15" s="246"/>
      <c r="BE15" s="261"/>
      <c r="BF15" s="247"/>
      <c r="BG15" s="248"/>
      <c r="BH15" s="246"/>
      <c r="BI15" s="247"/>
      <c r="BJ15" s="247"/>
      <c r="BK15" s="248"/>
      <c r="BL15" s="246"/>
      <c r="BM15" s="247"/>
      <c r="BN15" s="247"/>
      <c r="BO15" s="248"/>
      <c r="BP15" s="246"/>
      <c r="BQ15" s="247"/>
      <c r="BR15" s="247"/>
      <c r="BS15" s="248"/>
      <c r="BT15" s="246"/>
      <c r="BU15" s="247"/>
      <c r="BV15" s="247"/>
      <c r="BW15" s="248"/>
      <c r="BX15" s="246"/>
      <c r="BY15" s="247"/>
      <c r="BZ15" s="247"/>
      <c r="CA15" s="248"/>
      <c r="CB15" s="246"/>
      <c r="CC15" s="247"/>
      <c r="CD15" s="247"/>
      <c r="CE15" s="248"/>
      <c r="CF15" s="246"/>
      <c r="CG15" s="247"/>
      <c r="CH15" s="247"/>
      <c r="CI15" s="248"/>
      <c r="CJ15" s="246"/>
      <c r="CK15" s="247"/>
      <c r="CL15" s="247"/>
      <c r="CM15" s="249"/>
    </row>
    <row r="16" spans="1:91">
      <c r="A16" s="390" t="s">
        <v>368</v>
      </c>
      <c r="B16" s="391"/>
      <c r="C16" s="391"/>
      <c r="D16" s="254"/>
      <c r="E16" s="255"/>
      <c r="F16" s="255"/>
      <c r="G16" s="256"/>
      <c r="H16" s="257"/>
      <c r="I16" s="255"/>
      <c r="J16" s="255"/>
      <c r="K16" s="256"/>
      <c r="L16" s="257"/>
      <c r="M16" s="255"/>
      <c r="N16" s="255"/>
      <c r="O16" s="256"/>
      <c r="P16" s="257"/>
      <c r="Q16" s="255"/>
      <c r="R16" s="255"/>
      <c r="S16" s="256"/>
      <c r="T16" s="257"/>
      <c r="U16" s="255"/>
      <c r="V16" s="255"/>
      <c r="W16" s="256"/>
      <c r="X16" s="257"/>
      <c r="Y16" s="255"/>
      <c r="Z16" s="255"/>
      <c r="AA16" s="256"/>
      <c r="AB16" s="257"/>
      <c r="AC16" s="255"/>
      <c r="AD16" s="255"/>
      <c r="AE16" s="256"/>
      <c r="AF16" s="257"/>
      <c r="AG16" s="255"/>
      <c r="AH16" s="255"/>
      <c r="AI16" s="256"/>
      <c r="AJ16" s="257"/>
      <c r="AK16" s="255"/>
      <c r="AL16" s="255"/>
      <c r="AM16" s="256"/>
      <c r="AN16" s="257"/>
      <c r="AO16" s="255"/>
      <c r="AP16" s="255"/>
      <c r="AQ16" s="256"/>
      <c r="AR16" s="257"/>
      <c r="AS16" s="255"/>
      <c r="AT16" s="255"/>
      <c r="AU16" s="256"/>
      <c r="AV16" s="257"/>
      <c r="AW16" s="255"/>
      <c r="AX16" s="255"/>
      <c r="AY16" s="256"/>
      <c r="AZ16" s="257"/>
      <c r="BA16" s="255"/>
      <c r="BB16" s="255"/>
      <c r="BC16" s="256"/>
      <c r="BD16" s="257"/>
      <c r="BE16" s="255"/>
      <c r="BF16" s="255"/>
      <c r="BG16" s="256"/>
      <c r="BH16" s="257"/>
      <c r="BI16" s="255"/>
      <c r="BJ16" s="255"/>
      <c r="BK16" s="256"/>
      <c r="BL16" s="257"/>
      <c r="BM16" s="255"/>
      <c r="BN16" s="255"/>
      <c r="BO16" s="256"/>
      <c r="BP16" s="257"/>
      <c r="BQ16" s="255"/>
      <c r="BR16" s="255"/>
      <c r="BS16" s="256"/>
      <c r="BT16" s="257"/>
      <c r="BU16" s="255"/>
      <c r="BV16" s="255"/>
      <c r="BW16" s="256"/>
      <c r="BX16" s="257"/>
      <c r="BY16" s="255"/>
      <c r="BZ16" s="255"/>
      <c r="CA16" s="256"/>
      <c r="CB16" s="257"/>
      <c r="CC16" s="255"/>
      <c r="CD16" s="255"/>
      <c r="CE16" s="256"/>
      <c r="CF16" s="257"/>
      <c r="CG16" s="255"/>
      <c r="CH16" s="255"/>
      <c r="CI16" s="256"/>
      <c r="CJ16" s="257"/>
      <c r="CK16" s="255"/>
      <c r="CL16" s="255"/>
      <c r="CM16" s="258"/>
    </row>
    <row r="17" spans="1:91">
      <c r="A17" s="393" t="s">
        <v>318</v>
      </c>
      <c r="B17" s="240">
        <v>10</v>
      </c>
      <c r="C17" s="251" t="s">
        <v>327</v>
      </c>
      <c r="D17" s="253"/>
      <c r="E17" s="247"/>
      <c r="F17" s="247"/>
      <c r="G17" s="248"/>
      <c r="H17" s="246"/>
      <c r="I17" s="247"/>
      <c r="J17" s="247"/>
      <c r="K17" s="248"/>
      <c r="L17" s="246"/>
      <c r="M17" s="247"/>
      <c r="N17" s="247"/>
      <c r="O17" s="248"/>
      <c r="P17" s="246"/>
      <c r="Q17" s="247"/>
      <c r="R17" s="247"/>
      <c r="S17" s="248"/>
      <c r="T17" s="246"/>
      <c r="U17" s="247"/>
      <c r="V17" s="243"/>
      <c r="W17" s="252"/>
      <c r="X17" s="242"/>
      <c r="Y17" s="243"/>
      <c r="Z17" s="243"/>
      <c r="AA17" s="252"/>
      <c r="AB17" s="242"/>
      <c r="AC17" s="243"/>
      <c r="AD17" s="243"/>
      <c r="AE17" s="252"/>
      <c r="AF17" s="242"/>
      <c r="AG17" s="243"/>
      <c r="AH17" s="247"/>
      <c r="AI17" s="248"/>
      <c r="AJ17" s="246"/>
      <c r="AK17" s="247"/>
      <c r="AL17" s="247"/>
      <c r="AM17" s="248"/>
      <c r="AN17" s="246"/>
      <c r="AO17" s="247"/>
      <c r="AP17" s="247"/>
      <c r="AQ17" s="248"/>
      <c r="AR17" s="246"/>
      <c r="AS17" s="247"/>
      <c r="AT17" s="247"/>
      <c r="AU17" s="248"/>
      <c r="AV17" s="246"/>
      <c r="AW17" s="247"/>
      <c r="AX17" s="247"/>
      <c r="AY17" s="248"/>
      <c r="AZ17" s="317"/>
      <c r="BA17" s="247"/>
      <c r="BB17" s="247"/>
      <c r="BC17" s="248"/>
      <c r="BD17" s="317"/>
      <c r="BE17" s="247"/>
      <c r="BF17" s="247"/>
      <c r="BG17" s="248"/>
      <c r="BH17" s="246"/>
      <c r="BI17" s="247"/>
      <c r="BJ17" s="247"/>
      <c r="BK17" s="248"/>
      <c r="BL17" s="246"/>
      <c r="BM17" s="247"/>
      <c r="BN17" s="247"/>
      <c r="BO17" s="248"/>
      <c r="BP17" s="246"/>
      <c r="BQ17" s="247"/>
      <c r="BR17" s="247"/>
      <c r="BS17" s="248"/>
      <c r="BT17" s="246"/>
      <c r="BU17" s="247"/>
      <c r="BV17" s="247"/>
      <c r="BW17" s="248"/>
      <c r="BX17" s="246"/>
      <c r="BY17" s="247"/>
      <c r="BZ17" s="247"/>
      <c r="CA17" s="248"/>
      <c r="CB17" s="246"/>
      <c r="CC17" s="247"/>
      <c r="CD17" s="247"/>
      <c r="CE17" s="248"/>
      <c r="CF17" s="246"/>
      <c r="CG17" s="247"/>
      <c r="CH17" s="247"/>
      <c r="CI17" s="248"/>
      <c r="CJ17" s="246"/>
      <c r="CK17" s="247"/>
      <c r="CL17" s="247"/>
      <c r="CM17" s="249"/>
    </row>
    <row r="18" spans="1:91">
      <c r="A18" s="393"/>
      <c r="B18" s="240">
        <v>11</v>
      </c>
      <c r="C18" s="241" t="s">
        <v>328</v>
      </c>
      <c r="D18" s="253"/>
      <c r="E18" s="247"/>
      <c r="F18" s="247"/>
      <c r="G18" s="247"/>
      <c r="H18" s="246"/>
      <c r="I18" s="247"/>
      <c r="J18" s="247"/>
      <c r="K18" s="248"/>
      <c r="L18" s="246"/>
      <c r="M18" s="247"/>
      <c r="N18" s="247"/>
      <c r="O18" s="248"/>
      <c r="P18" s="246"/>
      <c r="Q18" s="247"/>
      <c r="R18" s="247"/>
      <c r="S18" s="248"/>
      <c r="T18" s="246"/>
      <c r="U18" s="247"/>
      <c r="V18" s="247"/>
      <c r="W18" s="248"/>
      <c r="X18" s="242"/>
      <c r="Y18" s="243"/>
      <c r="Z18" s="243"/>
      <c r="AA18" s="252"/>
      <c r="AB18" s="242"/>
      <c r="AC18" s="243"/>
      <c r="AD18" s="243"/>
      <c r="AE18" s="252"/>
      <c r="AF18" s="242"/>
      <c r="AG18" s="243"/>
      <c r="AH18" s="247"/>
      <c r="AI18" s="248"/>
      <c r="AJ18" s="246"/>
      <c r="AK18" s="247"/>
      <c r="AL18" s="247"/>
      <c r="AM18" s="248"/>
      <c r="AN18" s="246"/>
      <c r="AO18" s="247"/>
      <c r="AP18" s="247"/>
      <c r="AQ18" s="248"/>
      <c r="AR18" s="246"/>
      <c r="AS18" s="247"/>
      <c r="AT18" s="247"/>
      <c r="AU18" s="248"/>
      <c r="AV18" s="246"/>
      <c r="AW18" s="247"/>
      <c r="AX18" s="247"/>
      <c r="AY18" s="248"/>
      <c r="AZ18" s="317"/>
      <c r="BA18" s="247"/>
      <c r="BB18" s="247"/>
      <c r="BC18" s="248"/>
      <c r="BD18" s="317"/>
      <c r="BE18" s="247"/>
      <c r="BF18" s="247"/>
      <c r="BG18" s="248"/>
      <c r="BH18" s="246"/>
      <c r="BI18" s="247"/>
      <c r="BJ18" s="247"/>
      <c r="BK18" s="248"/>
      <c r="BL18" s="246"/>
      <c r="BM18" s="247"/>
      <c r="BN18" s="247"/>
      <c r="BO18" s="248"/>
      <c r="BP18" s="246"/>
      <c r="BQ18" s="247"/>
      <c r="BR18" s="247"/>
      <c r="BS18" s="248"/>
      <c r="BT18" s="246"/>
      <c r="BU18" s="247"/>
      <c r="BV18" s="247"/>
      <c r="BW18" s="248"/>
      <c r="BX18" s="246"/>
      <c r="BY18" s="247"/>
      <c r="BZ18" s="247"/>
      <c r="CA18" s="248"/>
      <c r="CB18" s="246"/>
      <c r="CC18" s="247"/>
      <c r="CD18" s="247"/>
      <c r="CE18" s="248"/>
      <c r="CF18" s="246"/>
      <c r="CG18" s="247"/>
      <c r="CH18" s="247"/>
      <c r="CI18" s="248"/>
      <c r="CJ18" s="246"/>
      <c r="CK18" s="247"/>
      <c r="CL18" s="247"/>
      <c r="CM18" s="249"/>
    </row>
    <row r="19" spans="1:91" ht="14.5" thickBot="1">
      <c r="A19" s="393"/>
      <c r="B19" s="240">
        <v>12</v>
      </c>
      <c r="C19" s="251" t="s">
        <v>329</v>
      </c>
      <c r="D19" s="260"/>
      <c r="E19" s="261"/>
      <c r="F19" s="261"/>
      <c r="G19" s="262"/>
      <c r="H19" s="263"/>
      <c r="I19" s="261"/>
      <c r="J19" s="261"/>
      <c r="K19" s="261"/>
      <c r="L19" s="263"/>
      <c r="M19" s="261"/>
      <c r="N19" s="261"/>
      <c r="O19" s="262"/>
      <c r="P19" s="263"/>
      <c r="Q19" s="261"/>
      <c r="R19" s="261"/>
      <c r="S19" s="262"/>
      <c r="T19" s="263"/>
      <c r="U19" s="261"/>
      <c r="V19" s="261"/>
      <c r="W19" s="261"/>
      <c r="X19" s="263"/>
      <c r="Y19" s="261"/>
      <c r="Z19" s="261"/>
      <c r="AA19" s="262"/>
      <c r="AB19" s="263"/>
      <c r="AC19" s="261"/>
      <c r="AD19" s="261"/>
      <c r="AE19" s="262"/>
      <c r="AF19" s="263"/>
      <c r="AG19" s="243"/>
      <c r="AH19" s="261"/>
      <c r="AI19" s="262"/>
      <c r="AJ19" s="263"/>
      <c r="AK19" s="261"/>
      <c r="AL19" s="261"/>
      <c r="AM19" s="262"/>
      <c r="AN19" s="263"/>
      <c r="AO19" s="261"/>
      <c r="AP19" s="261"/>
      <c r="AQ19" s="262"/>
      <c r="AR19" s="263"/>
      <c r="AS19" s="261"/>
      <c r="AT19" s="261"/>
      <c r="AU19" s="262"/>
      <c r="AV19" s="263"/>
      <c r="AW19" s="261"/>
      <c r="AX19" s="261"/>
      <c r="AY19" s="262"/>
      <c r="AZ19" s="263"/>
      <c r="BA19" s="261"/>
      <c r="BB19" s="261"/>
      <c r="BC19" s="262"/>
      <c r="BD19" s="261"/>
      <c r="BE19" s="318"/>
      <c r="BF19" s="278"/>
      <c r="BG19" s="262"/>
      <c r="BH19" s="263"/>
      <c r="BI19" s="261"/>
      <c r="BJ19" s="261"/>
      <c r="BK19" s="262"/>
      <c r="BL19" s="263"/>
      <c r="BM19" s="261"/>
      <c r="BN19" s="261"/>
      <c r="BO19" s="262"/>
      <c r="BP19" s="263"/>
      <c r="BQ19" s="261"/>
      <c r="BR19" s="261"/>
      <c r="BS19" s="262"/>
      <c r="BT19" s="263"/>
      <c r="BU19" s="261"/>
      <c r="BV19" s="261"/>
      <c r="BW19" s="262"/>
      <c r="BX19" s="263"/>
      <c r="BY19" s="261"/>
      <c r="BZ19" s="261"/>
      <c r="CA19" s="262"/>
      <c r="CB19" s="263"/>
      <c r="CC19" s="261"/>
      <c r="CD19" s="261"/>
      <c r="CE19" s="262"/>
      <c r="CF19" s="263"/>
      <c r="CG19" s="261"/>
      <c r="CH19" s="261"/>
      <c r="CI19" s="262"/>
      <c r="CJ19" s="263"/>
      <c r="CK19" s="261"/>
      <c r="CL19" s="261"/>
      <c r="CM19" s="266"/>
    </row>
    <row r="20" spans="1:91" ht="14.5" thickBot="1">
      <c r="A20" s="267" t="s">
        <v>365</v>
      </c>
      <c r="B20" s="268"/>
      <c r="C20" s="269" t="s">
        <v>384</v>
      </c>
      <c r="D20" s="270"/>
      <c r="E20" s="271"/>
      <c r="F20" s="271"/>
      <c r="G20" s="272"/>
      <c r="H20" s="273"/>
      <c r="I20" s="271"/>
      <c r="J20" s="271"/>
      <c r="K20" s="272"/>
      <c r="L20" s="273"/>
      <c r="M20" s="271"/>
      <c r="N20" s="271"/>
      <c r="O20" s="272"/>
      <c r="P20" s="273"/>
      <c r="Q20" s="271"/>
      <c r="R20" s="271"/>
      <c r="S20" s="272"/>
      <c r="T20" s="274"/>
      <c r="U20" s="271"/>
      <c r="V20" s="271"/>
      <c r="W20" s="272"/>
      <c r="X20" s="273"/>
      <c r="Y20" s="271"/>
      <c r="Z20" s="271"/>
      <c r="AA20" s="272"/>
      <c r="AB20" s="273"/>
      <c r="AC20" s="271"/>
      <c r="AD20" s="271"/>
      <c r="AE20" s="272"/>
      <c r="AF20" s="273"/>
      <c r="AG20" s="279"/>
      <c r="AH20" s="271"/>
      <c r="AI20" s="272"/>
      <c r="AJ20" s="273"/>
      <c r="AK20" s="271"/>
      <c r="AL20" s="271"/>
      <c r="AM20" s="272"/>
      <c r="AN20" s="273"/>
      <c r="AO20" s="271"/>
      <c r="AP20" s="271"/>
      <c r="AQ20" s="272"/>
      <c r="AR20" s="273"/>
      <c r="AS20" s="271"/>
      <c r="AT20" s="271"/>
      <c r="AU20" s="272"/>
      <c r="AV20" s="273"/>
      <c r="AW20" s="271"/>
      <c r="AX20" s="271"/>
      <c r="AY20" s="272"/>
      <c r="AZ20" s="273"/>
      <c r="BA20" s="271"/>
      <c r="BB20" s="271"/>
      <c r="BC20" s="280"/>
      <c r="BD20" s="273"/>
      <c r="BE20" s="281"/>
      <c r="BF20" s="282"/>
      <c r="BG20" s="272"/>
      <c r="BH20" s="273"/>
      <c r="BI20" s="271"/>
      <c r="BJ20" s="271"/>
      <c r="BK20" s="272"/>
      <c r="BL20" s="273"/>
      <c r="BM20" s="271"/>
      <c r="BN20" s="271"/>
      <c r="BO20" s="272"/>
      <c r="BP20" s="273"/>
      <c r="BQ20" s="271"/>
      <c r="BR20" s="271"/>
      <c r="BS20" s="272"/>
      <c r="BT20" s="273"/>
      <c r="BU20" s="271"/>
      <c r="BV20" s="271"/>
      <c r="BW20" s="272"/>
      <c r="BX20" s="273"/>
      <c r="BY20" s="271"/>
      <c r="BZ20" s="271"/>
      <c r="CA20" s="272"/>
      <c r="CB20" s="273"/>
      <c r="CC20" s="271"/>
      <c r="CD20" s="271"/>
      <c r="CE20" s="272"/>
      <c r="CF20" s="273"/>
      <c r="CG20" s="271"/>
      <c r="CH20" s="271"/>
      <c r="CI20" s="272"/>
      <c r="CJ20" s="273"/>
      <c r="CK20" s="271"/>
      <c r="CL20" s="271"/>
      <c r="CM20" s="276"/>
    </row>
    <row r="21" spans="1:91">
      <c r="A21" s="381" t="s">
        <v>373</v>
      </c>
      <c r="B21" s="382"/>
      <c r="C21" s="382"/>
      <c r="D21" s="234"/>
      <c r="E21" s="235"/>
      <c r="F21" s="235"/>
      <c r="G21" s="236"/>
      <c r="H21" s="237"/>
      <c r="I21" s="235"/>
      <c r="J21" s="235"/>
      <c r="K21" s="236"/>
      <c r="L21" s="237"/>
      <c r="M21" s="235"/>
      <c r="N21" s="235"/>
      <c r="O21" s="236"/>
      <c r="P21" s="237"/>
      <c r="Q21" s="235"/>
      <c r="R21" s="235"/>
      <c r="S21" s="236"/>
      <c r="T21" s="237"/>
      <c r="U21" s="235"/>
      <c r="V21" s="235"/>
      <c r="W21" s="236"/>
      <c r="X21" s="237"/>
      <c r="Y21" s="235"/>
      <c r="Z21" s="235"/>
      <c r="AA21" s="236"/>
      <c r="AB21" s="237"/>
      <c r="AC21" s="235"/>
      <c r="AD21" s="235"/>
      <c r="AE21" s="236"/>
      <c r="AF21" s="237"/>
      <c r="AG21" s="235"/>
      <c r="AH21" s="235"/>
      <c r="AI21" s="236"/>
      <c r="AJ21" s="237"/>
      <c r="AK21" s="235"/>
      <c r="AL21" s="235"/>
      <c r="AM21" s="236"/>
      <c r="AN21" s="237"/>
      <c r="AO21" s="235"/>
      <c r="AP21" s="235"/>
      <c r="AQ21" s="236"/>
      <c r="AR21" s="237"/>
      <c r="AS21" s="235"/>
      <c r="AT21" s="235"/>
      <c r="AU21" s="236"/>
      <c r="AV21" s="237"/>
      <c r="AW21" s="235"/>
      <c r="AX21" s="235"/>
      <c r="AY21" s="236"/>
      <c r="AZ21" s="237"/>
      <c r="BA21" s="235"/>
      <c r="BB21" s="235"/>
      <c r="BC21" s="236"/>
      <c r="BD21" s="237"/>
      <c r="BE21" s="235"/>
      <c r="BF21" s="235"/>
      <c r="BG21" s="236"/>
      <c r="BH21" s="237"/>
      <c r="BI21" s="235"/>
      <c r="BJ21" s="235"/>
      <c r="BK21" s="236"/>
      <c r="BL21" s="237"/>
      <c r="BM21" s="235"/>
      <c r="BN21" s="235"/>
      <c r="BO21" s="236"/>
      <c r="BP21" s="237"/>
      <c r="BQ21" s="235"/>
      <c r="BR21" s="235"/>
      <c r="BS21" s="236"/>
      <c r="BT21" s="237"/>
      <c r="BU21" s="235"/>
      <c r="BV21" s="235"/>
      <c r="BW21" s="236"/>
      <c r="BX21" s="237"/>
      <c r="BY21" s="235"/>
      <c r="BZ21" s="235"/>
      <c r="CA21" s="236"/>
      <c r="CB21" s="237"/>
      <c r="CC21" s="235"/>
      <c r="CD21" s="235"/>
      <c r="CE21" s="236"/>
      <c r="CF21" s="237"/>
      <c r="CG21" s="235"/>
      <c r="CH21" s="235"/>
      <c r="CI21" s="236"/>
      <c r="CJ21" s="237"/>
      <c r="CK21" s="235"/>
      <c r="CL21" s="235"/>
      <c r="CM21" s="238"/>
    </row>
    <row r="22" spans="1:91">
      <c r="A22" s="383" t="s">
        <v>330</v>
      </c>
      <c r="B22" s="284">
        <v>13</v>
      </c>
      <c r="C22" s="283" t="s">
        <v>331</v>
      </c>
      <c r="D22" s="253"/>
      <c r="E22" s="247"/>
      <c r="F22" s="285"/>
      <c r="G22" s="286"/>
      <c r="H22" s="246"/>
      <c r="I22" s="247"/>
      <c r="J22" s="247"/>
      <c r="K22" s="248"/>
      <c r="L22" s="246"/>
      <c r="M22" s="247"/>
      <c r="N22" s="247"/>
      <c r="O22" s="248"/>
      <c r="P22" s="242"/>
      <c r="Q22" s="243"/>
      <c r="R22" s="243"/>
      <c r="S22" s="252"/>
      <c r="T22" s="242"/>
      <c r="U22" s="243"/>
      <c r="V22" s="243"/>
      <c r="W22" s="252"/>
      <c r="X22" s="242"/>
      <c r="Y22" s="243"/>
      <c r="Z22" s="243"/>
      <c r="AA22" s="252"/>
      <c r="AB22" s="246"/>
      <c r="AC22" s="247"/>
      <c r="AD22" s="247"/>
      <c r="AE22" s="248"/>
      <c r="AF22" s="246"/>
      <c r="AG22" s="247"/>
      <c r="AH22" s="247"/>
      <c r="AI22" s="248"/>
      <c r="AJ22" s="246"/>
      <c r="AK22" s="247"/>
      <c r="AL22" s="247"/>
      <c r="AM22" s="248"/>
      <c r="AN22" s="246"/>
      <c r="AO22" s="247"/>
      <c r="AP22" s="247"/>
      <c r="AQ22" s="248"/>
      <c r="AR22" s="246"/>
      <c r="AS22" s="247"/>
      <c r="AT22" s="247"/>
      <c r="AU22" s="248"/>
      <c r="AV22" s="246"/>
      <c r="AW22" s="247"/>
      <c r="AX22" s="247"/>
      <c r="AY22" s="248"/>
      <c r="AZ22" s="246"/>
      <c r="BA22" s="247"/>
      <c r="BB22" s="247"/>
      <c r="BC22" s="248"/>
      <c r="BD22" s="246"/>
      <c r="BE22" s="247"/>
      <c r="BF22" s="247"/>
      <c r="BG22" s="248"/>
      <c r="BH22" s="246"/>
      <c r="BI22" s="247"/>
      <c r="BJ22" s="247"/>
      <c r="BK22" s="248"/>
      <c r="BL22" s="246"/>
      <c r="BM22" s="247"/>
      <c r="BN22" s="247"/>
      <c r="BO22" s="248"/>
      <c r="BP22" s="246"/>
      <c r="BQ22" s="247"/>
      <c r="BR22" s="247"/>
      <c r="BS22" s="248"/>
      <c r="BT22" s="246"/>
      <c r="BU22" s="247"/>
      <c r="BV22" s="247"/>
      <c r="BW22" s="248"/>
      <c r="BX22" s="246"/>
      <c r="BY22" s="247"/>
      <c r="BZ22" s="247"/>
      <c r="CA22" s="248"/>
      <c r="CB22" s="246"/>
      <c r="CC22" s="247"/>
      <c r="CD22" s="247"/>
      <c r="CE22" s="248"/>
      <c r="CF22" s="246"/>
      <c r="CG22" s="247"/>
      <c r="CH22" s="247"/>
      <c r="CI22" s="248"/>
      <c r="CJ22" s="246"/>
      <c r="CK22" s="247"/>
      <c r="CL22" s="247"/>
      <c r="CM22" s="249"/>
    </row>
    <row r="23" spans="1:91">
      <c r="A23" s="383"/>
      <c r="B23" s="284">
        <v>14</v>
      </c>
      <c r="C23" s="287" t="s">
        <v>332</v>
      </c>
      <c r="D23" s="253"/>
      <c r="E23" s="247"/>
      <c r="F23" s="285"/>
      <c r="G23" s="286"/>
      <c r="H23" s="285"/>
      <c r="I23" s="285"/>
      <c r="J23" s="285"/>
      <c r="K23" s="286"/>
      <c r="L23" s="246"/>
      <c r="M23" s="247"/>
      <c r="N23" s="247"/>
      <c r="O23" s="248"/>
      <c r="P23" s="246"/>
      <c r="Q23" s="243"/>
      <c r="R23" s="243"/>
      <c r="S23" s="252"/>
      <c r="T23" s="242"/>
      <c r="U23" s="243"/>
      <c r="V23" s="243"/>
      <c r="W23" s="252"/>
      <c r="X23" s="242"/>
      <c r="Y23" s="243"/>
      <c r="Z23" s="243"/>
      <c r="AA23" s="252"/>
      <c r="AB23" s="242"/>
      <c r="AC23" s="243"/>
      <c r="AD23" s="243"/>
      <c r="AE23" s="252"/>
      <c r="AF23" s="242"/>
      <c r="AG23" s="243"/>
      <c r="AH23" s="243"/>
      <c r="AI23" s="252"/>
      <c r="AJ23" s="242"/>
      <c r="AK23" s="243"/>
      <c r="AL23" s="243"/>
      <c r="AM23" s="252"/>
      <c r="AN23" s="246"/>
      <c r="AO23" s="247"/>
      <c r="AP23" s="247"/>
      <c r="AQ23" s="248"/>
      <c r="AR23" s="246"/>
      <c r="AS23" s="247"/>
      <c r="AT23" s="247"/>
      <c r="AU23" s="248"/>
      <c r="AV23" s="246"/>
      <c r="AW23" s="247"/>
      <c r="AX23" s="247"/>
      <c r="AY23" s="248"/>
      <c r="AZ23" s="246"/>
      <c r="BA23" s="247"/>
      <c r="BB23" s="247"/>
      <c r="BC23" s="248"/>
      <c r="BD23" s="246"/>
      <c r="BE23" s="247"/>
      <c r="BF23" s="247"/>
      <c r="BG23" s="248"/>
      <c r="BH23" s="246"/>
      <c r="BI23" s="247"/>
      <c r="BJ23" s="247"/>
      <c r="BK23" s="248"/>
      <c r="BL23" s="246"/>
      <c r="BM23" s="247"/>
      <c r="BN23" s="247"/>
      <c r="BO23" s="248"/>
      <c r="BP23" s="246"/>
      <c r="BQ23" s="247"/>
      <c r="BR23" s="247"/>
      <c r="BS23" s="248"/>
      <c r="BT23" s="246"/>
      <c r="BU23" s="247"/>
      <c r="BV23" s="247"/>
      <c r="BW23" s="248"/>
      <c r="BX23" s="246"/>
      <c r="BY23" s="247"/>
      <c r="BZ23" s="247"/>
      <c r="CA23" s="248"/>
      <c r="CB23" s="246"/>
      <c r="CC23" s="247"/>
      <c r="CD23" s="247"/>
      <c r="CE23" s="248"/>
      <c r="CF23" s="246"/>
      <c r="CG23" s="247"/>
      <c r="CH23" s="247"/>
      <c r="CI23" s="248"/>
      <c r="CJ23" s="246"/>
      <c r="CK23" s="247"/>
      <c r="CL23" s="247"/>
      <c r="CM23" s="249"/>
    </row>
    <row r="24" spans="1:91">
      <c r="A24" s="383"/>
      <c r="B24" s="284">
        <v>15</v>
      </c>
      <c r="C24" s="287" t="s">
        <v>333</v>
      </c>
      <c r="D24" s="253"/>
      <c r="E24" s="247"/>
      <c r="F24" s="247"/>
      <c r="G24" s="248"/>
      <c r="H24" s="247"/>
      <c r="I24" s="247"/>
      <c r="J24" s="247"/>
      <c r="K24" s="248"/>
      <c r="L24" s="246"/>
      <c r="M24" s="247"/>
      <c r="N24" s="247"/>
      <c r="O24" s="248"/>
      <c r="P24" s="246"/>
      <c r="Q24" s="247"/>
      <c r="R24" s="247"/>
      <c r="S24" s="248"/>
      <c r="T24" s="246"/>
      <c r="U24" s="247"/>
      <c r="V24" s="247"/>
      <c r="W24" s="248"/>
      <c r="X24" s="246"/>
      <c r="Y24" s="247"/>
      <c r="Z24" s="247"/>
      <c r="AA24" s="248"/>
      <c r="AB24" s="246"/>
      <c r="AC24" s="247"/>
      <c r="AD24" s="247"/>
      <c r="AE24" s="248"/>
      <c r="AF24" s="242"/>
      <c r="AG24" s="243"/>
      <c r="AH24" s="243"/>
      <c r="AI24" s="252"/>
      <c r="AJ24" s="242"/>
      <c r="AK24" s="243"/>
      <c r="AL24" s="243"/>
      <c r="AM24" s="252"/>
      <c r="AN24" s="246"/>
      <c r="AO24" s="247"/>
      <c r="AP24" s="247"/>
      <c r="AQ24" s="248"/>
      <c r="AR24" s="246"/>
      <c r="AS24" s="247"/>
      <c r="AT24" s="247"/>
      <c r="AU24" s="248"/>
      <c r="AV24" s="246"/>
      <c r="AW24" s="247"/>
      <c r="AX24" s="247"/>
      <c r="AY24" s="248"/>
      <c r="AZ24" s="246"/>
      <c r="BA24" s="247"/>
      <c r="BB24" s="247"/>
      <c r="BC24" s="248"/>
      <c r="BD24" s="246"/>
      <c r="BE24" s="247"/>
      <c r="BF24" s="247"/>
      <c r="BG24" s="248"/>
      <c r="BH24" s="246"/>
      <c r="BI24" s="247"/>
      <c r="BJ24" s="247"/>
      <c r="BK24" s="248"/>
      <c r="BL24" s="246"/>
      <c r="BM24" s="247"/>
      <c r="BN24" s="247"/>
      <c r="BO24" s="248"/>
      <c r="BP24" s="246"/>
      <c r="BQ24" s="247"/>
      <c r="BR24" s="247"/>
      <c r="BS24" s="248"/>
      <c r="BT24" s="246"/>
      <c r="BU24" s="247"/>
      <c r="BV24" s="247"/>
      <c r="BW24" s="248"/>
      <c r="BX24" s="246"/>
      <c r="BY24" s="247"/>
      <c r="BZ24" s="247"/>
      <c r="CA24" s="248"/>
      <c r="CB24" s="246"/>
      <c r="CC24" s="247"/>
      <c r="CD24" s="247"/>
      <c r="CE24" s="248"/>
      <c r="CF24" s="246"/>
      <c r="CG24" s="247"/>
      <c r="CH24" s="247"/>
      <c r="CI24" s="248"/>
      <c r="CJ24" s="246"/>
      <c r="CK24" s="247"/>
      <c r="CL24" s="247"/>
      <c r="CM24" s="249"/>
    </row>
    <row r="25" spans="1:91">
      <c r="A25" s="383" t="s">
        <v>334</v>
      </c>
      <c r="B25" s="284">
        <v>16</v>
      </c>
      <c r="C25" s="287" t="s">
        <v>335</v>
      </c>
      <c r="D25" s="253"/>
      <c r="E25" s="247"/>
      <c r="F25" s="247"/>
      <c r="G25" s="248"/>
      <c r="H25" s="247"/>
      <c r="I25" s="247"/>
      <c r="J25" s="247"/>
      <c r="K25" s="248"/>
      <c r="L25" s="246"/>
      <c r="M25" s="247"/>
      <c r="N25" s="247"/>
      <c r="O25" s="248"/>
      <c r="P25" s="246"/>
      <c r="Q25" s="247"/>
      <c r="R25" s="247"/>
      <c r="S25" s="248"/>
      <c r="T25" s="246"/>
      <c r="U25" s="247"/>
      <c r="V25" s="247"/>
      <c r="W25" s="248"/>
      <c r="X25" s="246"/>
      <c r="Y25" s="247"/>
      <c r="Z25" s="247"/>
      <c r="AA25" s="248"/>
      <c r="AB25" s="246"/>
      <c r="AC25" s="247"/>
      <c r="AD25" s="247"/>
      <c r="AE25" s="248"/>
      <c r="AF25" s="246"/>
      <c r="AG25" s="247"/>
      <c r="AH25" s="247"/>
      <c r="AI25" s="248"/>
      <c r="AJ25" s="246"/>
      <c r="AK25" s="247"/>
      <c r="AL25" s="243"/>
      <c r="AM25" s="252"/>
      <c r="AN25" s="246"/>
      <c r="AO25" s="247"/>
      <c r="AP25" s="247"/>
      <c r="AQ25" s="248"/>
      <c r="AR25" s="246"/>
      <c r="AS25" s="247"/>
      <c r="AT25" s="247"/>
      <c r="AU25" s="248"/>
      <c r="AV25" s="246"/>
      <c r="AW25" s="247"/>
      <c r="AX25" s="247"/>
      <c r="AY25" s="248"/>
      <c r="AZ25" s="246"/>
      <c r="BA25" s="247"/>
      <c r="BB25" s="247"/>
      <c r="BC25" s="248"/>
      <c r="BD25" s="246"/>
      <c r="BE25" s="247"/>
      <c r="BF25" s="247"/>
      <c r="BG25" s="248"/>
      <c r="BH25" s="246"/>
      <c r="BI25" s="247"/>
      <c r="BJ25" s="247"/>
      <c r="BK25" s="248"/>
      <c r="BL25" s="246"/>
      <c r="BM25" s="247"/>
      <c r="BN25" s="247"/>
      <c r="BO25" s="248"/>
      <c r="BP25" s="246"/>
      <c r="BQ25" s="247"/>
      <c r="BR25" s="247"/>
      <c r="BS25" s="248"/>
      <c r="BT25" s="246"/>
      <c r="BU25" s="247"/>
      <c r="BV25" s="247"/>
      <c r="BW25" s="248"/>
      <c r="BX25" s="246"/>
      <c r="BY25" s="247"/>
      <c r="BZ25" s="247"/>
      <c r="CA25" s="248"/>
      <c r="CB25" s="246"/>
      <c r="CC25" s="247"/>
      <c r="CD25" s="247"/>
      <c r="CE25" s="248"/>
      <c r="CF25" s="246"/>
      <c r="CG25" s="247"/>
      <c r="CH25" s="247"/>
      <c r="CI25" s="248"/>
      <c r="CJ25" s="246"/>
      <c r="CK25" s="247"/>
      <c r="CL25" s="247"/>
      <c r="CM25" s="249"/>
    </row>
    <row r="26" spans="1:91">
      <c r="A26" s="383"/>
      <c r="B26" s="284">
        <v>17</v>
      </c>
      <c r="C26" s="283" t="s">
        <v>336</v>
      </c>
      <c r="D26" s="253"/>
      <c r="E26" s="247"/>
      <c r="F26" s="247"/>
      <c r="G26" s="248"/>
      <c r="H26" s="247"/>
      <c r="I26" s="247"/>
      <c r="J26" s="247"/>
      <c r="K26" s="248"/>
      <c r="L26" s="247"/>
      <c r="M26" s="247"/>
      <c r="N26" s="247"/>
      <c r="O26" s="248"/>
      <c r="P26" s="246"/>
      <c r="Q26" s="247"/>
      <c r="R26" s="247"/>
      <c r="S26" s="248"/>
      <c r="T26" s="246"/>
      <c r="U26" s="247"/>
      <c r="V26" s="247"/>
      <c r="W26" s="248"/>
      <c r="X26" s="246"/>
      <c r="Y26" s="247"/>
      <c r="Z26" s="247"/>
      <c r="AA26" s="248"/>
      <c r="AB26" s="246"/>
      <c r="AC26" s="247"/>
      <c r="AD26" s="247"/>
      <c r="AE26" s="248"/>
      <c r="AF26" s="246"/>
      <c r="AG26" s="247"/>
      <c r="AH26" s="247"/>
      <c r="AI26" s="248"/>
      <c r="AJ26" s="246"/>
      <c r="AK26" s="247"/>
      <c r="AL26" s="247"/>
      <c r="AM26" s="248"/>
      <c r="AN26" s="242"/>
      <c r="AO26" s="243"/>
      <c r="AP26" s="247"/>
      <c r="AQ26" s="248"/>
      <c r="AR26" s="246"/>
      <c r="AS26" s="247"/>
      <c r="AT26" s="247"/>
      <c r="AU26" s="248"/>
      <c r="AV26" s="246"/>
      <c r="AW26" s="247"/>
      <c r="AX26" s="247"/>
      <c r="AY26" s="248"/>
      <c r="AZ26" s="246"/>
      <c r="BA26" s="247"/>
      <c r="BB26" s="247"/>
      <c r="BC26" s="248"/>
      <c r="BD26" s="246"/>
      <c r="BE26" s="247"/>
      <c r="BF26" s="247"/>
      <c r="BG26" s="248"/>
      <c r="BH26" s="246"/>
      <c r="BI26" s="247"/>
      <c r="BJ26" s="247"/>
      <c r="BK26" s="248"/>
      <c r="BL26" s="246"/>
      <c r="BM26" s="247"/>
      <c r="BN26" s="247"/>
      <c r="BO26" s="248"/>
      <c r="BP26" s="246"/>
      <c r="BQ26" s="247"/>
      <c r="BR26" s="247"/>
      <c r="BS26" s="248"/>
      <c r="BT26" s="246"/>
      <c r="BU26" s="247"/>
      <c r="BV26" s="247"/>
      <c r="BW26" s="248"/>
      <c r="BX26" s="246"/>
      <c r="BY26" s="247"/>
      <c r="BZ26" s="247"/>
      <c r="CA26" s="248"/>
      <c r="CB26" s="246"/>
      <c r="CC26" s="247"/>
      <c r="CD26" s="247"/>
      <c r="CE26" s="248"/>
      <c r="CF26" s="246"/>
      <c r="CG26" s="247"/>
      <c r="CH26" s="247"/>
      <c r="CI26" s="248"/>
      <c r="CJ26" s="246"/>
      <c r="CK26" s="247"/>
      <c r="CL26" s="247"/>
      <c r="CM26" s="249"/>
    </row>
    <row r="27" spans="1:91">
      <c r="A27" s="376" t="s">
        <v>337</v>
      </c>
      <c r="B27" s="284">
        <v>18</v>
      </c>
      <c r="C27" s="287" t="s">
        <v>377</v>
      </c>
      <c r="D27" s="253"/>
      <c r="E27" s="247"/>
      <c r="F27" s="247"/>
      <c r="G27" s="248"/>
      <c r="H27" s="247"/>
      <c r="I27" s="247"/>
      <c r="J27" s="247"/>
      <c r="K27" s="248"/>
      <c r="L27" s="247"/>
      <c r="M27" s="247"/>
      <c r="N27" s="247"/>
      <c r="O27" s="248"/>
      <c r="P27" s="246"/>
      <c r="Q27" s="247"/>
      <c r="R27" s="247"/>
      <c r="S27" s="248"/>
      <c r="T27" s="246"/>
      <c r="U27" s="247"/>
      <c r="V27" s="247"/>
      <c r="W27" s="248"/>
      <c r="X27" s="246"/>
      <c r="Y27" s="247"/>
      <c r="Z27" s="247"/>
      <c r="AA27" s="248"/>
      <c r="AB27" s="246"/>
      <c r="AC27" s="247"/>
      <c r="AD27" s="247"/>
      <c r="AE27" s="248"/>
      <c r="AF27" s="246"/>
      <c r="AG27" s="247"/>
      <c r="AH27" s="247"/>
      <c r="AI27" s="248"/>
      <c r="AJ27" s="246"/>
      <c r="AK27" s="247"/>
      <c r="AL27" s="247"/>
      <c r="AM27" s="248"/>
      <c r="AN27" s="246"/>
      <c r="AO27" s="247"/>
      <c r="AP27" s="243"/>
      <c r="AQ27" s="252"/>
      <c r="AR27" s="242"/>
      <c r="AS27" s="243"/>
      <c r="AT27" s="243"/>
      <c r="AU27" s="252"/>
      <c r="AV27" s="246"/>
      <c r="AW27" s="247"/>
      <c r="AX27" s="247"/>
      <c r="AY27" s="248"/>
      <c r="AZ27" s="246"/>
      <c r="BA27" s="247"/>
      <c r="BB27" s="247"/>
      <c r="BC27" s="248"/>
      <c r="BD27" s="246"/>
      <c r="BE27" s="247"/>
      <c r="BF27" s="247"/>
      <c r="BG27" s="248"/>
      <c r="BH27" s="246"/>
      <c r="BI27" s="247"/>
      <c r="BJ27" s="247"/>
      <c r="BK27" s="248"/>
      <c r="BL27" s="246"/>
      <c r="BM27" s="247"/>
      <c r="BN27" s="247"/>
      <c r="BO27" s="248"/>
      <c r="BP27" s="246"/>
      <c r="BQ27" s="247"/>
      <c r="BR27" s="247"/>
      <c r="BS27" s="248"/>
      <c r="BT27" s="246"/>
      <c r="BU27" s="247"/>
      <c r="BV27" s="247"/>
      <c r="BW27" s="248"/>
      <c r="BX27" s="246"/>
      <c r="BY27" s="247"/>
      <c r="BZ27" s="247"/>
      <c r="CA27" s="248"/>
      <c r="CB27" s="246"/>
      <c r="CC27" s="247"/>
      <c r="CD27" s="247"/>
      <c r="CE27" s="248"/>
      <c r="CF27" s="246"/>
      <c r="CG27" s="247"/>
      <c r="CH27" s="247"/>
      <c r="CI27" s="248"/>
      <c r="CJ27" s="246"/>
      <c r="CK27" s="247"/>
      <c r="CL27" s="247"/>
      <c r="CM27" s="249"/>
    </row>
    <row r="28" spans="1:91" ht="14.5" thickBot="1">
      <c r="A28" s="376"/>
      <c r="B28" s="284">
        <v>19</v>
      </c>
      <c r="C28" s="287" t="s">
        <v>338</v>
      </c>
      <c r="D28" s="260"/>
      <c r="E28" s="261"/>
      <c r="F28" s="261"/>
      <c r="G28" s="262"/>
      <c r="H28" s="261"/>
      <c r="I28" s="261"/>
      <c r="J28" s="261"/>
      <c r="K28" s="262"/>
      <c r="L28" s="261"/>
      <c r="M28" s="261"/>
      <c r="N28" s="261"/>
      <c r="O28" s="262"/>
      <c r="P28" s="263"/>
      <c r="Q28" s="261"/>
      <c r="R28" s="261"/>
      <c r="S28" s="262"/>
      <c r="T28" s="263"/>
      <c r="U28" s="261"/>
      <c r="V28" s="261"/>
      <c r="W28" s="262"/>
      <c r="X28" s="263"/>
      <c r="Y28" s="261"/>
      <c r="Z28" s="261"/>
      <c r="AA28" s="262"/>
      <c r="AB28" s="263"/>
      <c r="AC28" s="261"/>
      <c r="AD28" s="261"/>
      <c r="AE28" s="262"/>
      <c r="AF28" s="263"/>
      <c r="AG28" s="261"/>
      <c r="AH28" s="261"/>
      <c r="AI28" s="262"/>
      <c r="AJ28" s="263"/>
      <c r="AK28" s="261"/>
      <c r="AL28" s="261"/>
      <c r="AM28" s="262"/>
      <c r="AN28" s="263"/>
      <c r="AO28" s="261"/>
      <c r="AP28" s="261"/>
      <c r="AQ28" s="262"/>
      <c r="AR28" s="263"/>
      <c r="AS28" s="261"/>
      <c r="AT28" s="261"/>
      <c r="AU28" s="288"/>
      <c r="AV28" s="263"/>
      <c r="AW28" s="261"/>
      <c r="AX28" s="261"/>
      <c r="AY28" s="262"/>
      <c r="AZ28" s="263"/>
      <c r="BA28" s="261"/>
      <c r="BB28" s="261"/>
      <c r="BC28" s="262"/>
      <c r="BD28" s="263"/>
      <c r="BE28" s="261"/>
      <c r="BF28" s="261"/>
      <c r="BG28" s="262"/>
      <c r="BH28" s="263"/>
      <c r="BI28" s="261"/>
      <c r="BJ28" s="261"/>
      <c r="BK28" s="262"/>
      <c r="BL28" s="263"/>
      <c r="BM28" s="261"/>
      <c r="BN28" s="261"/>
      <c r="BO28" s="262"/>
      <c r="BP28" s="263"/>
      <c r="BQ28" s="261"/>
      <c r="BR28" s="261"/>
      <c r="BS28" s="262"/>
      <c r="BT28" s="263"/>
      <c r="BU28" s="261"/>
      <c r="BV28" s="261"/>
      <c r="BW28" s="262"/>
      <c r="BX28" s="263"/>
      <c r="BY28" s="261"/>
      <c r="BZ28" s="261"/>
      <c r="CA28" s="262"/>
      <c r="CB28" s="263"/>
      <c r="CC28" s="261"/>
      <c r="CD28" s="261"/>
      <c r="CE28" s="262"/>
      <c r="CF28" s="263"/>
      <c r="CG28" s="261"/>
      <c r="CH28" s="261"/>
      <c r="CI28" s="262"/>
      <c r="CJ28" s="263"/>
      <c r="CK28" s="261"/>
      <c r="CL28" s="261"/>
      <c r="CM28" s="266"/>
    </row>
    <row r="29" spans="1:91" ht="14.5" thickBot="1">
      <c r="A29" s="267" t="s">
        <v>366</v>
      </c>
      <c r="B29" s="268"/>
      <c r="C29" s="269" t="s">
        <v>385</v>
      </c>
      <c r="D29" s="315"/>
      <c r="E29" s="271"/>
      <c r="F29" s="271"/>
      <c r="G29" s="272"/>
      <c r="H29" s="273"/>
      <c r="I29" s="271"/>
      <c r="J29" s="271"/>
      <c r="K29" s="272"/>
      <c r="L29" s="273"/>
      <c r="M29" s="271"/>
      <c r="N29" s="271"/>
      <c r="O29" s="272"/>
      <c r="P29" s="273"/>
      <c r="Q29" s="271"/>
      <c r="R29" s="271"/>
      <c r="S29" s="272"/>
      <c r="T29" s="274"/>
      <c r="U29" s="271"/>
      <c r="V29" s="271"/>
      <c r="W29" s="272"/>
      <c r="X29" s="273"/>
      <c r="Y29" s="271"/>
      <c r="Z29" s="271"/>
      <c r="AA29" s="272"/>
      <c r="AB29" s="273"/>
      <c r="AC29" s="271"/>
      <c r="AD29" s="271"/>
      <c r="AE29" s="272"/>
      <c r="AF29" s="273"/>
      <c r="AG29" s="271"/>
      <c r="AH29" s="271"/>
      <c r="AI29" s="272"/>
      <c r="AJ29" s="273"/>
      <c r="AK29" s="271"/>
      <c r="AL29" s="271"/>
      <c r="AM29" s="272"/>
      <c r="AN29" s="273"/>
      <c r="AO29" s="271"/>
      <c r="AP29" s="271"/>
      <c r="AQ29" s="272"/>
      <c r="AR29" s="273"/>
      <c r="AS29" s="271"/>
      <c r="AT29" s="271"/>
      <c r="AU29" s="289"/>
      <c r="AV29" s="273"/>
      <c r="AW29" s="271"/>
      <c r="AX29" s="271"/>
      <c r="AY29" s="272"/>
      <c r="AZ29" s="273"/>
      <c r="BA29" s="271"/>
      <c r="BB29" s="271"/>
      <c r="BC29" s="272"/>
      <c r="BD29" s="273"/>
      <c r="BE29" s="271"/>
      <c r="BF29" s="271"/>
      <c r="BG29" s="272"/>
      <c r="BH29" s="273"/>
      <c r="BI29" s="271"/>
      <c r="BJ29" s="271"/>
      <c r="BK29" s="272"/>
      <c r="BL29" s="273"/>
      <c r="BM29" s="271"/>
      <c r="BN29" s="271"/>
      <c r="BO29" s="272"/>
      <c r="BP29" s="273"/>
      <c r="BQ29" s="271"/>
      <c r="BR29" s="271"/>
      <c r="BS29" s="272"/>
      <c r="BT29" s="273"/>
      <c r="BU29" s="271"/>
      <c r="BV29" s="271"/>
      <c r="BW29" s="272"/>
      <c r="BX29" s="273"/>
      <c r="BY29" s="271"/>
      <c r="BZ29" s="271"/>
      <c r="CA29" s="272"/>
      <c r="CB29" s="273"/>
      <c r="CC29" s="271"/>
      <c r="CD29" s="271"/>
      <c r="CE29" s="272"/>
      <c r="CF29" s="273"/>
      <c r="CG29" s="271"/>
      <c r="CH29" s="271"/>
      <c r="CI29" s="272"/>
      <c r="CJ29" s="273"/>
      <c r="CK29" s="271"/>
      <c r="CL29" s="271"/>
      <c r="CM29" s="276"/>
    </row>
    <row r="30" spans="1:91">
      <c r="A30" s="377" t="s">
        <v>374</v>
      </c>
      <c r="B30" s="378"/>
      <c r="C30" s="379"/>
      <c r="D30" s="277"/>
      <c r="E30" s="235"/>
      <c r="F30" s="235"/>
      <c r="G30" s="236"/>
      <c r="H30" s="237"/>
      <c r="I30" s="235"/>
      <c r="J30" s="235"/>
      <c r="K30" s="236"/>
      <c r="L30" s="237"/>
      <c r="M30" s="235"/>
      <c r="N30" s="235"/>
      <c r="O30" s="236"/>
      <c r="P30" s="237"/>
      <c r="Q30" s="235"/>
      <c r="R30" s="235"/>
      <c r="S30" s="236"/>
      <c r="T30" s="237"/>
      <c r="U30" s="235"/>
      <c r="V30" s="235"/>
      <c r="W30" s="236"/>
      <c r="X30" s="237"/>
      <c r="Y30" s="235"/>
      <c r="Z30" s="235"/>
      <c r="AA30" s="236"/>
      <c r="AB30" s="237"/>
      <c r="AC30" s="235"/>
      <c r="AD30" s="235"/>
      <c r="AE30" s="236"/>
      <c r="AF30" s="237"/>
      <c r="AG30" s="235"/>
      <c r="AH30" s="235"/>
      <c r="AI30" s="236"/>
      <c r="AJ30" s="237"/>
      <c r="AK30" s="235"/>
      <c r="AL30" s="235"/>
      <c r="AM30" s="236"/>
      <c r="AN30" s="237"/>
      <c r="AO30" s="235"/>
      <c r="AP30" s="235"/>
      <c r="AQ30" s="236"/>
      <c r="AR30" s="237"/>
      <c r="AS30" s="235"/>
      <c r="AT30" s="235"/>
      <c r="AU30" s="236"/>
      <c r="AV30" s="237"/>
      <c r="AW30" s="235"/>
      <c r="AX30" s="235"/>
      <c r="AY30" s="236"/>
      <c r="AZ30" s="237"/>
      <c r="BA30" s="235"/>
      <c r="BB30" s="235"/>
      <c r="BC30" s="236"/>
      <c r="BD30" s="237"/>
      <c r="BE30" s="235"/>
      <c r="BF30" s="235"/>
      <c r="BG30" s="236"/>
      <c r="BH30" s="237"/>
      <c r="BI30" s="235"/>
      <c r="BJ30" s="235"/>
      <c r="BK30" s="236"/>
      <c r="BL30" s="237"/>
      <c r="BM30" s="235"/>
      <c r="BN30" s="235"/>
      <c r="BO30" s="236"/>
      <c r="BP30" s="237"/>
      <c r="BQ30" s="235"/>
      <c r="BR30" s="235"/>
      <c r="BS30" s="236"/>
      <c r="BT30" s="237"/>
      <c r="BU30" s="235"/>
      <c r="BV30" s="235"/>
      <c r="BW30" s="236"/>
      <c r="BX30" s="237"/>
      <c r="BY30" s="235"/>
      <c r="BZ30" s="235"/>
      <c r="CA30" s="236"/>
      <c r="CB30" s="237"/>
      <c r="CC30" s="235"/>
      <c r="CD30" s="235"/>
      <c r="CE30" s="236"/>
      <c r="CF30" s="237"/>
      <c r="CG30" s="235"/>
      <c r="CH30" s="235"/>
      <c r="CI30" s="236"/>
      <c r="CJ30" s="237"/>
      <c r="CK30" s="235"/>
      <c r="CL30" s="235"/>
      <c r="CM30" s="238"/>
    </row>
    <row r="31" spans="1:91">
      <c r="A31" s="376" t="s">
        <v>339</v>
      </c>
      <c r="B31" s="284">
        <v>20</v>
      </c>
      <c r="C31" s="290" t="s">
        <v>340</v>
      </c>
      <c r="D31" s="314"/>
      <c r="E31" s="291"/>
      <c r="F31" s="291"/>
      <c r="G31" s="292"/>
      <c r="H31" s="293"/>
      <c r="I31" s="291"/>
      <c r="J31" s="291"/>
      <c r="K31" s="292"/>
      <c r="L31" s="291"/>
      <c r="M31" s="291"/>
      <c r="N31" s="291"/>
      <c r="O31" s="292"/>
      <c r="P31" s="293"/>
      <c r="Q31" s="291"/>
      <c r="R31" s="291"/>
      <c r="S31" s="292"/>
      <c r="T31" s="293"/>
      <c r="U31" s="291"/>
      <c r="V31" s="291"/>
      <c r="W31" s="292"/>
      <c r="X31" s="293"/>
      <c r="Y31" s="291"/>
      <c r="Z31" s="291"/>
      <c r="AA31" s="292"/>
      <c r="AB31" s="293"/>
      <c r="AC31" s="291"/>
      <c r="AD31" s="291"/>
      <c r="AE31" s="292"/>
      <c r="AF31" s="293"/>
      <c r="AG31" s="291"/>
      <c r="AH31" s="291"/>
      <c r="AI31" s="292"/>
      <c r="AJ31" s="293"/>
      <c r="AK31" s="291"/>
      <c r="AL31" s="291"/>
      <c r="AM31" s="292"/>
      <c r="AN31" s="293"/>
      <c r="AO31" s="291"/>
      <c r="AP31" s="291"/>
      <c r="AQ31" s="292"/>
      <c r="AR31" s="293"/>
      <c r="AS31" s="291"/>
      <c r="AT31" s="291"/>
      <c r="AU31" s="292"/>
      <c r="AV31" s="293"/>
      <c r="AW31" s="291"/>
      <c r="AX31" s="291"/>
      <c r="AY31" s="292"/>
      <c r="AZ31" s="293"/>
      <c r="BA31" s="291"/>
      <c r="BB31" s="291"/>
      <c r="BC31" s="292"/>
      <c r="BD31" s="293"/>
      <c r="BE31" s="291"/>
      <c r="BF31" s="291"/>
      <c r="BG31" s="292"/>
      <c r="BH31" s="293"/>
      <c r="BI31" s="291"/>
      <c r="BJ31" s="291"/>
      <c r="BK31" s="292"/>
      <c r="BL31" s="293"/>
      <c r="BM31" s="291"/>
      <c r="BN31" s="291"/>
      <c r="BO31" s="292"/>
      <c r="BP31" s="293"/>
      <c r="BQ31" s="291"/>
      <c r="BR31" s="291"/>
      <c r="BS31" s="292"/>
      <c r="BT31" s="293"/>
      <c r="BU31" s="291"/>
      <c r="BV31" s="291"/>
      <c r="BW31" s="292"/>
      <c r="BX31" s="293"/>
      <c r="BY31" s="291"/>
      <c r="BZ31" s="291"/>
      <c r="CA31" s="292"/>
      <c r="CB31" s="293"/>
      <c r="CC31" s="291"/>
      <c r="CD31" s="291"/>
      <c r="CE31" s="292"/>
      <c r="CF31" s="293"/>
      <c r="CG31" s="291"/>
      <c r="CH31" s="291"/>
      <c r="CI31" s="292"/>
      <c r="CJ31" s="293"/>
      <c r="CK31" s="291"/>
      <c r="CL31" s="291"/>
      <c r="CM31" s="294"/>
    </row>
    <row r="32" spans="1:91">
      <c r="A32" s="376"/>
      <c r="B32" s="284"/>
      <c r="C32" s="287" t="s">
        <v>341</v>
      </c>
      <c r="D32" s="296"/>
      <c r="E32" s="247"/>
      <c r="F32" s="247"/>
      <c r="G32" s="248"/>
      <c r="H32" s="246"/>
      <c r="I32" s="247"/>
      <c r="J32" s="247"/>
      <c r="K32" s="248"/>
      <c r="L32" s="247"/>
      <c r="M32" s="247"/>
      <c r="N32" s="247"/>
      <c r="O32" s="248"/>
      <c r="P32" s="246"/>
      <c r="Q32" s="247"/>
      <c r="R32" s="247"/>
      <c r="S32" s="248"/>
      <c r="T32" s="246"/>
      <c r="U32" s="247"/>
      <c r="V32" s="247"/>
      <c r="W32" s="248"/>
      <c r="X32" s="246"/>
      <c r="Y32" s="247"/>
      <c r="Z32" s="247"/>
      <c r="AA32" s="248"/>
      <c r="AB32" s="246"/>
      <c r="AC32" s="247"/>
      <c r="AD32" s="247"/>
      <c r="AE32" s="248"/>
      <c r="AF32" s="246"/>
      <c r="AG32" s="247"/>
      <c r="AH32" s="247"/>
      <c r="AI32" s="248"/>
      <c r="AJ32" s="246"/>
      <c r="AK32" s="247"/>
      <c r="AL32" s="247"/>
      <c r="AM32" s="248"/>
      <c r="AN32" s="246"/>
      <c r="AO32" s="247"/>
      <c r="AP32" s="247"/>
      <c r="AQ32" s="248"/>
      <c r="AR32" s="246"/>
      <c r="AS32" s="243"/>
      <c r="AT32" s="243"/>
      <c r="AU32" s="248"/>
      <c r="AV32" s="246"/>
      <c r="AW32" s="247"/>
      <c r="AX32" s="247"/>
      <c r="AY32" s="248"/>
      <c r="AZ32" s="246"/>
      <c r="BA32" s="247"/>
      <c r="BB32" s="247"/>
      <c r="BC32" s="248"/>
      <c r="BD32" s="246"/>
      <c r="BE32" s="247"/>
      <c r="BF32" s="247"/>
      <c r="BG32" s="248"/>
      <c r="BH32" s="246"/>
      <c r="BI32" s="247"/>
      <c r="BJ32" s="247"/>
      <c r="BK32" s="248"/>
      <c r="BL32" s="246"/>
      <c r="BM32" s="247"/>
      <c r="BN32" s="247"/>
      <c r="BO32" s="248"/>
      <c r="BP32" s="246"/>
      <c r="BQ32" s="247"/>
      <c r="BR32" s="247"/>
      <c r="BS32" s="248"/>
      <c r="BT32" s="246"/>
      <c r="BU32" s="247"/>
      <c r="BV32" s="247"/>
      <c r="BW32" s="248"/>
      <c r="BX32" s="246"/>
      <c r="BY32" s="247"/>
      <c r="BZ32" s="247"/>
      <c r="CA32" s="248"/>
      <c r="CB32" s="246"/>
      <c r="CC32" s="247"/>
      <c r="CD32" s="247"/>
      <c r="CE32" s="248"/>
      <c r="CF32" s="246"/>
      <c r="CG32" s="247"/>
      <c r="CH32" s="247"/>
      <c r="CI32" s="248"/>
      <c r="CJ32" s="246"/>
      <c r="CK32" s="247"/>
      <c r="CL32" s="247"/>
      <c r="CM32" s="249"/>
    </row>
    <row r="33" spans="1:91">
      <c r="A33" s="376"/>
      <c r="B33" s="284"/>
      <c r="C33" s="287" t="s">
        <v>342</v>
      </c>
      <c r="D33" s="296"/>
      <c r="E33" s="247"/>
      <c r="F33" s="247"/>
      <c r="G33" s="248"/>
      <c r="H33" s="246"/>
      <c r="I33" s="247"/>
      <c r="J33" s="247"/>
      <c r="K33" s="248"/>
      <c r="L33" s="246"/>
      <c r="M33" s="247"/>
      <c r="N33" s="247"/>
      <c r="O33" s="248"/>
      <c r="P33" s="246"/>
      <c r="Q33" s="247"/>
      <c r="R33" s="247"/>
      <c r="S33" s="248"/>
      <c r="T33" s="246"/>
      <c r="U33" s="247"/>
      <c r="V33" s="247"/>
      <c r="W33" s="248"/>
      <c r="X33" s="246"/>
      <c r="Y33" s="247"/>
      <c r="Z33" s="247"/>
      <c r="AA33" s="248"/>
      <c r="AB33" s="246"/>
      <c r="AC33" s="247"/>
      <c r="AD33" s="247"/>
      <c r="AE33" s="248"/>
      <c r="AF33" s="246"/>
      <c r="AG33" s="247"/>
      <c r="AH33" s="247"/>
      <c r="AI33" s="248"/>
      <c r="AJ33" s="246"/>
      <c r="AK33" s="247"/>
      <c r="AL33" s="247"/>
      <c r="AM33" s="248"/>
      <c r="AN33" s="246"/>
      <c r="AO33" s="247"/>
      <c r="AP33" s="247"/>
      <c r="AQ33" s="248"/>
      <c r="AR33" s="246"/>
      <c r="AS33" s="243"/>
      <c r="AT33" s="243"/>
      <c r="AU33" s="248"/>
      <c r="AV33" s="246"/>
      <c r="AW33" s="247"/>
      <c r="AX33" s="247"/>
      <c r="AY33" s="248"/>
      <c r="AZ33" s="246"/>
      <c r="BA33" s="247"/>
      <c r="BB33" s="247"/>
      <c r="BC33" s="248"/>
      <c r="BD33" s="246"/>
      <c r="BE33" s="247"/>
      <c r="BF33" s="247"/>
      <c r="BG33" s="248"/>
      <c r="BH33" s="246"/>
      <c r="BI33" s="247"/>
      <c r="BJ33" s="247"/>
      <c r="BK33" s="248"/>
      <c r="BL33" s="246"/>
      <c r="BM33" s="247"/>
      <c r="BN33" s="247"/>
      <c r="BO33" s="248"/>
      <c r="BP33" s="246"/>
      <c r="BQ33" s="247"/>
      <c r="BR33" s="247"/>
      <c r="BS33" s="248"/>
      <c r="BT33" s="246"/>
      <c r="BU33" s="247"/>
      <c r="BV33" s="247"/>
      <c r="BW33" s="248"/>
      <c r="BX33" s="246"/>
      <c r="BY33" s="247"/>
      <c r="BZ33" s="247"/>
      <c r="CA33" s="248"/>
      <c r="CB33" s="246"/>
      <c r="CC33" s="247"/>
      <c r="CD33" s="247"/>
      <c r="CE33" s="248"/>
      <c r="CF33" s="246"/>
      <c r="CG33" s="247"/>
      <c r="CH33" s="247"/>
      <c r="CI33" s="248"/>
      <c r="CJ33" s="246"/>
      <c r="CK33" s="247"/>
      <c r="CL33" s="247"/>
      <c r="CM33" s="249"/>
    </row>
    <row r="34" spans="1:91">
      <c r="A34" s="376" t="s">
        <v>343</v>
      </c>
      <c r="B34" s="295">
        <v>21</v>
      </c>
      <c r="C34" s="287" t="s">
        <v>344</v>
      </c>
      <c r="D34" s="296"/>
      <c r="E34" s="247"/>
      <c r="F34" s="247"/>
      <c r="G34" s="248"/>
      <c r="H34" s="246"/>
      <c r="I34" s="247"/>
      <c r="J34" s="247"/>
      <c r="K34" s="248"/>
      <c r="L34" s="246"/>
      <c r="M34" s="247"/>
      <c r="N34" s="247"/>
      <c r="O34" s="248"/>
      <c r="P34" s="246"/>
      <c r="Q34" s="247"/>
      <c r="R34" s="247"/>
      <c r="S34" s="248"/>
      <c r="T34" s="246"/>
      <c r="U34" s="247"/>
      <c r="V34" s="247"/>
      <c r="W34" s="248"/>
      <c r="X34" s="246"/>
      <c r="Y34" s="247"/>
      <c r="Z34" s="247"/>
      <c r="AA34" s="248"/>
      <c r="AB34" s="246"/>
      <c r="AC34" s="247"/>
      <c r="AD34" s="247"/>
      <c r="AE34" s="248"/>
      <c r="AF34" s="246"/>
      <c r="AG34" s="247"/>
      <c r="AH34" s="247"/>
      <c r="AI34" s="248"/>
      <c r="AJ34" s="246"/>
      <c r="AK34" s="247"/>
      <c r="AL34" s="247"/>
      <c r="AM34" s="248"/>
      <c r="AN34" s="246"/>
      <c r="AO34" s="247"/>
      <c r="AP34" s="247"/>
      <c r="AQ34" s="248"/>
      <c r="AR34" s="246"/>
      <c r="AS34" s="247"/>
      <c r="AT34" s="243"/>
      <c r="AU34" s="252"/>
      <c r="AV34" s="242"/>
      <c r="AW34" s="243"/>
      <c r="AX34" s="247"/>
      <c r="AY34" s="248"/>
      <c r="AZ34" s="246"/>
      <c r="BA34" s="247"/>
      <c r="BB34" s="247"/>
      <c r="BC34" s="248"/>
      <c r="BD34" s="246"/>
      <c r="BE34" s="247"/>
      <c r="BF34" s="247"/>
      <c r="BG34" s="248"/>
      <c r="BH34" s="246"/>
      <c r="BI34" s="247"/>
      <c r="BJ34" s="247"/>
      <c r="BK34" s="248"/>
      <c r="BL34" s="246"/>
      <c r="BM34" s="247"/>
      <c r="BN34" s="247"/>
      <c r="BO34" s="248"/>
      <c r="BP34" s="246"/>
      <c r="BQ34" s="247"/>
      <c r="BR34" s="247"/>
      <c r="BS34" s="248"/>
      <c r="BT34" s="246"/>
      <c r="BU34" s="247"/>
      <c r="BV34" s="247"/>
      <c r="BW34" s="248"/>
      <c r="BX34" s="246"/>
      <c r="BY34" s="247"/>
      <c r="BZ34" s="247"/>
      <c r="CA34" s="248"/>
      <c r="CB34" s="246"/>
      <c r="CC34" s="247"/>
      <c r="CD34" s="247"/>
      <c r="CE34" s="248"/>
      <c r="CF34" s="246"/>
      <c r="CG34" s="247"/>
      <c r="CH34" s="247"/>
      <c r="CI34" s="248"/>
      <c r="CJ34" s="246"/>
      <c r="CK34" s="247"/>
      <c r="CL34" s="247"/>
      <c r="CM34" s="249"/>
    </row>
    <row r="35" spans="1:91">
      <c r="A35" s="376"/>
      <c r="B35" s="295">
        <v>22</v>
      </c>
      <c r="C35" s="287" t="s">
        <v>379</v>
      </c>
      <c r="D35" s="296"/>
      <c r="E35" s="247"/>
      <c r="F35" s="247"/>
      <c r="G35" s="248"/>
      <c r="H35" s="246"/>
      <c r="I35" s="247"/>
      <c r="J35" s="247"/>
      <c r="K35" s="248"/>
      <c r="L35" s="246"/>
      <c r="M35" s="247"/>
      <c r="N35" s="247"/>
      <c r="O35" s="248"/>
      <c r="P35" s="246"/>
      <c r="Q35" s="247"/>
      <c r="R35" s="247"/>
      <c r="S35" s="248"/>
      <c r="T35" s="246"/>
      <c r="U35" s="247"/>
      <c r="V35" s="247"/>
      <c r="W35" s="248"/>
      <c r="X35" s="246"/>
      <c r="Y35" s="247"/>
      <c r="Z35" s="247"/>
      <c r="AA35" s="248"/>
      <c r="AB35" s="246"/>
      <c r="AC35" s="247"/>
      <c r="AD35" s="247"/>
      <c r="AE35" s="248"/>
      <c r="AF35" s="246"/>
      <c r="AG35" s="247"/>
      <c r="AH35" s="247"/>
      <c r="AI35" s="248"/>
      <c r="AJ35" s="246"/>
      <c r="AK35" s="247"/>
      <c r="AL35" s="247"/>
      <c r="AM35" s="248"/>
      <c r="AN35" s="246"/>
      <c r="AO35" s="247"/>
      <c r="AP35" s="247"/>
      <c r="AQ35" s="248"/>
      <c r="AR35" s="246"/>
      <c r="AS35" s="247"/>
      <c r="AT35" s="247"/>
      <c r="AU35" s="252"/>
      <c r="AV35" s="242"/>
      <c r="AW35" s="243"/>
      <c r="AX35" s="247"/>
      <c r="AY35" s="248"/>
      <c r="AZ35" s="246"/>
      <c r="BA35" s="247"/>
      <c r="BB35" s="247"/>
      <c r="BC35" s="248"/>
      <c r="BD35" s="246"/>
      <c r="BE35" s="247"/>
      <c r="BF35" s="247"/>
      <c r="BG35" s="248"/>
      <c r="BH35" s="246"/>
      <c r="BI35" s="247"/>
      <c r="BJ35" s="247"/>
      <c r="BK35" s="248"/>
      <c r="BL35" s="246"/>
      <c r="BM35" s="247"/>
      <c r="BN35" s="247"/>
      <c r="BO35" s="248"/>
      <c r="BP35" s="246"/>
      <c r="BQ35" s="247"/>
      <c r="BR35" s="247"/>
      <c r="BS35" s="248"/>
      <c r="BT35" s="246"/>
      <c r="BU35" s="247"/>
      <c r="BV35" s="247"/>
      <c r="BW35" s="248"/>
      <c r="BX35" s="246"/>
      <c r="BY35" s="247"/>
      <c r="BZ35" s="247"/>
      <c r="CA35" s="248"/>
      <c r="CB35" s="246"/>
      <c r="CC35" s="247"/>
      <c r="CD35" s="247"/>
      <c r="CE35" s="248"/>
      <c r="CF35" s="246"/>
      <c r="CG35" s="247"/>
      <c r="CH35" s="247"/>
      <c r="CI35" s="248"/>
      <c r="CJ35" s="246"/>
      <c r="CK35" s="247"/>
      <c r="CL35" s="247"/>
      <c r="CM35" s="249"/>
    </row>
    <row r="36" spans="1:91">
      <c r="A36" s="376"/>
      <c r="B36" s="295">
        <v>23</v>
      </c>
      <c r="C36" s="287" t="s">
        <v>380</v>
      </c>
      <c r="D36" s="296"/>
      <c r="E36" s="247"/>
      <c r="F36" s="247"/>
      <c r="G36" s="248"/>
      <c r="H36" s="246"/>
      <c r="I36" s="247"/>
      <c r="J36" s="247"/>
      <c r="K36" s="248"/>
      <c r="L36" s="246"/>
      <c r="M36" s="247"/>
      <c r="N36" s="247"/>
      <c r="O36" s="248"/>
      <c r="P36" s="246"/>
      <c r="Q36" s="247"/>
      <c r="R36" s="247"/>
      <c r="S36" s="248"/>
      <c r="T36" s="246"/>
      <c r="U36" s="247"/>
      <c r="V36" s="247"/>
      <c r="W36" s="248"/>
      <c r="X36" s="246"/>
      <c r="Y36" s="247"/>
      <c r="Z36" s="247"/>
      <c r="AA36" s="248"/>
      <c r="AB36" s="246"/>
      <c r="AC36" s="247"/>
      <c r="AD36" s="247"/>
      <c r="AE36" s="248"/>
      <c r="AF36" s="246"/>
      <c r="AG36" s="247"/>
      <c r="AH36" s="247"/>
      <c r="AI36" s="248"/>
      <c r="AJ36" s="246"/>
      <c r="AK36" s="247"/>
      <c r="AL36" s="247"/>
      <c r="AM36" s="248"/>
      <c r="AN36" s="246"/>
      <c r="AO36" s="247"/>
      <c r="AP36" s="247"/>
      <c r="AQ36" s="248"/>
      <c r="AR36" s="246"/>
      <c r="AS36" s="247"/>
      <c r="AT36" s="247"/>
      <c r="AU36" s="252"/>
      <c r="AV36" s="242"/>
      <c r="AW36" s="243"/>
      <c r="AX36" s="247"/>
      <c r="AY36" s="248"/>
      <c r="AZ36" s="246"/>
      <c r="BA36" s="247"/>
      <c r="BB36" s="247"/>
      <c r="BC36" s="248"/>
      <c r="BD36" s="246"/>
      <c r="BE36" s="247"/>
      <c r="BF36" s="247"/>
      <c r="BG36" s="248"/>
      <c r="BH36" s="246"/>
      <c r="BI36" s="247"/>
      <c r="BJ36" s="247"/>
      <c r="BK36" s="248"/>
      <c r="BL36" s="246"/>
      <c r="BM36" s="247"/>
      <c r="BN36" s="247"/>
      <c r="BO36" s="248"/>
      <c r="BP36" s="246"/>
      <c r="BQ36" s="247"/>
      <c r="BR36" s="247"/>
      <c r="BS36" s="248"/>
      <c r="BT36" s="246"/>
      <c r="BU36" s="247"/>
      <c r="BV36" s="247"/>
      <c r="BW36" s="248"/>
      <c r="BX36" s="246"/>
      <c r="BY36" s="247"/>
      <c r="BZ36" s="247"/>
      <c r="CA36" s="248"/>
      <c r="CB36" s="246"/>
      <c r="CC36" s="247"/>
      <c r="CD36" s="247"/>
      <c r="CE36" s="248"/>
      <c r="CF36" s="246"/>
      <c r="CG36" s="247"/>
      <c r="CH36" s="247"/>
      <c r="CI36" s="248"/>
      <c r="CJ36" s="246"/>
      <c r="CK36" s="247"/>
      <c r="CL36" s="247"/>
      <c r="CM36" s="249"/>
    </row>
    <row r="37" spans="1:91">
      <c r="A37" s="376"/>
      <c r="B37" s="295">
        <v>24</v>
      </c>
      <c r="C37" s="287" t="s">
        <v>345</v>
      </c>
      <c r="D37" s="296"/>
      <c r="E37" s="247"/>
      <c r="F37" s="247"/>
      <c r="G37" s="248"/>
      <c r="H37" s="246"/>
      <c r="I37" s="247"/>
      <c r="J37" s="247"/>
      <c r="K37" s="248"/>
      <c r="L37" s="246"/>
      <c r="M37" s="247"/>
      <c r="N37" s="247"/>
      <c r="O37" s="248"/>
      <c r="P37" s="246"/>
      <c r="Q37" s="247"/>
      <c r="R37" s="247"/>
      <c r="S37" s="248"/>
      <c r="T37" s="246"/>
      <c r="U37" s="247"/>
      <c r="V37" s="247"/>
      <c r="W37" s="248"/>
      <c r="X37" s="246"/>
      <c r="Y37" s="247"/>
      <c r="Z37" s="247"/>
      <c r="AA37" s="248"/>
      <c r="AB37" s="246"/>
      <c r="AC37" s="247"/>
      <c r="AD37" s="247"/>
      <c r="AE37" s="248"/>
      <c r="AF37" s="246"/>
      <c r="AG37" s="247"/>
      <c r="AH37" s="247"/>
      <c r="AI37" s="248"/>
      <c r="AJ37" s="246"/>
      <c r="AK37" s="247"/>
      <c r="AL37" s="247"/>
      <c r="AM37" s="248"/>
      <c r="AN37" s="246"/>
      <c r="AO37" s="247"/>
      <c r="AP37" s="247"/>
      <c r="AQ37" s="248"/>
      <c r="AR37" s="246"/>
      <c r="AS37" s="247"/>
      <c r="AT37" s="247"/>
      <c r="AU37" s="248"/>
      <c r="AV37" s="242"/>
      <c r="AW37" s="243"/>
      <c r="AX37" s="247"/>
      <c r="AY37" s="248"/>
      <c r="AZ37" s="246"/>
      <c r="BA37" s="247"/>
      <c r="BB37" s="247"/>
      <c r="BC37" s="248"/>
      <c r="BD37" s="246"/>
      <c r="BE37" s="247"/>
      <c r="BF37" s="247"/>
      <c r="BG37" s="248"/>
      <c r="BH37" s="246"/>
      <c r="BI37" s="247"/>
      <c r="BJ37" s="247"/>
      <c r="BK37" s="248"/>
      <c r="BL37" s="246"/>
      <c r="BM37" s="247"/>
      <c r="BN37" s="247"/>
      <c r="BO37" s="248"/>
      <c r="BP37" s="246"/>
      <c r="BQ37" s="247"/>
      <c r="BR37" s="247"/>
      <c r="BS37" s="248"/>
      <c r="BT37" s="246"/>
      <c r="BU37" s="247"/>
      <c r="BV37" s="247"/>
      <c r="BW37" s="248"/>
      <c r="BX37" s="246"/>
      <c r="BY37" s="247"/>
      <c r="BZ37" s="247"/>
      <c r="CA37" s="248"/>
      <c r="CB37" s="246"/>
      <c r="CC37" s="247"/>
      <c r="CD37" s="247"/>
      <c r="CE37" s="248"/>
      <c r="CF37" s="246"/>
      <c r="CG37" s="247"/>
      <c r="CH37" s="247"/>
      <c r="CI37" s="248"/>
      <c r="CJ37" s="246"/>
      <c r="CK37" s="247"/>
      <c r="CL37" s="247"/>
      <c r="CM37" s="249"/>
    </row>
    <row r="38" spans="1:91">
      <c r="A38" s="376"/>
      <c r="B38" s="295">
        <v>25</v>
      </c>
      <c r="C38" s="287" t="s">
        <v>346</v>
      </c>
      <c r="D38" s="296"/>
      <c r="E38" s="247"/>
      <c r="F38" s="247"/>
      <c r="G38" s="248"/>
      <c r="H38" s="246"/>
      <c r="I38" s="247"/>
      <c r="J38" s="247"/>
      <c r="K38" s="248"/>
      <c r="L38" s="246"/>
      <c r="M38" s="247"/>
      <c r="N38" s="247"/>
      <c r="O38" s="248"/>
      <c r="P38" s="246"/>
      <c r="Q38" s="247"/>
      <c r="R38" s="247"/>
      <c r="S38" s="248"/>
      <c r="T38" s="246"/>
      <c r="U38" s="247"/>
      <c r="V38" s="247"/>
      <c r="W38" s="248"/>
      <c r="X38" s="246"/>
      <c r="Y38" s="247"/>
      <c r="Z38" s="247"/>
      <c r="AA38" s="248"/>
      <c r="AB38" s="246"/>
      <c r="AC38" s="247"/>
      <c r="AD38" s="247"/>
      <c r="AE38" s="248"/>
      <c r="AF38" s="246"/>
      <c r="AG38" s="247"/>
      <c r="AH38" s="247"/>
      <c r="AI38" s="248"/>
      <c r="AJ38" s="246"/>
      <c r="AK38" s="247"/>
      <c r="AL38" s="247"/>
      <c r="AM38" s="248"/>
      <c r="AN38" s="246"/>
      <c r="AO38" s="247"/>
      <c r="AP38" s="247"/>
      <c r="AQ38" s="248"/>
      <c r="AR38" s="246"/>
      <c r="AS38" s="247"/>
      <c r="AT38" s="247"/>
      <c r="AU38" s="248"/>
      <c r="AV38" s="246"/>
      <c r="AW38" s="247"/>
      <c r="AX38" s="243"/>
      <c r="AY38" s="252"/>
      <c r="AZ38" s="246"/>
      <c r="BA38" s="247"/>
      <c r="BB38" s="247"/>
      <c r="BC38" s="248"/>
      <c r="BD38" s="246"/>
      <c r="BE38" s="247"/>
      <c r="BF38" s="247"/>
      <c r="BG38" s="248"/>
      <c r="BH38" s="246"/>
      <c r="BI38" s="247"/>
      <c r="BJ38" s="247"/>
      <c r="BK38" s="248"/>
      <c r="BL38" s="246"/>
      <c r="BM38" s="247"/>
      <c r="BN38" s="247"/>
      <c r="BO38" s="248"/>
      <c r="BP38" s="246"/>
      <c r="BQ38" s="247"/>
      <c r="BR38" s="247"/>
      <c r="BS38" s="248"/>
      <c r="BT38" s="246"/>
      <c r="BU38" s="247"/>
      <c r="BV38" s="247"/>
      <c r="BW38" s="248"/>
      <c r="BX38" s="246"/>
      <c r="BY38" s="247"/>
      <c r="BZ38" s="247"/>
      <c r="CA38" s="248"/>
      <c r="CB38" s="246"/>
      <c r="CC38" s="247"/>
      <c r="CD38" s="247"/>
      <c r="CE38" s="248"/>
      <c r="CF38" s="246"/>
      <c r="CG38" s="247"/>
      <c r="CH38" s="247"/>
      <c r="CI38" s="248"/>
      <c r="CJ38" s="246"/>
      <c r="CK38" s="247"/>
      <c r="CL38" s="247"/>
      <c r="CM38" s="249"/>
    </row>
    <row r="39" spans="1:91">
      <c r="A39" s="376"/>
      <c r="B39" s="295">
        <v>26</v>
      </c>
      <c r="C39" s="287" t="s">
        <v>347</v>
      </c>
      <c r="D39" s="296"/>
      <c r="E39" s="247"/>
      <c r="F39" s="247"/>
      <c r="G39" s="248"/>
      <c r="H39" s="246"/>
      <c r="I39" s="247"/>
      <c r="J39" s="247"/>
      <c r="K39" s="248"/>
      <c r="L39" s="246"/>
      <c r="M39" s="247"/>
      <c r="N39" s="247"/>
      <c r="O39" s="248"/>
      <c r="P39" s="246"/>
      <c r="Q39" s="247"/>
      <c r="R39" s="247"/>
      <c r="S39" s="248"/>
      <c r="T39" s="246"/>
      <c r="U39" s="247"/>
      <c r="V39" s="247"/>
      <c r="W39" s="248"/>
      <c r="X39" s="246"/>
      <c r="Y39" s="247"/>
      <c r="Z39" s="247"/>
      <c r="AA39" s="248"/>
      <c r="AB39" s="246"/>
      <c r="AC39" s="247"/>
      <c r="AD39" s="247"/>
      <c r="AE39" s="248"/>
      <c r="AF39" s="246"/>
      <c r="AG39" s="247"/>
      <c r="AH39" s="247"/>
      <c r="AI39" s="248"/>
      <c r="AJ39" s="246"/>
      <c r="AK39" s="247"/>
      <c r="AL39" s="247"/>
      <c r="AM39" s="248"/>
      <c r="AN39" s="246"/>
      <c r="AO39" s="247"/>
      <c r="AP39" s="247"/>
      <c r="AQ39" s="248"/>
      <c r="AR39" s="246"/>
      <c r="AS39" s="247"/>
      <c r="AT39" s="247"/>
      <c r="AU39" s="248"/>
      <c r="AV39" s="246"/>
      <c r="AW39" s="247"/>
      <c r="AX39" s="243"/>
      <c r="AY39" s="252"/>
      <c r="AZ39" s="242"/>
      <c r="BA39" s="243"/>
      <c r="BB39" s="247"/>
      <c r="BC39" s="248"/>
      <c r="BD39" s="246"/>
      <c r="BE39" s="247"/>
      <c r="BF39" s="247"/>
      <c r="BG39" s="248"/>
      <c r="BH39" s="246"/>
      <c r="BI39" s="247"/>
      <c r="BJ39" s="247"/>
      <c r="BK39" s="248"/>
      <c r="BL39" s="246"/>
      <c r="BM39" s="247"/>
      <c r="BN39" s="247"/>
      <c r="BO39" s="248"/>
      <c r="BP39" s="246"/>
      <c r="BQ39" s="247"/>
      <c r="BR39" s="247"/>
      <c r="BS39" s="248"/>
      <c r="BT39" s="246"/>
      <c r="BU39" s="247"/>
      <c r="BV39" s="247"/>
      <c r="BW39" s="248"/>
      <c r="BX39" s="246"/>
      <c r="BY39" s="247"/>
      <c r="BZ39" s="247"/>
      <c r="CA39" s="248"/>
      <c r="CB39" s="246"/>
      <c r="CC39" s="247"/>
      <c r="CD39" s="247"/>
      <c r="CE39" s="248"/>
      <c r="CF39" s="246"/>
      <c r="CG39" s="247"/>
      <c r="CH39" s="247"/>
      <c r="CI39" s="248"/>
      <c r="CJ39" s="246"/>
      <c r="CK39" s="247"/>
      <c r="CL39" s="247"/>
      <c r="CM39" s="249"/>
    </row>
    <row r="40" spans="1:91" ht="14.5" thickBot="1">
      <c r="A40" s="380"/>
      <c r="B40" s="307">
        <v>27</v>
      </c>
      <c r="C40" s="297" t="s">
        <v>348</v>
      </c>
      <c r="D40" s="316"/>
      <c r="E40" s="261"/>
      <c r="F40" s="261"/>
      <c r="G40" s="262"/>
      <c r="H40" s="263"/>
      <c r="I40" s="261"/>
      <c r="J40" s="261"/>
      <c r="K40" s="262"/>
      <c r="L40" s="263"/>
      <c r="M40" s="261"/>
      <c r="N40" s="261"/>
      <c r="O40" s="262"/>
      <c r="P40" s="263"/>
      <c r="Q40" s="261"/>
      <c r="R40" s="261"/>
      <c r="S40" s="262"/>
      <c r="T40" s="263"/>
      <c r="U40" s="261"/>
      <c r="V40" s="261"/>
      <c r="W40" s="262"/>
      <c r="X40" s="263"/>
      <c r="Y40" s="261"/>
      <c r="Z40" s="261"/>
      <c r="AA40" s="262"/>
      <c r="AB40" s="263"/>
      <c r="AC40" s="261"/>
      <c r="AD40" s="261"/>
      <c r="AE40" s="262"/>
      <c r="AF40" s="263"/>
      <c r="AG40" s="261"/>
      <c r="AH40" s="261"/>
      <c r="AI40" s="262"/>
      <c r="AJ40" s="263"/>
      <c r="AK40" s="261"/>
      <c r="AL40" s="261"/>
      <c r="AM40" s="262"/>
      <c r="AN40" s="263"/>
      <c r="AO40" s="261"/>
      <c r="AP40" s="261"/>
      <c r="AQ40" s="262"/>
      <c r="AR40" s="263"/>
      <c r="AS40" s="261"/>
      <c r="AT40" s="261"/>
      <c r="AU40" s="262"/>
      <c r="AV40" s="263"/>
      <c r="AW40" s="261"/>
      <c r="AX40" s="261"/>
      <c r="AY40" s="262"/>
      <c r="AZ40" s="264"/>
      <c r="BA40" s="265"/>
      <c r="BB40" s="265"/>
      <c r="BC40" s="288"/>
      <c r="BD40" s="263"/>
      <c r="BE40" s="261"/>
      <c r="BF40" s="261"/>
      <c r="BG40" s="262"/>
      <c r="BH40" s="263"/>
      <c r="BI40" s="261"/>
      <c r="BJ40" s="261"/>
      <c r="BK40" s="262"/>
      <c r="BL40" s="263"/>
      <c r="BM40" s="261"/>
      <c r="BN40" s="261"/>
      <c r="BO40" s="262"/>
      <c r="BP40" s="263"/>
      <c r="BQ40" s="261"/>
      <c r="BR40" s="261"/>
      <c r="BS40" s="262"/>
      <c r="BT40" s="263"/>
      <c r="BU40" s="261"/>
      <c r="BV40" s="261"/>
      <c r="BW40" s="262"/>
      <c r="BX40" s="263"/>
      <c r="BY40" s="261"/>
      <c r="BZ40" s="261"/>
      <c r="CA40" s="262"/>
      <c r="CB40" s="263"/>
      <c r="CC40" s="261"/>
      <c r="CD40" s="261"/>
      <c r="CE40" s="262"/>
      <c r="CF40" s="263"/>
      <c r="CG40" s="261"/>
      <c r="CH40" s="261"/>
      <c r="CI40" s="262"/>
      <c r="CJ40" s="263"/>
      <c r="CK40" s="261"/>
      <c r="CL40" s="261"/>
      <c r="CM40" s="266"/>
    </row>
    <row r="41" spans="1:91" ht="14.5" thickBot="1">
      <c r="A41" s="267" t="s">
        <v>370</v>
      </c>
      <c r="B41" s="268"/>
      <c r="C41" s="269" t="s">
        <v>386</v>
      </c>
      <c r="D41" s="270"/>
      <c r="E41" s="271"/>
      <c r="F41" s="271"/>
      <c r="G41" s="272"/>
      <c r="H41" s="273"/>
      <c r="I41" s="271"/>
      <c r="J41" s="271"/>
      <c r="K41" s="272"/>
      <c r="L41" s="273"/>
      <c r="M41" s="271"/>
      <c r="N41" s="271"/>
      <c r="O41" s="272"/>
      <c r="P41" s="273"/>
      <c r="Q41" s="271"/>
      <c r="R41" s="271"/>
      <c r="S41" s="272"/>
      <c r="T41" s="274"/>
      <c r="U41" s="271"/>
      <c r="V41" s="271"/>
      <c r="W41" s="272"/>
      <c r="X41" s="273"/>
      <c r="Y41" s="271"/>
      <c r="Z41" s="271"/>
      <c r="AA41" s="272"/>
      <c r="AB41" s="273"/>
      <c r="AC41" s="271"/>
      <c r="AD41" s="271"/>
      <c r="AE41" s="272"/>
      <c r="AF41" s="273"/>
      <c r="AG41" s="271"/>
      <c r="AH41" s="271"/>
      <c r="AI41" s="272"/>
      <c r="AJ41" s="273"/>
      <c r="AK41" s="271"/>
      <c r="AL41" s="271"/>
      <c r="AM41" s="272"/>
      <c r="AN41" s="273"/>
      <c r="AO41" s="271"/>
      <c r="AP41" s="271"/>
      <c r="AQ41" s="272"/>
      <c r="AR41" s="273"/>
      <c r="AS41" s="271"/>
      <c r="AT41" s="271"/>
      <c r="AU41" s="272"/>
      <c r="AV41" s="273"/>
      <c r="AW41" s="271"/>
      <c r="AX41" s="271"/>
      <c r="AY41" s="272"/>
      <c r="AZ41" s="273"/>
      <c r="BA41" s="271"/>
      <c r="BB41" s="271"/>
      <c r="BC41" s="289"/>
      <c r="BD41" s="273"/>
      <c r="BE41" s="271"/>
      <c r="BF41" s="271"/>
      <c r="BG41" s="272"/>
      <c r="BH41" s="273"/>
      <c r="BI41" s="271"/>
      <c r="BJ41" s="271"/>
      <c r="BK41" s="272"/>
      <c r="BL41" s="273"/>
      <c r="BM41" s="271"/>
      <c r="BN41" s="271"/>
      <c r="BO41" s="272"/>
      <c r="BP41" s="273"/>
      <c r="BQ41" s="271"/>
      <c r="BR41" s="271"/>
      <c r="BS41" s="272"/>
      <c r="BT41" s="273"/>
      <c r="BU41" s="271"/>
      <c r="BV41" s="271"/>
      <c r="BW41" s="272"/>
      <c r="BX41" s="273"/>
      <c r="BY41" s="271"/>
      <c r="BZ41" s="271"/>
      <c r="CA41" s="272"/>
      <c r="CB41" s="273"/>
      <c r="CC41" s="271"/>
      <c r="CD41" s="271"/>
      <c r="CE41" s="272"/>
      <c r="CF41" s="273"/>
      <c r="CG41" s="271"/>
      <c r="CH41" s="271"/>
      <c r="CI41" s="272"/>
      <c r="CJ41" s="273"/>
      <c r="CK41" s="271"/>
      <c r="CL41" s="271"/>
      <c r="CM41" s="276"/>
    </row>
    <row r="42" spans="1:91">
      <c r="A42" s="381" t="s">
        <v>375</v>
      </c>
      <c r="B42" s="382"/>
      <c r="C42" s="382"/>
      <c r="D42" s="277"/>
      <c r="E42" s="235"/>
      <c r="F42" s="235"/>
      <c r="G42" s="236"/>
      <c r="H42" s="237"/>
      <c r="I42" s="235"/>
      <c r="J42" s="235"/>
      <c r="K42" s="236"/>
      <c r="L42" s="237"/>
      <c r="M42" s="235"/>
      <c r="N42" s="235"/>
      <c r="O42" s="236"/>
      <c r="P42" s="237"/>
      <c r="Q42" s="235"/>
      <c r="R42" s="235"/>
      <c r="S42" s="236"/>
      <c r="T42" s="237"/>
      <c r="U42" s="235"/>
      <c r="V42" s="235"/>
      <c r="W42" s="236"/>
      <c r="X42" s="237"/>
      <c r="Y42" s="235"/>
      <c r="Z42" s="235"/>
      <c r="AA42" s="236"/>
      <c r="AB42" s="237"/>
      <c r="AC42" s="235"/>
      <c r="AD42" s="235"/>
      <c r="AE42" s="236"/>
      <c r="AF42" s="237"/>
      <c r="AG42" s="235"/>
      <c r="AH42" s="235"/>
      <c r="AI42" s="236"/>
      <c r="AJ42" s="237"/>
      <c r="AK42" s="235"/>
      <c r="AL42" s="235"/>
      <c r="AM42" s="236"/>
      <c r="AN42" s="237"/>
      <c r="AO42" s="235"/>
      <c r="AP42" s="235"/>
      <c r="AQ42" s="236"/>
      <c r="AR42" s="237"/>
      <c r="AS42" s="235"/>
      <c r="AT42" s="235"/>
      <c r="AU42" s="236"/>
      <c r="AV42" s="237"/>
      <c r="AW42" s="235"/>
      <c r="AX42" s="235"/>
      <c r="AY42" s="236"/>
      <c r="AZ42" s="237"/>
      <c r="BA42" s="235"/>
      <c r="BB42" s="235"/>
      <c r="BC42" s="236"/>
      <c r="BD42" s="237"/>
      <c r="BE42" s="235"/>
      <c r="BF42" s="235"/>
      <c r="BG42" s="236"/>
      <c r="BH42" s="237"/>
      <c r="BI42" s="235"/>
      <c r="BJ42" s="235"/>
      <c r="BK42" s="236"/>
      <c r="BL42" s="237"/>
      <c r="BM42" s="235"/>
      <c r="BN42" s="235"/>
      <c r="BO42" s="236"/>
      <c r="BP42" s="237"/>
      <c r="BQ42" s="235"/>
      <c r="BR42" s="235"/>
      <c r="BS42" s="236"/>
      <c r="BT42" s="237"/>
      <c r="BU42" s="235"/>
      <c r="BV42" s="235"/>
      <c r="BW42" s="236"/>
      <c r="BX42" s="237"/>
      <c r="BY42" s="235"/>
      <c r="BZ42" s="235"/>
      <c r="CA42" s="236"/>
      <c r="CB42" s="237"/>
      <c r="CC42" s="235"/>
      <c r="CD42" s="235"/>
      <c r="CE42" s="236"/>
      <c r="CF42" s="237"/>
      <c r="CG42" s="235"/>
      <c r="CH42" s="235"/>
      <c r="CI42" s="236"/>
      <c r="CJ42" s="237"/>
      <c r="CK42" s="235"/>
      <c r="CL42" s="235"/>
      <c r="CM42" s="238"/>
    </row>
    <row r="43" spans="1:91">
      <c r="A43" s="383" t="s">
        <v>330</v>
      </c>
      <c r="B43" s="284">
        <v>28</v>
      </c>
      <c r="C43" s="287" t="s">
        <v>349</v>
      </c>
      <c r="D43" s="253"/>
      <c r="E43" s="247"/>
      <c r="F43" s="285"/>
      <c r="G43" s="286"/>
      <c r="H43" s="285"/>
      <c r="I43" s="285"/>
      <c r="J43" s="285"/>
      <c r="K43" s="286"/>
      <c r="L43" s="246"/>
      <c r="M43" s="247"/>
      <c r="N43" s="247"/>
      <c r="O43" s="248"/>
      <c r="P43" s="246"/>
      <c r="Q43" s="247"/>
      <c r="R43" s="247"/>
      <c r="S43" s="248"/>
      <c r="T43" s="246"/>
      <c r="U43" s="247"/>
      <c r="V43" s="247"/>
      <c r="W43" s="248"/>
      <c r="X43" s="246"/>
      <c r="Y43" s="247"/>
      <c r="Z43" s="247"/>
      <c r="AA43" s="248"/>
      <c r="AB43" s="246"/>
      <c r="AC43" s="247"/>
      <c r="AD43" s="247"/>
      <c r="AE43" s="248"/>
      <c r="AF43" s="246"/>
      <c r="AG43" s="247"/>
      <c r="AH43" s="247"/>
      <c r="AI43" s="248"/>
      <c r="AJ43" s="246"/>
      <c r="AK43" s="247"/>
      <c r="AL43" s="247"/>
      <c r="AM43" s="248"/>
      <c r="AN43" s="246"/>
      <c r="AO43" s="247"/>
      <c r="AP43" s="247"/>
      <c r="AQ43" s="248"/>
      <c r="AR43" s="246"/>
      <c r="AS43" s="247"/>
      <c r="AT43" s="247"/>
      <c r="AU43" s="248"/>
      <c r="AV43" s="246"/>
      <c r="AW43" s="247"/>
      <c r="AX43" s="247"/>
      <c r="AY43" s="248"/>
      <c r="AZ43" s="246"/>
      <c r="BA43" s="247"/>
      <c r="BB43" s="247"/>
      <c r="BC43" s="248"/>
      <c r="BD43" s="242"/>
      <c r="BE43" s="243"/>
      <c r="BF43" s="243"/>
      <c r="BG43" s="252"/>
      <c r="BH43" s="242"/>
      <c r="BI43" s="243"/>
      <c r="BJ43" s="243"/>
      <c r="BK43" s="252"/>
      <c r="BL43" s="246"/>
      <c r="BM43" s="247"/>
      <c r="BN43" s="247"/>
      <c r="BO43" s="248"/>
      <c r="BP43" s="246"/>
      <c r="BQ43" s="247"/>
      <c r="BR43" s="247"/>
      <c r="BS43" s="248"/>
      <c r="BT43" s="246"/>
      <c r="BU43" s="247"/>
      <c r="BV43" s="247"/>
      <c r="BW43" s="248"/>
      <c r="BX43" s="246"/>
      <c r="BY43" s="247"/>
      <c r="BZ43" s="247"/>
      <c r="CA43" s="248"/>
      <c r="CB43" s="246"/>
      <c r="CC43" s="247"/>
      <c r="CD43" s="247"/>
      <c r="CE43" s="248"/>
      <c r="CF43" s="246"/>
      <c r="CG43" s="247"/>
      <c r="CH43" s="247"/>
      <c r="CI43" s="248"/>
      <c r="CJ43" s="246"/>
      <c r="CK43" s="247"/>
      <c r="CL43" s="247"/>
      <c r="CM43" s="249"/>
    </row>
    <row r="44" spans="1:91">
      <c r="A44" s="383"/>
      <c r="B44" s="284">
        <v>29</v>
      </c>
      <c r="C44" s="287" t="s">
        <v>350</v>
      </c>
      <c r="D44" s="253"/>
      <c r="E44" s="247"/>
      <c r="F44" s="247"/>
      <c r="G44" s="248"/>
      <c r="H44" s="247"/>
      <c r="I44" s="247"/>
      <c r="J44" s="247"/>
      <c r="K44" s="248"/>
      <c r="L44" s="246"/>
      <c r="M44" s="247"/>
      <c r="N44" s="247"/>
      <c r="O44" s="248"/>
      <c r="P44" s="246"/>
      <c r="Q44" s="247"/>
      <c r="R44" s="247"/>
      <c r="S44" s="248"/>
      <c r="T44" s="246"/>
      <c r="U44" s="247"/>
      <c r="V44" s="247"/>
      <c r="W44" s="248"/>
      <c r="X44" s="246"/>
      <c r="Y44" s="247"/>
      <c r="Z44" s="247"/>
      <c r="AA44" s="248"/>
      <c r="AB44" s="246"/>
      <c r="AC44" s="247"/>
      <c r="AD44" s="247"/>
      <c r="AE44" s="248"/>
      <c r="AF44" s="246"/>
      <c r="AG44" s="247"/>
      <c r="AH44" s="247"/>
      <c r="AI44" s="248"/>
      <c r="AJ44" s="246"/>
      <c r="AK44" s="247"/>
      <c r="AL44" s="247"/>
      <c r="AM44" s="248"/>
      <c r="AN44" s="246"/>
      <c r="AO44" s="247"/>
      <c r="AP44" s="247"/>
      <c r="AQ44" s="248"/>
      <c r="AR44" s="246"/>
      <c r="AS44" s="247"/>
      <c r="AT44" s="247"/>
      <c r="AU44" s="248"/>
      <c r="AV44" s="246"/>
      <c r="AW44" s="247"/>
      <c r="AX44" s="247"/>
      <c r="AY44" s="248"/>
      <c r="AZ44" s="246"/>
      <c r="BA44" s="247"/>
      <c r="BB44" s="247"/>
      <c r="BC44" s="248"/>
      <c r="BD44" s="246"/>
      <c r="BE44" s="243"/>
      <c r="BF44" s="243"/>
      <c r="BG44" s="252"/>
      <c r="BH44" s="242"/>
      <c r="BI44" s="243"/>
      <c r="BJ44" s="243"/>
      <c r="BK44" s="252"/>
      <c r="BL44" s="242"/>
      <c r="BM44" s="243"/>
      <c r="BN44" s="243"/>
      <c r="BO44" s="252"/>
      <c r="BP44" s="242"/>
      <c r="BQ44" s="243"/>
      <c r="BR44" s="243"/>
      <c r="BS44" s="252"/>
      <c r="BT44" s="242"/>
      <c r="BU44" s="243"/>
      <c r="BV44" s="243"/>
      <c r="BW44" s="252"/>
      <c r="BX44" s="242"/>
      <c r="BY44" s="243"/>
      <c r="BZ44" s="247"/>
      <c r="CA44" s="248"/>
      <c r="CB44" s="246"/>
      <c r="CC44" s="247"/>
      <c r="CD44" s="247"/>
      <c r="CE44" s="248"/>
      <c r="CF44" s="246"/>
      <c r="CG44" s="247"/>
      <c r="CH44" s="247"/>
      <c r="CI44" s="248"/>
      <c r="CJ44" s="246"/>
      <c r="CK44" s="247"/>
      <c r="CL44" s="247"/>
      <c r="CM44" s="249"/>
    </row>
    <row r="45" spans="1:91">
      <c r="A45" s="383"/>
      <c r="B45" s="284">
        <v>30</v>
      </c>
      <c r="C45" s="287" t="s">
        <v>351</v>
      </c>
      <c r="D45" s="253"/>
      <c r="E45" s="247"/>
      <c r="F45" s="247"/>
      <c r="G45" s="248"/>
      <c r="H45" s="247"/>
      <c r="I45" s="247"/>
      <c r="J45" s="247"/>
      <c r="K45" s="248"/>
      <c r="L45" s="246"/>
      <c r="M45" s="247"/>
      <c r="N45" s="247"/>
      <c r="O45" s="248"/>
      <c r="P45" s="246"/>
      <c r="Q45" s="247"/>
      <c r="R45" s="247"/>
      <c r="S45" s="248"/>
      <c r="T45" s="246"/>
      <c r="U45" s="247"/>
      <c r="V45" s="247"/>
      <c r="W45" s="248"/>
      <c r="X45" s="246"/>
      <c r="Y45" s="247"/>
      <c r="Z45" s="247"/>
      <c r="AA45" s="248"/>
      <c r="AB45" s="246"/>
      <c r="AC45" s="247"/>
      <c r="AD45" s="247"/>
      <c r="AE45" s="248"/>
      <c r="AF45" s="246"/>
      <c r="AG45" s="247"/>
      <c r="AH45" s="247"/>
      <c r="AI45" s="248"/>
      <c r="AJ45" s="246"/>
      <c r="AK45" s="247"/>
      <c r="AL45" s="247"/>
      <c r="AM45" s="248"/>
      <c r="AN45" s="246"/>
      <c r="AO45" s="247"/>
      <c r="AP45" s="247"/>
      <c r="AQ45" s="248"/>
      <c r="AR45" s="246"/>
      <c r="AS45" s="247"/>
      <c r="AT45" s="247"/>
      <c r="AU45" s="248"/>
      <c r="AV45" s="246"/>
      <c r="AW45" s="247"/>
      <c r="AX45" s="247"/>
      <c r="AY45" s="248"/>
      <c r="AZ45" s="246"/>
      <c r="BA45" s="247"/>
      <c r="BB45" s="247"/>
      <c r="BC45" s="248"/>
      <c r="BD45" s="246"/>
      <c r="BE45" s="247"/>
      <c r="BF45" s="247"/>
      <c r="BG45" s="248"/>
      <c r="BH45" s="246"/>
      <c r="BI45" s="247"/>
      <c r="BJ45" s="247"/>
      <c r="BK45" s="248"/>
      <c r="BL45" s="246"/>
      <c r="BM45" s="247"/>
      <c r="BN45" s="247"/>
      <c r="BO45" s="248"/>
      <c r="BP45" s="246"/>
      <c r="BQ45" s="247"/>
      <c r="BR45" s="243"/>
      <c r="BS45" s="252"/>
      <c r="BT45" s="242"/>
      <c r="BU45" s="243"/>
      <c r="BV45" s="243"/>
      <c r="BW45" s="252"/>
      <c r="BX45" s="242"/>
      <c r="BY45" s="243"/>
      <c r="BZ45" s="247"/>
      <c r="CA45" s="248"/>
      <c r="CB45" s="246"/>
      <c r="CC45" s="247"/>
      <c r="CD45" s="247"/>
      <c r="CE45" s="248"/>
      <c r="CF45" s="246"/>
      <c r="CG45" s="247"/>
      <c r="CH45" s="247"/>
      <c r="CI45" s="248"/>
      <c r="CJ45" s="246"/>
      <c r="CK45" s="247"/>
      <c r="CL45" s="247"/>
      <c r="CM45" s="249"/>
    </row>
    <row r="46" spans="1:91">
      <c r="A46" s="383" t="s">
        <v>334</v>
      </c>
      <c r="B46" s="284">
        <v>31</v>
      </c>
      <c r="C46" s="287" t="s">
        <v>352</v>
      </c>
      <c r="D46" s="253"/>
      <c r="E46" s="247"/>
      <c r="F46" s="247"/>
      <c r="G46" s="248"/>
      <c r="H46" s="247"/>
      <c r="I46" s="247"/>
      <c r="J46" s="247"/>
      <c r="K46" s="248"/>
      <c r="L46" s="246"/>
      <c r="M46" s="247"/>
      <c r="N46" s="247"/>
      <c r="O46" s="248"/>
      <c r="P46" s="246"/>
      <c r="Q46" s="247"/>
      <c r="R46" s="247"/>
      <c r="S46" s="248"/>
      <c r="T46" s="246"/>
      <c r="U46" s="247"/>
      <c r="V46" s="247"/>
      <c r="W46" s="248"/>
      <c r="X46" s="246"/>
      <c r="Y46" s="247"/>
      <c r="Z46" s="247"/>
      <c r="AA46" s="248"/>
      <c r="AB46" s="246"/>
      <c r="AC46" s="247"/>
      <c r="AD46" s="247"/>
      <c r="AE46" s="248"/>
      <c r="AF46" s="246"/>
      <c r="AG46" s="247"/>
      <c r="AH46" s="247"/>
      <c r="AI46" s="248"/>
      <c r="AJ46" s="246"/>
      <c r="AK46" s="247"/>
      <c r="AL46" s="247"/>
      <c r="AM46" s="248"/>
      <c r="AN46" s="246"/>
      <c r="AO46" s="247"/>
      <c r="AP46" s="247"/>
      <c r="AQ46" s="248"/>
      <c r="AR46" s="246"/>
      <c r="AS46" s="247"/>
      <c r="AT46" s="247"/>
      <c r="AU46" s="248"/>
      <c r="AV46" s="246"/>
      <c r="AW46" s="247"/>
      <c r="AX46" s="247"/>
      <c r="AY46" s="248"/>
      <c r="AZ46" s="246"/>
      <c r="BA46" s="247"/>
      <c r="BB46" s="247"/>
      <c r="BC46" s="248"/>
      <c r="BD46" s="246"/>
      <c r="BE46" s="247"/>
      <c r="BF46" s="247"/>
      <c r="BG46" s="248"/>
      <c r="BH46" s="246"/>
      <c r="BI46" s="247"/>
      <c r="BJ46" s="247"/>
      <c r="BK46" s="248"/>
      <c r="BL46" s="246"/>
      <c r="BM46" s="247"/>
      <c r="BN46" s="247"/>
      <c r="BO46" s="248"/>
      <c r="BP46" s="246"/>
      <c r="BQ46" s="247"/>
      <c r="BR46" s="247"/>
      <c r="BS46" s="248"/>
      <c r="BT46" s="246"/>
      <c r="BU46" s="247"/>
      <c r="BV46" s="247"/>
      <c r="BW46" s="248"/>
      <c r="BX46" s="242"/>
      <c r="BY46" s="243"/>
      <c r="BZ46" s="247"/>
      <c r="CA46" s="248"/>
      <c r="CB46" s="246"/>
      <c r="CC46" s="247"/>
      <c r="CD46" s="247"/>
      <c r="CE46" s="248"/>
      <c r="CF46" s="246"/>
      <c r="CG46" s="247"/>
      <c r="CH46" s="247"/>
      <c r="CI46" s="248"/>
      <c r="CJ46" s="246"/>
      <c r="CK46" s="247"/>
      <c r="CL46" s="247"/>
      <c r="CM46" s="249"/>
    </row>
    <row r="47" spans="1:91">
      <c r="A47" s="383"/>
      <c r="B47" s="284">
        <v>32</v>
      </c>
      <c r="C47" s="283" t="s">
        <v>353</v>
      </c>
      <c r="D47" s="253"/>
      <c r="E47" s="247"/>
      <c r="F47" s="247"/>
      <c r="G47" s="248"/>
      <c r="H47" s="247"/>
      <c r="I47" s="247"/>
      <c r="J47" s="247"/>
      <c r="K47" s="248"/>
      <c r="L47" s="246"/>
      <c r="M47" s="247"/>
      <c r="N47" s="247"/>
      <c r="O47" s="248"/>
      <c r="P47" s="246"/>
      <c r="Q47" s="247"/>
      <c r="R47" s="247"/>
      <c r="S47" s="248"/>
      <c r="T47" s="246"/>
      <c r="U47" s="247"/>
      <c r="V47" s="247"/>
      <c r="W47" s="248"/>
      <c r="X47" s="246"/>
      <c r="Y47" s="247"/>
      <c r="Z47" s="247"/>
      <c r="AA47" s="248"/>
      <c r="AB47" s="246"/>
      <c r="AC47" s="247"/>
      <c r="AD47" s="247"/>
      <c r="AE47" s="248"/>
      <c r="AF47" s="246"/>
      <c r="AG47" s="247"/>
      <c r="AH47" s="247"/>
      <c r="AI47" s="248"/>
      <c r="AJ47" s="246"/>
      <c r="AK47" s="247"/>
      <c r="AL47" s="247"/>
      <c r="AM47" s="248"/>
      <c r="AN47" s="246"/>
      <c r="AO47" s="247"/>
      <c r="AP47" s="247"/>
      <c r="AQ47" s="248"/>
      <c r="AR47" s="246"/>
      <c r="AS47" s="247"/>
      <c r="AT47" s="247"/>
      <c r="AU47" s="248"/>
      <c r="AV47" s="246"/>
      <c r="AW47" s="247"/>
      <c r="AX47" s="247"/>
      <c r="AY47" s="248"/>
      <c r="AZ47" s="246"/>
      <c r="BA47" s="247"/>
      <c r="BB47" s="247"/>
      <c r="BC47" s="248"/>
      <c r="BD47" s="246"/>
      <c r="BE47" s="247"/>
      <c r="BF47" s="247"/>
      <c r="BG47" s="248"/>
      <c r="BH47" s="246"/>
      <c r="BI47" s="247"/>
      <c r="BJ47" s="247"/>
      <c r="BK47" s="248"/>
      <c r="BL47" s="246"/>
      <c r="BM47" s="247"/>
      <c r="BN47" s="247"/>
      <c r="BO47" s="248"/>
      <c r="BP47" s="246"/>
      <c r="BQ47" s="247"/>
      <c r="BR47" s="247"/>
      <c r="BS47" s="248"/>
      <c r="BT47" s="246"/>
      <c r="BU47" s="247"/>
      <c r="BV47" s="247"/>
      <c r="BW47" s="248"/>
      <c r="BX47" s="246"/>
      <c r="BY47" s="247"/>
      <c r="BZ47" s="243"/>
      <c r="CA47" s="252"/>
      <c r="CB47" s="246"/>
      <c r="CC47" s="247"/>
      <c r="CD47" s="247"/>
      <c r="CE47" s="248"/>
      <c r="CF47" s="246"/>
      <c r="CG47" s="247"/>
      <c r="CH47" s="247"/>
      <c r="CI47" s="248"/>
      <c r="CJ47" s="246"/>
      <c r="CK47" s="247"/>
      <c r="CL47" s="247"/>
      <c r="CM47" s="249"/>
    </row>
    <row r="48" spans="1:91">
      <c r="A48" s="376" t="s">
        <v>337</v>
      </c>
      <c r="B48" s="284">
        <v>33</v>
      </c>
      <c r="C48" s="287" t="s">
        <v>378</v>
      </c>
      <c r="D48" s="253"/>
      <c r="E48" s="247"/>
      <c r="F48" s="247"/>
      <c r="G48" s="248"/>
      <c r="H48" s="247"/>
      <c r="I48" s="247"/>
      <c r="J48" s="247"/>
      <c r="K48" s="248"/>
      <c r="L48" s="247"/>
      <c r="M48" s="247"/>
      <c r="N48" s="247"/>
      <c r="O48" s="248"/>
      <c r="P48" s="246"/>
      <c r="Q48" s="247"/>
      <c r="R48" s="247"/>
      <c r="S48" s="248"/>
      <c r="T48" s="246"/>
      <c r="U48" s="247"/>
      <c r="V48" s="247"/>
      <c r="W48" s="248"/>
      <c r="X48" s="246"/>
      <c r="Y48" s="247"/>
      <c r="Z48" s="247"/>
      <c r="AA48" s="248"/>
      <c r="AB48" s="246"/>
      <c r="AC48" s="247"/>
      <c r="AD48" s="247"/>
      <c r="AE48" s="248"/>
      <c r="AF48" s="246"/>
      <c r="AG48" s="247"/>
      <c r="AH48" s="247"/>
      <c r="AI48" s="248"/>
      <c r="AJ48" s="246"/>
      <c r="AK48" s="247"/>
      <c r="AL48" s="247"/>
      <c r="AM48" s="248"/>
      <c r="AN48" s="246"/>
      <c r="AO48" s="247"/>
      <c r="AP48" s="247"/>
      <c r="AQ48" s="248"/>
      <c r="AR48" s="246"/>
      <c r="AS48" s="247"/>
      <c r="AT48" s="247"/>
      <c r="AU48" s="248"/>
      <c r="AV48" s="246"/>
      <c r="AW48" s="247"/>
      <c r="AX48" s="247"/>
      <c r="AY48" s="248"/>
      <c r="AZ48" s="246"/>
      <c r="BA48" s="247"/>
      <c r="BB48" s="247"/>
      <c r="BC48" s="248"/>
      <c r="BD48" s="246"/>
      <c r="BE48" s="247"/>
      <c r="BF48" s="247"/>
      <c r="BG48" s="248"/>
      <c r="BH48" s="246"/>
      <c r="BI48" s="247"/>
      <c r="BJ48" s="247"/>
      <c r="BK48" s="248"/>
      <c r="BL48" s="246"/>
      <c r="BM48" s="247"/>
      <c r="BN48" s="247"/>
      <c r="BO48" s="248"/>
      <c r="BP48" s="246"/>
      <c r="BQ48" s="247"/>
      <c r="BR48" s="247"/>
      <c r="BS48" s="248"/>
      <c r="BT48" s="246"/>
      <c r="BU48" s="247"/>
      <c r="BV48" s="247"/>
      <c r="BW48" s="248"/>
      <c r="BX48" s="246"/>
      <c r="BY48" s="247"/>
      <c r="BZ48" s="247"/>
      <c r="CA48" s="248"/>
      <c r="CB48" s="242"/>
      <c r="CC48" s="243"/>
      <c r="CD48" s="243"/>
      <c r="CE48" s="252"/>
      <c r="CF48" s="246"/>
      <c r="CG48" s="247"/>
      <c r="CH48" s="247"/>
      <c r="CI48" s="248"/>
      <c r="CJ48" s="246"/>
      <c r="CK48" s="247"/>
      <c r="CL48" s="247"/>
      <c r="CM48" s="249"/>
    </row>
    <row r="49" spans="1:91" ht="14.5" thickBot="1">
      <c r="A49" s="376"/>
      <c r="B49" s="284">
        <v>34</v>
      </c>
      <c r="C49" s="287" t="s">
        <v>354</v>
      </c>
      <c r="D49" s="260"/>
      <c r="E49" s="261"/>
      <c r="F49" s="261"/>
      <c r="G49" s="262"/>
      <c r="H49" s="261"/>
      <c r="I49" s="261"/>
      <c r="J49" s="261"/>
      <c r="K49" s="262"/>
      <c r="L49" s="261"/>
      <c r="M49" s="261"/>
      <c r="N49" s="261"/>
      <c r="O49" s="262"/>
      <c r="P49" s="263"/>
      <c r="Q49" s="261"/>
      <c r="R49" s="261"/>
      <c r="S49" s="262"/>
      <c r="T49" s="263"/>
      <c r="U49" s="261"/>
      <c r="V49" s="261"/>
      <c r="W49" s="262"/>
      <c r="X49" s="263"/>
      <c r="Y49" s="261"/>
      <c r="Z49" s="261"/>
      <c r="AA49" s="262"/>
      <c r="AB49" s="263"/>
      <c r="AC49" s="261"/>
      <c r="AD49" s="261"/>
      <c r="AE49" s="262"/>
      <c r="AF49" s="263"/>
      <c r="AG49" s="261"/>
      <c r="AH49" s="261"/>
      <c r="AI49" s="262"/>
      <c r="AJ49" s="263"/>
      <c r="AK49" s="261"/>
      <c r="AL49" s="261"/>
      <c r="AM49" s="262"/>
      <c r="AN49" s="263"/>
      <c r="AO49" s="261"/>
      <c r="AP49" s="261"/>
      <c r="AQ49" s="262"/>
      <c r="AR49" s="263"/>
      <c r="AS49" s="261"/>
      <c r="AT49" s="261"/>
      <c r="AU49" s="262"/>
      <c r="AV49" s="263"/>
      <c r="AW49" s="261"/>
      <c r="AX49" s="261"/>
      <c r="AY49" s="262"/>
      <c r="AZ49" s="263"/>
      <c r="BA49" s="261"/>
      <c r="BB49" s="261"/>
      <c r="BC49" s="262"/>
      <c r="BD49" s="263"/>
      <c r="BE49" s="261"/>
      <c r="BF49" s="261"/>
      <c r="BG49" s="262"/>
      <c r="BH49" s="263"/>
      <c r="BI49" s="261"/>
      <c r="BJ49" s="261"/>
      <c r="BK49" s="262"/>
      <c r="BL49" s="263"/>
      <c r="BM49" s="261"/>
      <c r="BN49" s="261"/>
      <c r="BO49" s="262"/>
      <c r="BP49" s="263"/>
      <c r="BQ49" s="261"/>
      <c r="BR49" s="261"/>
      <c r="BS49" s="262"/>
      <c r="BT49" s="263"/>
      <c r="BU49" s="261"/>
      <c r="BV49" s="261"/>
      <c r="BW49" s="262"/>
      <c r="BX49" s="263"/>
      <c r="BY49" s="261"/>
      <c r="BZ49" s="261"/>
      <c r="CA49" s="262"/>
      <c r="CB49" s="263"/>
      <c r="CC49" s="261"/>
      <c r="CD49" s="261"/>
      <c r="CE49" s="288"/>
      <c r="CF49" s="263"/>
      <c r="CG49" s="261"/>
      <c r="CH49" s="261"/>
      <c r="CI49" s="262"/>
      <c r="CJ49" s="263"/>
      <c r="CK49" s="261"/>
      <c r="CL49" s="261"/>
      <c r="CM49" s="266"/>
    </row>
    <row r="50" spans="1:91" ht="14.5" thickBot="1">
      <c r="A50" s="267" t="s">
        <v>371</v>
      </c>
      <c r="B50" s="268"/>
      <c r="C50" s="269" t="s">
        <v>387</v>
      </c>
      <c r="D50" s="270"/>
      <c r="E50" s="271"/>
      <c r="F50" s="271"/>
      <c r="G50" s="272"/>
      <c r="H50" s="273"/>
      <c r="I50" s="271"/>
      <c r="J50" s="271"/>
      <c r="K50" s="272"/>
      <c r="L50" s="273"/>
      <c r="M50" s="271"/>
      <c r="N50" s="271"/>
      <c r="O50" s="272"/>
      <c r="P50" s="273"/>
      <c r="Q50" s="271"/>
      <c r="R50" s="271"/>
      <c r="S50" s="272"/>
      <c r="T50" s="274"/>
      <c r="U50" s="271"/>
      <c r="V50" s="271"/>
      <c r="W50" s="272"/>
      <c r="X50" s="273"/>
      <c r="Y50" s="271"/>
      <c r="Z50" s="271"/>
      <c r="AA50" s="272"/>
      <c r="AB50" s="273"/>
      <c r="AC50" s="271"/>
      <c r="AD50" s="271"/>
      <c r="AE50" s="272"/>
      <c r="AF50" s="273"/>
      <c r="AG50" s="271"/>
      <c r="AH50" s="271"/>
      <c r="AI50" s="272"/>
      <c r="AJ50" s="273"/>
      <c r="AK50" s="271"/>
      <c r="AL50" s="271"/>
      <c r="AM50" s="272"/>
      <c r="AN50" s="273"/>
      <c r="AO50" s="271"/>
      <c r="AP50" s="271"/>
      <c r="AQ50" s="272"/>
      <c r="AR50" s="273"/>
      <c r="AS50" s="271"/>
      <c r="AT50" s="271"/>
      <c r="AU50" s="272"/>
      <c r="AV50" s="273"/>
      <c r="AW50" s="271"/>
      <c r="AX50" s="271"/>
      <c r="AY50" s="272"/>
      <c r="AZ50" s="273"/>
      <c r="BA50" s="271"/>
      <c r="BB50" s="271"/>
      <c r="BC50" s="280"/>
      <c r="BD50" s="273"/>
      <c r="BE50" s="282"/>
      <c r="BF50" s="282"/>
      <c r="BG50" s="272"/>
      <c r="BH50" s="273"/>
      <c r="BI50" s="271"/>
      <c r="BJ50" s="271"/>
      <c r="BK50" s="272"/>
      <c r="BL50" s="273"/>
      <c r="BM50" s="271"/>
      <c r="BN50" s="271"/>
      <c r="BO50" s="272"/>
      <c r="BP50" s="273"/>
      <c r="BQ50" s="271"/>
      <c r="BR50" s="271"/>
      <c r="BS50" s="272"/>
      <c r="BT50" s="273"/>
      <c r="BU50" s="271"/>
      <c r="BV50" s="271"/>
      <c r="BW50" s="272"/>
      <c r="BX50" s="273"/>
      <c r="BY50" s="271"/>
      <c r="BZ50" s="271"/>
      <c r="CA50" s="272"/>
      <c r="CB50" s="273"/>
      <c r="CC50" s="271"/>
      <c r="CD50" s="271"/>
      <c r="CE50" s="279"/>
      <c r="CF50" s="273"/>
      <c r="CG50" s="271"/>
      <c r="CH50" s="271"/>
      <c r="CI50" s="272"/>
      <c r="CJ50" s="273"/>
      <c r="CK50" s="271"/>
      <c r="CL50" s="271"/>
      <c r="CM50" s="276"/>
    </row>
    <row r="51" spans="1:91">
      <c r="A51" s="377" t="s">
        <v>376</v>
      </c>
      <c r="B51" s="378"/>
      <c r="C51" s="379"/>
      <c r="D51" s="277"/>
      <c r="E51" s="235"/>
      <c r="F51" s="235"/>
      <c r="G51" s="236"/>
      <c r="H51" s="237"/>
      <c r="I51" s="235"/>
      <c r="J51" s="235"/>
      <c r="K51" s="236"/>
      <c r="L51" s="237"/>
      <c r="M51" s="235"/>
      <c r="N51" s="235"/>
      <c r="O51" s="236"/>
      <c r="P51" s="237"/>
      <c r="Q51" s="235"/>
      <c r="R51" s="235"/>
      <c r="S51" s="236"/>
      <c r="T51" s="237"/>
      <c r="U51" s="235"/>
      <c r="V51" s="235"/>
      <c r="W51" s="236"/>
      <c r="X51" s="237"/>
      <c r="Y51" s="235"/>
      <c r="Z51" s="235"/>
      <c r="AA51" s="236"/>
      <c r="AB51" s="237"/>
      <c r="AC51" s="235"/>
      <c r="AD51" s="235"/>
      <c r="AE51" s="236"/>
      <c r="AF51" s="237"/>
      <c r="AG51" s="235"/>
      <c r="AH51" s="235"/>
      <c r="AI51" s="236"/>
      <c r="AJ51" s="237"/>
      <c r="AK51" s="235"/>
      <c r="AL51" s="235"/>
      <c r="AM51" s="236"/>
      <c r="AN51" s="237"/>
      <c r="AO51" s="235"/>
      <c r="AP51" s="235"/>
      <c r="AQ51" s="236"/>
      <c r="AR51" s="237"/>
      <c r="AS51" s="235"/>
      <c r="AT51" s="235"/>
      <c r="AU51" s="236"/>
      <c r="AV51" s="237"/>
      <c r="AW51" s="235"/>
      <c r="AX51" s="235"/>
      <c r="AY51" s="236"/>
      <c r="AZ51" s="237"/>
      <c r="BA51" s="235"/>
      <c r="BB51" s="235"/>
      <c r="BC51" s="236"/>
      <c r="BD51" s="237"/>
      <c r="BE51" s="235"/>
      <c r="BF51" s="235"/>
      <c r="BG51" s="236"/>
      <c r="BH51" s="237"/>
      <c r="BI51" s="235"/>
      <c r="BJ51" s="235"/>
      <c r="BK51" s="236"/>
      <c r="BL51" s="237"/>
      <c r="BM51" s="235"/>
      <c r="BN51" s="235"/>
      <c r="BO51" s="236"/>
      <c r="BP51" s="237"/>
      <c r="BQ51" s="235"/>
      <c r="BR51" s="235"/>
      <c r="BS51" s="236"/>
      <c r="BT51" s="237"/>
      <c r="BU51" s="235"/>
      <c r="BV51" s="235"/>
      <c r="BW51" s="236"/>
      <c r="BX51" s="237"/>
      <c r="BY51" s="235"/>
      <c r="BZ51" s="235"/>
      <c r="CA51" s="236"/>
      <c r="CB51" s="237"/>
      <c r="CC51" s="235"/>
      <c r="CD51" s="235"/>
      <c r="CE51" s="236"/>
      <c r="CF51" s="237"/>
      <c r="CG51" s="235"/>
      <c r="CH51" s="235"/>
      <c r="CI51" s="236"/>
      <c r="CJ51" s="237"/>
      <c r="CK51" s="235"/>
      <c r="CL51" s="235"/>
      <c r="CM51" s="238"/>
    </row>
    <row r="52" spans="1:91">
      <c r="A52" s="376" t="s">
        <v>339</v>
      </c>
      <c r="B52" s="284">
        <v>35</v>
      </c>
      <c r="C52" s="290" t="s">
        <v>340</v>
      </c>
      <c r="D52" s="314"/>
      <c r="E52" s="291"/>
      <c r="F52" s="291"/>
      <c r="G52" s="292"/>
      <c r="H52" s="293"/>
      <c r="I52" s="291"/>
      <c r="J52" s="291"/>
      <c r="K52" s="292"/>
      <c r="L52" s="291"/>
      <c r="M52" s="291"/>
      <c r="N52" s="291"/>
      <c r="O52" s="292"/>
      <c r="P52" s="293"/>
      <c r="Q52" s="291"/>
      <c r="R52" s="291"/>
      <c r="S52" s="292"/>
      <c r="T52" s="293"/>
      <c r="U52" s="291"/>
      <c r="V52" s="291"/>
      <c r="W52" s="292"/>
      <c r="X52" s="293"/>
      <c r="Y52" s="291"/>
      <c r="Z52" s="291"/>
      <c r="AA52" s="292"/>
      <c r="AB52" s="293"/>
      <c r="AC52" s="291"/>
      <c r="AD52" s="291"/>
      <c r="AE52" s="292"/>
      <c r="AF52" s="293"/>
      <c r="AG52" s="291"/>
      <c r="AH52" s="291"/>
      <c r="AI52" s="292"/>
      <c r="AJ52" s="293"/>
      <c r="AK52" s="291"/>
      <c r="AL52" s="291"/>
      <c r="AM52" s="292"/>
      <c r="AN52" s="293"/>
      <c r="AO52" s="291"/>
      <c r="AP52" s="291"/>
      <c r="AQ52" s="292"/>
      <c r="AR52" s="293"/>
      <c r="AS52" s="291"/>
      <c r="AT52" s="291"/>
      <c r="AU52" s="292"/>
      <c r="AV52" s="293"/>
      <c r="AW52" s="291"/>
      <c r="AX52" s="291"/>
      <c r="AY52" s="292"/>
      <c r="AZ52" s="293"/>
      <c r="BA52" s="291"/>
      <c r="BB52" s="291"/>
      <c r="BC52" s="292"/>
      <c r="BD52" s="293"/>
      <c r="BE52" s="291"/>
      <c r="BF52" s="291"/>
      <c r="BG52" s="292"/>
      <c r="BH52" s="293"/>
      <c r="BI52" s="291"/>
      <c r="BJ52" s="291"/>
      <c r="BK52" s="292"/>
      <c r="BL52" s="293"/>
      <c r="BM52" s="291"/>
      <c r="BN52" s="291"/>
      <c r="BO52" s="292"/>
      <c r="BP52" s="293"/>
      <c r="BQ52" s="291"/>
      <c r="BR52" s="291"/>
      <c r="BS52" s="292"/>
      <c r="BT52" s="293"/>
      <c r="BU52" s="291"/>
      <c r="BV52" s="291"/>
      <c r="BW52" s="292"/>
      <c r="BX52" s="293"/>
      <c r="BY52" s="291"/>
      <c r="BZ52" s="291"/>
      <c r="CA52" s="292"/>
      <c r="CB52" s="293"/>
      <c r="CC52" s="291"/>
      <c r="CD52" s="291"/>
      <c r="CE52" s="292"/>
      <c r="CF52" s="293"/>
      <c r="CG52" s="291"/>
      <c r="CH52" s="291"/>
      <c r="CI52" s="292"/>
      <c r="CJ52" s="293"/>
      <c r="CK52" s="291"/>
      <c r="CL52" s="291"/>
      <c r="CM52" s="294"/>
    </row>
    <row r="53" spans="1:91">
      <c r="A53" s="376"/>
      <c r="B53" s="284"/>
      <c r="C53" s="287" t="s">
        <v>355</v>
      </c>
      <c r="D53" s="296"/>
      <c r="E53" s="247"/>
      <c r="F53" s="247"/>
      <c r="G53" s="248"/>
      <c r="H53" s="246"/>
      <c r="I53" s="247"/>
      <c r="J53" s="247"/>
      <c r="K53" s="248"/>
      <c r="L53" s="247"/>
      <c r="M53" s="247"/>
      <c r="N53" s="247"/>
      <c r="O53" s="248"/>
      <c r="P53" s="246"/>
      <c r="Q53" s="247"/>
      <c r="R53" s="247"/>
      <c r="S53" s="248"/>
      <c r="T53" s="246"/>
      <c r="U53" s="247"/>
      <c r="V53" s="247"/>
      <c r="W53" s="248"/>
      <c r="X53" s="246"/>
      <c r="Y53" s="247"/>
      <c r="Z53" s="247"/>
      <c r="AA53" s="248"/>
      <c r="AB53" s="246"/>
      <c r="AC53" s="247"/>
      <c r="AD53" s="247"/>
      <c r="AE53" s="248"/>
      <c r="AF53" s="246"/>
      <c r="AG53" s="247"/>
      <c r="AH53" s="247"/>
      <c r="AI53" s="248"/>
      <c r="AJ53" s="246"/>
      <c r="AK53" s="247"/>
      <c r="AL53" s="247"/>
      <c r="AM53" s="248"/>
      <c r="AN53" s="246"/>
      <c r="AO53" s="247"/>
      <c r="AP53" s="247"/>
      <c r="AQ53" s="248"/>
      <c r="AR53" s="246"/>
      <c r="AS53" s="247"/>
      <c r="AT53" s="247"/>
      <c r="AU53" s="248"/>
      <c r="AV53" s="246"/>
      <c r="AW53" s="247"/>
      <c r="AX53" s="247"/>
      <c r="AY53" s="248"/>
      <c r="AZ53" s="246"/>
      <c r="BA53" s="247"/>
      <c r="BB53" s="247"/>
      <c r="BC53" s="248"/>
      <c r="BD53" s="246"/>
      <c r="BE53" s="247"/>
      <c r="BF53" s="247"/>
      <c r="BG53" s="248"/>
      <c r="BH53" s="246"/>
      <c r="BI53" s="247"/>
      <c r="BJ53" s="247"/>
      <c r="BK53" s="248"/>
      <c r="BL53" s="246"/>
      <c r="BM53" s="247"/>
      <c r="BN53" s="247"/>
      <c r="BO53" s="248"/>
      <c r="BP53" s="246"/>
      <c r="BQ53" s="247"/>
      <c r="BR53" s="247"/>
      <c r="BS53" s="248"/>
      <c r="BT53" s="246"/>
      <c r="BU53" s="247"/>
      <c r="BV53" s="247"/>
      <c r="BW53" s="248"/>
      <c r="BX53" s="246"/>
      <c r="BY53" s="247"/>
      <c r="BZ53" s="247"/>
      <c r="CA53" s="248"/>
      <c r="CB53" s="246"/>
      <c r="CC53" s="243"/>
      <c r="CD53" s="243"/>
      <c r="CE53" s="248"/>
      <c r="CF53" s="246"/>
      <c r="CG53" s="247"/>
      <c r="CH53" s="247"/>
      <c r="CI53" s="248"/>
      <c r="CJ53" s="246"/>
      <c r="CK53" s="247"/>
      <c r="CL53" s="247"/>
      <c r="CM53" s="249"/>
    </row>
    <row r="54" spans="1:91">
      <c r="A54" s="376"/>
      <c r="B54" s="284"/>
      <c r="C54" s="287" t="s">
        <v>356</v>
      </c>
      <c r="D54" s="296"/>
      <c r="E54" s="247"/>
      <c r="F54" s="247"/>
      <c r="G54" s="248"/>
      <c r="H54" s="246"/>
      <c r="I54" s="247"/>
      <c r="J54" s="247"/>
      <c r="K54" s="248"/>
      <c r="L54" s="246"/>
      <c r="M54" s="247"/>
      <c r="N54" s="247"/>
      <c r="O54" s="248"/>
      <c r="P54" s="246"/>
      <c r="Q54" s="247"/>
      <c r="R54" s="247"/>
      <c r="S54" s="248"/>
      <c r="T54" s="246"/>
      <c r="U54" s="247"/>
      <c r="V54" s="247"/>
      <c r="W54" s="248"/>
      <c r="X54" s="246"/>
      <c r="Y54" s="247"/>
      <c r="Z54" s="247"/>
      <c r="AA54" s="248"/>
      <c r="AB54" s="246"/>
      <c r="AC54" s="247"/>
      <c r="AD54" s="247"/>
      <c r="AE54" s="248"/>
      <c r="AF54" s="246"/>
      <c r="AG54" s="247"/>
      <c r="AH54" s="247"/>
      <c r="AI54" s="248"/>
      <c r="AJ54" s="246"/>
      <c r="AK54" s="247"/>
      <c r="AL54" s="247"/>
      <c r="AM54" s="248"/>
      <c r="AN54" s="246"/>
      <c r="AO54" s="247"/>
      <c r="AP54" s="247"/>
      <c r="AQ54" s="248"/>
      <c r="AR54" s="246"/>
      <c r="AS54" s="247"/>
      <c r="AT54" s="247"/>
      <c r="AU54" s="248"/>
      <c r="AV54" s="246"/>
      <c r="AW54" s="247"/>
      <c r="AX54" s="247"/>
      <c r="AY54" s="248"/>
      <c r="AZ54" s="246"/>
      <c r="BA54" s="247"/>
      <c r="BB54" s="247"/>
      <c r="BC54" s="248"/>
      <c r="BD54" s="246"/>
      <c r="BE54" s="247"/>
      <c r="BF54" s="247"/>
      <c r="BG54" s="248"/>
      <c r="BH54" s="246"/>
      <c r="BI54" s="247"/>
      <c r="BJ54" s="247"/>
      <c r="BK54" s="248"/>
      <c r="BL54" s="246"/>
      <c r="BM54" s="247"/>
      <c r="BN54" s="247"/>
      <c r="BO54" s="248"/>
      <c r="BP54" s="246"/>
      <c r="BQ54" s="247"/>
      <c r="BR54" s="247"/>
      <c r="BS54" s="248"/>
      <c r="BT54" s="246"/>
      <c r="BU54" s="247"/>
      <c r="BV54" s="247"/>
      <c r="BW54" s="248"/>
      <c r="BX54" s="246"/>
      <c r="BY54" s="247"/>
      <c r="BZ54" s="247"/>
      <c r="CA54" s="248"/>
      <c r="CB54" s="246"/>
      <c r="CC54" s="243"/>
      <c r="CD54" s="243"/>
      <c r="CE54" s="248"/>
      <c r="CF54" s="246"/>
      <c r="CG54" s="247"/>
      <c r="CH54" s="247"/>
      <c r="CI54" s="248"/>
      <c r="CJ54" s="246"/>
      <c r="CK54" s="247"/>
      <c r="CL54" s="247"/>
      <c r="CM54" s="249"/>
    </row>
    <row r="55" spans="1:91">
      <c r="A55" s="302" t="s">
        <v>343</v>
      </c>
      <c r="B55" s="295">
        <v>36</v>
      </c>
      <c r="C55" s="287" t="s">
        <v>357</v>
      </c>
      <c r="D55" s="296"/>
      <c r="E55" s="247"/>
      <c r="F55" s="247"/>
      <c r="G55" s="248"/>
      <c r="H55" s="246"/>
      <c r="I55" s="247"/>
      <c r="J55" s="247"/>
      <c r="K55" s="248"/>
      <c r="L55" s="246"/>
      <c r="M55" s="247"/>
      <c r="N55" s="247"/>
      <c r="O55" s="248"/>
      <c r="P55" s="246"/>
      <c r="Q55" s="247"/>
      <c r="R55" s="247"/>
      <c r="S55" s="248"/>
      <c r="T55" s="246"/>
      <c r="U55" s="247"/>
      <c r="V55" s="247"/>
      <c r="W55" s="248"/>
      <c r="X55" s="246"/>
      <c r="Y55" s="247"/>
      <c r="Z55" s="247"/>
      <c r="AA55" s="248"/>
      <c r="AB55" s="246"/>
      <c r="AC55" s="247"/>
      <c r="AD55" s="247"/>
      <c r="AE55" s="248"/>
      <c r="AF55" s="246"/>
      <c r="AG55" s="247"/>
      <c r="AH55" s="247"/>
      <c r="AI55" s="248"/>
      <c r="AJ55" s="246"/>
      <c r="AK55" s="247"/>
      <c r="AL55" s="247"/>
      <c r="AM55" s="248"/>
      <c r="AN55" s="246"/>
      <c r="AO55" s="247"/>
      <c r="AP55" s="247"/>
      <c r="AQ55" s="248"/>
      <c r="AR55" s="246"/>
      <c r="AS55" s="247"/>
      <c r="AT55" s="247"/>
      <c r="AU55" s="248"/>
      <c r="AV55" s="246"/>
      <c r="AW55" s="247"/>
      <c r="AX55" s="247"/>
      <c r="AY55" s="248"/>
      <c r="AZ55" s="246"/>
      <c r="BA55" s="247"/>
      <c r="BB55" s="247"/>
      <c r="BC55" s="248"/>
      <c r="BD55" s="246"/>
      <c r="BE55" s="247"/>
      <c r="BF55" s="247"/>
      <c r="BG55" s="248"/>
      <c r="BH55" s="246"/>
      <c r="BI55" s="247"/>
      <c r="BJ55" s="247"/>
      <c r="BK55" s="248"/>
      <c r="BL55" s="246"/>
      <c r="BM55" s="247"/>
      <c r="BN55" s="247"/>
      <c r="BO55" s="248"/>
      <c r="BP55" s="246"/>
      <c r="BQ55" s="247"/>
      <c r="BR55" s="247"/>
      <c r="BS55" s="248"/>
      <c r="BT55" s="246"/>
      <c r="BU55" s="247"/>
      <c r="BV55" s="247"/>
      <c r="BW55" s="248"/>
      <c r="BX55" s="246"/>
      <c r="BY55" s="247"/>
      <c r="BZ55" s="247"/>
      <c r="CA55" s="248"/>
      <c r="CB55" s="246"/>
      <c r="CC55" s="247"/>
      <c r="CD55" s="243"/>
      <c r="CE55" s="252"/>
      <c r="CF55" s="242"/>
      <c r="CG55" s="243"/>
      <c r="CH55" s="247"/>
      <c r="CI55" s="248"/>
      <c r="CJ55" s="246"/>
      <c r="CK55" s="247"/>
      <c r="CL55" s="247"/>
      <c r="CM55" s="249"/>
    </row>
    <row r="56" spans="1:91">
      <c r="A56" s="302"/>
      <c r="B56" s="295">
        <v>37</v>
      </c>
      <c r="C56" s="287" t="s">
        <v>381</v>
      </c>
      <c r="D56" s="296"/>
      <c r="E56" s="247"/>
      <c r="F56" s="247"/>
      <c r="G56" s="248"/>
      <c r="H56" s="246"/>
      <c r="I56" s="247"/>
      <c r="J56" s="247"/>
      <c r="K56" s="248"/>
      <c r="L56" s="246"/>
      <c r="M56" s="247"/>
      <c r="N56" s="247"/>
      <c r="O56" s="248"/>
      <c r="P56" s="246"/>
      <c r="Q56" s="247"/>
      <c r="R56" s="247"/>
      <c r="S56" s="248"/>
      <c r="T56" s="246"/>
      <c r="U56" s="247"/>
      <c r="V56" s="247"/>
      <c r="W56" s="248"/>
      <c r="X56" s="246"/>
      <c r="Y56" s="247"/>
      <c r="Z56" s="247"/>
      <c r="AA56" s="248"/>
      <c r="AB56" s="246"/>
      <c r="AC56" s="247"/>
      <c r="AD56" s="247"/>
      <c r="AE56" s="248"/>
      <c r="AF56" s="246"/>
      <c r="AG56" s="247"/>
      <c r="AH56" s="247"/>
      <c r="AI56" s="248"/>
      <c r="AJ56" s="246"/>
      <c r="AK56" s="247"/>
      <c r="AL56" s="247"/>
      <c r="AM56" s="248"/>
      <c r="AN56" s="246"/>
      <c r="AO56" s="247"/>
      <c r="AP56" s="247"/>
      <c r="AQ56" s="248"/>
      <c r="AR56" s="246"/>
      <c r="AS56" s="247"/>
      <c r="AT56" s="247"/>
      <c r="AU56" s="248"/>
      <c r="AV56" s="246"/>
      <c r="AW56" s="247"/>
      <c r="AX56" s="247"/>
      <c r="AY56" s="248"/>
      <c r="AZ56" s="246"/>
      <c r="BA56" s="247"/>
      <c r="BB56" s="247"/>
      <c r="BC56" s="248"/>
      <c r="BD56" s="246"/>
      <c r="BE56" s="247"/>
      <c r="BF56" s="247"/>
      <c r="BG56" s="248"/>
      <c r="BH56" s="246"/>
      <c r="BI56" s="247"/>
      <c r="BJ56" s="247"/>
      <c r="BK56" s="248"/>
      <c r="BL56" s="246"/>
      <c r="BM56" s="247"/>
      <c r="BN56" s="247"/>
      <c r="BO56" s="248"/>
      <c r="BP56" s="246"/>
      <c r="BQ56" s="247"/>
      <c r="BR56" s="247"/>
      <c r="BS56" s="248"/>
      <c r="BT56" s="246"/>
      <c r="BU56" s="247"/>
      <c r="BV56" s="247"/>
      <c r="BW56" s="248"/>
      <c r="BX56" s="246"/>
      <c r="BY56" s="247"/>
      <c r="BZ56" s="247"/>
      <c r="CA56" s="248"/>
      <c r="CB56" s="246"/>
      <c r="CC56" s="247"/>
      <c r="CD56" s="247"/>
      <c r="CE56" s="248"/>
      <c r="CF56" s="242"/>
      <c r="CG56" s="243"/>
      <c r="CH56" s="243"/>
      <c r="CI56" s="248"/>
      <c r="CJ56" s="246"/>
      <c r="CK56" s="247"/>
      <c r="CL56" s="247"/>
      <c r="CM56" s="249"/>
    </row>
    <row r="57" spans="1:91">
      <c r="A57" s="302"/>
      <c r="B57" s="295">
        <v>38</v>
      </c>
      <c r="C57" s="287" t="s">
        <v>358</v>
      </c>
      <c r="D57" s="296"/>
      <c r="E57" s="247"/>
      <c r="F57" s="247"/>
      <c r="G57" s="248"/>
      <c r="H57" s="246"/>
      <c r="I57" s="247"/>
      <c r="J57" s="247"/>
      <c r="K57" s="248"/>
      <c r="L57" s="246"/>
      <c r="M57" s="247"/>
      <c r="N57" s="247"/>
      <c r="O57" s="248"/>
      <c r="P57" s="246"/>
      <c r="Q57" s="247"/>
      <c r="R57" s="247"/>
      <c r="S57" s="248"/>
      <c r="T57" s="246"/>
      <c r="U57" s="247"/>
      <c r="V57" s="247"/>
      <c r="W57" s="248"/>
      <c r="X57" s="246"/>
      <c r="Y57" s="247"/>
      <c r="Z57" s="247"/>
      <c r="AA57" s="248"/>
      <c r="AB57" s="246"/>
      <c r="AC57" s="247"/>
      <c r="AD57" s="247"/>
      <c r="AE57" s="248"/>
      <c r="AF57" s="246"/>
      <c r="AG57" s="247"/>
      <c r="AH57" s="247"/>
      <c r="AI57" s="248"/>
      <c r="AJ57" s="246"/>
      <c r="AK57" s="247"/>
      <c r="AL57" s="247"/>
      <c r="AM57" s="248"/>
      <c r="AN57" s="246"/>
      <c r="AO57" s="247"/>
      <c r="AP57" s="247"/>
      <c r="AQ57" s="248"/>
      <c r="AR57" s="246"/>
      <c r="AS57" s="247"/>
      <c r="AT57" s="247"/>
      <c r="AU57" s="248"/>
      <c r="AV57" s="246"/>
      <c r="AW57" s="247"/>
      <c r="AX57" s="247"/>
      <c r="AY57" s="248"/>
      <c r="AZ57" s="246"/>
      <c r="BA57" s="247"/>
      <c r="BB57" s="247"/>
      <c r="BC57" s="248"/>
      <c r="BD57" s="246"/>
      <c r="BE57" s="247"/>
      <c r="BF57" s="247"/>
      <c r="BG57" s="248"/>
      <c r="BH57" s="246"/>
      <c r="BI57" s="247"/>
      <c r="BJ57" s="247"/>
      <c r="BK57" s="248"/>
      <c r="BL57" s="246"/>
      <c r="BM57" s="247"/>
      <c r="BN57" s="247"/>
      <c r="BO57" s="248"/>
      <c r="BP57" s="246"/>
      <c r="BQ57" s="247"/>
      <c r="BR57" s="247"/>
      <c r="BS57" s="248"/>
      <c r="BT57" s="246"/>
      <c r="BU57" s="247"/>
      <c r="BV57" s="247"/>
      <c r="BW57" s="248"/>
      <c r="BX57" s="246"/>
      <c r="BY57" s="247"/>
      <c r="BZ57" s="247"/>
      <c r="CA57" s="248"/>
      <c r="CB57" s="246"/>
      <c r="CC57" s="247"/>
      <c r="CD57" s="247"/>
      <c r="CE57" s="248"/>
      <c r="CF57" s="246"/>
      <c r="CG57" s="243"/>
      <c r="CH57" s="243"/>
      <c r="CI57" s="248"/>
      <c r="CJ57" s="246"/>
      <c r="CK57" s="247"/>
      <c r="CL57" s="247"/>
      <c r="CM57" s="249"/>
    </row>
    <row r="58" spans="1:91">
      <c r="A58" s="302"/>
      <c r="B58" s="295">
        <v>39</v>
      </c>
      <c r="C58" s="287" t="s">
        <v>359</v>
      </c>
      <c r="D58" s="296"/>
      <c r="E58" s="247"/>
      <c r="F58" s="247"/>
      <c r="G58" s="248"/>
      <c r="H58" s="246"/>
      <c r="I58" s="247"/>
      <c r="J58" s="247"/>
      <c r="K58" s="248"/>
      <c r="L58" s="246"/>
      <c r="M58" s="247"/>
      <c r="N58" s="247"/>
      <c r="O58" s="248"/>
      <c r="P58" s="246"/>
      <c r="Q58" s="247"/>
      <c r="R58" s="247"/>
      <c r="S58" s="248"/>
      <c r="T58" s="246"/>
      <c r="U58" s="247"/>
      <c r="V58" s="247"/>
      <c r="W58" s="248"/>
      <c r="X58" s="246"/>
      <c r="Y58" s="247"/>
      <c r="Z58" s="247"/>
      <c r="AA58" s="248"/>
      <c r="AB58" s="246"/>
      <c r="AC58" s="247"/>
      <c r="AD58" s="247"/>
      <c r="AE58" s="248"/>
      <c r="AF58" s="246"/>
      <c r="AG58" s="247"/>
      <c r="AH58" s="247"/>
      <c r="AI58" s="248"/>
      <c r="AJ58" s="246"/>
      <c r="AK58" s="247"/>
      <c r="AL58" s="247"/>
      <c r="AM58" s="248"/>
      <c r="AN58" s="246"/>
      <c r="AO58" s="247"/>
      <c r="AP58" s="247"/>
      <c r="AQ58" s="248"/>
      <c r="AR58" s="246"/>
      <c r="AS58" s="247"/>
      <c r="AT58" s="247"/>
      <c r="AU58" s="248"/>
      <c r="AV58" s="246"/>
      <c r="AW58" s="247"/>
      <c r="AX58" s="247"/>
      <c r="AY58" s="248"/>
      <c r="AZ58" s="246"/>
      <c r="BA58" s="247"/>
      <c r="BB58" s="247"/>
      <c r="BC58" s="248"/>
      <c r="BD58" s="246"/>
      <c r="BE58" s="247"/>
      <c r="BF58" s="247"/>
      <c r="BG58" s="248"/>
      <c r="BH58" s="246"/>
      <c r="BI58" s="247"/>
      <c r="BJ58" s="247"/>
      <c r="BK58" s="248"/>
      <c r="BL58" s="246"/>
      <c r="BM58" s="247"/>
      <c r="BN58" s="247"/>
      <c r="BO58" s="248"/>
      <c r="BP58" s="246"/>
      <c r="BQ58" s="247"/>
      <c r="BR58" s="247"/>
      <c r="BS58" s="248"/>
      <c r="BT58" s="246"/>
      <c r="BU58" s="247"/>
      <c r="BV58" s="247"/>
      <c r="BW58" s="248"/>
      <c r="BX58" s="246"/>
      <c r="BY58" s="247"/>
      <c r="BZ58" s="247"/>
      <c r="CA58" s="248"/>
      <c r="CB58" s="246"/>
      <c r="CC58" s="247"/>
      <c r="CD58" s="247"/>
      <c r="CE58" s="248"/>
      <c r="CF58" s="246"/>
      <c r="CG58" s="247"/>
      <c r="CH58" s="243"/>
      <c r="CI58" s="252"/>
      <c r="CJ58" s="246"/>
      <c r="CK58" s="247"/>
      <c r="CL58" s="247"/>
      <c r="CM58" s="249"/>
    </row>
    <row r="59" spans="1:91">
      <c r="A59" s="302"/>
      <c r="B59" s="295">
        <v>40</v>
      </c>
      <c r="C59" s="287" t="s">
        <v>360</v>
      </c>
      <c r="D59" s="296"/>
      <c r="E59" s="247"/>
      <c r="F59" s="247"/>
      <c r="G59" s="248"/>
      <c r="H59" s="246"/>
      <c r="I59" s="247"/>
      <c r="J59" s="247"/>
      <c r="K59" s="248"/>
      <c r="L59" s="246"/>
      <c r="M59" s="247"/>
      <c r="N59" s="247"/>
      <c r="O59" s="248"/>
      <c r="P59" s="246"/>
      <c r="Q59" s="247"/>
      <c r="R59" s="247"/>
      <c r="S59" s="248"/>
      <c r="T59" s="246"/>
      <c r="U59" s="247"/>
      <c r="V59" s="247"/>
      <c r="W59" s="248"/>
      <c r="X59" s="246"/>
      <c r="Y59" s="247"/>
      <c r="Z59" s="247"/>
      <c r="AA59" s="248"/>
      <c r="AB59" s="246"/>
      <c r="AC59" s="247"/>
      <c r="AD59" s="247"/>
      <c r="AE59" s="248"/>
      <c r="AF59" s="246"/>
      <c r="AG59" s="247"/>
      <c r="AH59" s="247"/>
      <c r="AI59" s="248"/>
      <c r="AJ59" s="246"/>
      <c r="AK59" s="247"/>
      <c r="AL59" s="247"/>
      <c r="AM59" s="248"/>
      <c r="AN59" s="246"/>
      <c r="AO59" s="247"/>
      <c r="AP59" s="247"/>
      <c r="AQ59" s="248"/>
      <c r="AR59" s="246"/>
      <c r="AS59" s="247"/>
      <c r="AT59" s="247"/>
      <c r="AU59" s="248"/>
      <c r="AV59" s="246"/>
      <c r="AW59" s="247"/>
      <c r="AX59" s="247"/>
      <c r="AY59" s="248"/>
      <c r="AZ59" s="246"/>
      <c r="BA59" s="247"/>
      <c r="BB59" s="247"/>
      <c r="BC59" s="248"/>
      <c r="BD59" s="246"/>
      <c r="BE59" s="247"/>
      <c r="BF59" s="247"/>
      <c r="BG59" s="248"/>
      <c r="BH59" s="246"/>
      <c r="BI59" s="247"/>
      <c r="BJ59" s="247"/>
      <c r="BK59" s="248"/>
      <c r="BL59" s="246"/>
      <c r="BM59" s="247"/>
      <c r="BN59" s="247"/>
      <c r="BO59" s="248"/>
      <c r="BP59" s="246"/>
      <c r="BQ59" s="247"/>
      <c r="BR59" s="247"/>
      <c r="BS59" s="248"/>
      <c r="BT59" s="246"/>
      <c r="BU59" s="247"/>
      <c r="BV59" s="247"/>
      <c r="BW59" s="248"/>
      <c r="BX59" s="246"/>
      <c r="BY59" s="247"/>
      <c r="BZ59" s="247"/>
      <c r="CA59" s="248"/>
      <c r="CB59" s="246"/>
      <c r="CC59" s="247"/>
      <c r="CD59" s="247"/>
      <c r="CE59" s="248"/>
      <c r="CF59" s="246"/>
      <c r="CG59" s="247"/>
      <c r="CH59" s="243"/>
      <c r="CI59" s="252"/>
      <c r="CJ59" s="242"/>
      <c r="CK59" s="243"/>
      <c r="CL59" s="247"/>
      <c r="CM59" s="249"/>
    </row>
    <row r="60" spans="1:91" ht="14.5" thickBot="1">
      <c r="A60" s="302"/>
      <c r="B60" s="295">
        <v>41</v>
      </c>
      <c r="C60" s="287" t="s">
        <v>361</v>
      </c>
      <c r="D60" s="296"/>
      <c r="E60" s="247"/>
      <c r="F60" s="247"/>
      <c r="G60" s="248"/>
      <c r="H60" s="246"/>
      <c r="I60" s="247"/>
      <c r="J60" s="247"/>
      <c r="K60" s="248"/>
      <c r="L60" s="246"/>
      <c r="M60" s="247"/>
      <c r="N60" s="247"/>
      <c r="O60" s="248"/>
      <c r="P60" s="246"/>
      <c r="Q60" s="247"/>
      <c r="R60" s="247"/>
      <c r="S60" s="248"/>
      <c r="T60" s="246"/>
      <c r="U60" s="247"/>
      <c r="V60" s="247"/>
      <c r="W60" s="248"/>
      <c r="X60" s="246"/>
      <c r="Y60" s="247"/>
      <c r="Z60" s="247"/>
      <c r="AA60" s="248"/>
      <c r="AB60" s="246"/>
      <c r="AC60" s="247"/>
      <c r="AD60" s="247"/>
      <c r="AE60" s="248"/>
      <c r="AF60" s="246"/>
      <c r="AG60" s="247"/>
      <c r="AH60" s="247"/>
      <c r="AI60" s="248"/>
      <c r="AJ60" s="246"/>
      <c r="AK60" s="247"/>
      <c r="AL60" s="247"/>
      <c r="AM60" s="248"/>
      <c r="AN60" s="246"/>
      <c r="AO60" s="247"/>
      <c r="AP60" s="247"/>
      <c r="AQ60" s="248"/>
      <c r="AR60" s="246"/>
      <c r="AS60" s="247"/>
      <c r="AT60" s="247"/>
      <c r="AU60" s="248"/>
      <c r="AV60" s="246"/>
      <c r="AW60" s="247"/>
      <c r="AX60" s="247"/>
      <c r="AY60" s="248"/>
      <c r="AZ60" s="246"/>
      <c r="BA60" s="247"/>
      <c r="BB60" s="247"/>
      <c r="BC60" s="248"/>
      <c r="BD60" s="246"/>
      <c r="BE60" s="247"/>
      <c r="BF60" s="247"/>
      <c r="BG60" s="248"/>
      <c r="BH60" s="246"/>
      <c r="BI60" s="247"/>
      <c r="BJ60" s="247"/>
      <c r="BK60" s="248"/>
      <c r="BL60" s="246"/>
      <c r="BM60" s="247"/>
      <c r="BN60" s="247"/>
      <c r="BO60" s="248"/>
      <c r="BP60" s="246"/>
      <c r="BQ60" s="247"/>
      <c r="BR60" s="247"/>
      <c r="BS60" s="248"/>
      <c r="BT60" s="246"/>
      <c r="BU60" s="247"/>
      <c r="BV60" s="247"/>
      <c r="BW60" s="248"/>
      <c r="BX60" s="246"/>
      <c r="BY60" s="247"/>
      <c r="BZ60" s="247"/>
      <c r="CA60" s="248"/>
      <c r="CB60" s="246"/>
      <c r="CC60" s="247"/>
      <c r="CD60" s="247"/>
      <c r="CE60" s="248"/>
      <c r="CF60" s="246"/>
      <c r="CG60" s="247"/>
      <c r="CH60" s="247"/>
      <c r="CI60" s="248"/>
      <c r="CJ60" s="242"/>
      <c r="CK60" s="243"/>
      <c r="CL60" s="243"/>
      <c r="CM60" s="303"/>
    </row>
    <row r="61" spans="1:91" ht="14.5" thickBot="1">
      <c r="A61" s="267" t="s">
        <v>372</v>
      </c>
      <c r="B61" s="268"/>
      <c r="C61" s="269" t="s">
        <v>388</v>
      </c>
      <c r="D61" s="315"/>
      <c r="E61" s="271"/>
      <c r="F61" s="271"/>
      <c r="G61" s="272"/>
      <c r="H61" s="273"/>
      <c r="I61" s="271"/>
      <c r="J61" s="271"/>
      <c r="K61" s="272"/>
      <c r="L61" s="273"/>
      <c r="M61" s="271"/>
      <c r="N61" s="271"/>
      <c r="O61" s="272"/>
      <c r="P61" s="273"/>
      <c r="Q61" s="271"/>
      <c r="R61" s="271"/>
      <c r="S61" s="272"/>
      <c r="T61" s="274"/>
      <c r="U61" s="271"/>
      <c r="V61" s="271"/>
      <c r="W61" s="272"/>
      <c r="X61" s="273"/>
      <c r="Y61" s="271"/>
      <c r="Z61" s="271"/>
      <c r="AA61" s="272"/>
      <c r="AB61" s="273"/>
      <c r="AC61" s="271"/>
      <c r="AD61" s="271"/>
      <c r="AE61" s="272"/>
      <c r="AF61" s="273"/>
      <c r="AG61" s="271"/>
      <c r="AH61" s="271"/>
      <c r="AI61" s="272"/>
      <c r="AJ61" s="273"/>
      <c r="AK61" s="271"/>
      <c r="AL61" s="271"/>
      <c r="AM61" s="272"/>
      <c r="AN61" s="273"/>
      <c r="AO61" s="271"/>
      <c r="AP61" s="271"/>
      <c r="AQ61" s="272"/>
      <c r="AR61" s="273"/>
      <c r="AS61" s="271"/>
      <c r="AT61" s="271"/>
      <c r="AU61" s="272"/>
      <c r="AV61" s="273"/>
      <c r="AW61" s="271"/>
      <c r="AX61" s="271"/>
      <c r="AY61" s="272"/>
      <c r="AZ61" s="273"/>
      <c r="BA61" s="271"/>
      <c r="BB61" s="271"/>
      <c r="BC61" s="280"/>
      <c r="BD61" s="273"/>
      <c r="BE61" s="282"/>
      <c r="BF61" s="282"/>
      <c r="BG61" s="272"/>
      <c r="BH61" s="273"/>
      <c r="BI61" s="271"/>
      <c r="BJ61" s="271"/>
      <c r="BK61" s="272"/>
      <c r="BL61" s="273"/>
      <c r="BM61" s="271"/>
      <c r="BN61" s="271"/>
      <c r="BO61" s="272"/>
      <c r="BP61" s="273"/>
      <c r="BQ61" s="271"/>
      <c r="BR61" s="271"/>
      <c r="BS61" s="272"/>
      <c r="BT61" s="273"/>
      <c r="BU61" s="271"/>
      <c r="BV61" s="271"/>
      <c r="BW61" s="272"/>
      <c r="BX61" s="273"/>
      <c r="BY61" s="271"/>
      <c r="BZ61" s="271"/>
      <c r="CA61" s="272"/>
      <c r="CB61" s="273"/>
      <c r="CC61" s="271"/>
      <c r="CD61" s="271"/>
      <c r="CE61" s="304"/>
      <c r="CF61" s="273"/>
      <c r="CG61" s="271"/>
      <c r="CH61" s="271"/>
      <c r="CI61" s="272"/>
      <c r="CJ61" s="273"/>
      <c r="CK61" s="271"/>
      <c r="CL61" s="271"/>
      <c r="CM61" s="279"/>
    </row>
    <row r="62" spans="1:91">
      <c r="A62" s="302"/>
      <c r="B62" s="295">
        <v>42</v>
      </c>
      <c r="C62" s="305" t="s">
        <v>362</v>
      </c>
      <c r="D62" s="296"/>
      <c r="E62" s="247"/>
      <c r="F62" s="247"/>
      <c r="G62" s="248"/>
      <c r="H62" s="246"/>
      <c r="I62" s="247"/>
      <c r="J62" s="247"/>
      <c r="K62" s="248"/>
      <c r="L62" s="246"/>
      <c r="M62" s="247"/>
      <c r="N62" s="247"/>
      <c r="O62" s="248"/>
      <c r="P62" s="246"/>
      <c r="Q62" s="247"/>
      <c r="R62" s="247"/>
      <c r="S62" s="248"/>
      <c r="T62" s="246"/>
      <c r="U62" s="247"/>
      <c r="V62" s="247"/>
      <c r="W62" s="248"/>
      <c r="X62" s="246"/>
      <c r="Y62" s="247"/>
      <c r="Z62" s="247"/>
      <c r="AA62" s="248"/>
      <c r="AB62" s="246"/>
      <c r="AC62" s="247"/>
      <c r="AD62" s="247"/>
      <c r="AE62" s="248"/>
      <c r="AF62" s="246"/>
      <c r="AG62" s="247"/>
      <c r="AH62" s="247"/>
      <c r="AI62" s="248"/>
      <c r="AJ62" s="246"/>
      <c r="AK62" s="247"/>
      <c r="AL62" s="247"/>
      <c r="AM62" s="248"/>
      <c r="AN62" s="246"/>
      <c r="AO62" s="247"/>
      <c r="AP62" s="247"/>
      <c r="AQ62" s="248"/>
      <c r="AR62" s="246"/>
      <c r="AS62" s="247"/>
      <c r="AT62" s="247"/>
      <c r="AU62" s="248"/>
      <c r="AV62" s="246"/>
      <c r="AW62" s="247"/>
      <c r="AX62" s="247"/>
      <c r="AY62" s="248"/>
      <c r="AZ62" s="246"/>
      <c r="BA62" s="247"/>
      <c r="BB62" s="247"/>
      <c r="BC62" s="248"/>
      <c r="BD62" s="246"/>
      <c r="BE62" s="247"/>
      <c r="BF62" s="247"/>
      <c r="BG62" s="248"/>
      <c r="BH62" s="246"/>
      <c r="BI62" s="247"/>
      <c r="BJ62" s="247"/>
      <c r="BK62" s="248"/>
      <c r="BL62" s="246"/>
      <c r="BM62" s="247"/>
      <c r="BN62" s="247"/>
      <c r="BO62" s="248"/>
      <c r="BP62" s="246"/>
      <c r="BQ62" s="247"/>
      <c r="BR62" s="247"/>
      <c r="BS62" s="248"/>
      <c r="BT62" s="246"/>
      <c r="BU62" s="247"/>
      <c r="BV62" s="247"/>
      <c r="BW62" s="248"/>
      <c r="BX62" s="246"/>
      <c r="BY62" s="247"/>
      <c r="BZ62" s="247"/>
      <c r="CA62" s="248"/>
      <c r="CB62" s="246"/>
      <c r="CC62" s="247"/>
      <c r="CD62" s="247"/>
      <c r="CE62" s="248"/>
      <c r="CF62" s="246"/>
      <c r="CG62" s="247"/>
      <c r="CH62" s="247"/>
      <c r="CI62" s="248"/>
      <c r="CJ62" s="246"/>
      <c r="CK62" s="247"/>
      <c r="CL62" s="247"/>
      <c r="CM62" s="249"/>
    </row>
    <row r="63" spans="1:91" ht="14.5" thickBot="1">
      <c r="A63" s="306"/>
      <c r="B63" s="307">
        <v>43</v>
      </c>
      <c r="C63" s="298" t="s">
        <v>363</v>
      </c>
      <c r="D63" s="308"/>
      <c r="E63" s="300"/>
      <c r="F63" s="300"/>
      <c r="G63" s="301"/>
      <c r="H63" s="299"/>
      <c r="I63" s="300"/>
      <c r="J63" s="300"/>
      <c r="K63" s="301"/>
      <c r="L63" s="299"/>
      <c r="M63" s="300"/>
      <c r="N63" s="300"/>
      <c r="O63" s="301"/>
      <c r="P63" s="299"/>
      <c r="Q63" s="300"/>
      <c r="R63" s="300"/>
      <c r="S63" s="301"/>
      <c r="T63" s="299"/>
      <c r="U63" s="300"/>
      <c r="V63" s="300"/>
      <c r="W63" s="301"/>
      <c r="X63" s="299"/>
      <c r="Y63" s="300"/>
      <c r="Z63" s="300"/>
      <c r="AA63" s="301"/>
      <c r="AB63" s="299"/>
      <c r="AC63" s="300"/>
      <c r="AD63" s="300"/>
      <c r="AE63" s="301"/>
      <c r="AF63" s="299"/>
      <c r="AG63" s="300"/>
      <c r="AH63" s="300"/>
      <c r="AI63" s="301"/>
      <c r="AJ63" s="299"/>
      <c r="AK63" s="300"/>
      <c r="AL63" s="300"/>
      <c r="AM63" s="301"/>
      <c r="AN63" s="299"/>
      <c r="AO63" s="300"/>
      <c r="AP63" s="300"/>
      <c r="AQ63" s="301"/>
      <c r="AR63" s="299"/>
      <c r="AS63" s="300"/>
      <c r="AT63" s="300"/>
      <c r="AU63" s="301"/>
      <c r="AV63" s="299"/>
      <c r="AW63" s="300"/>
      <c r="AX63" s="300"/>
      <c r="AY63" s="301"/>
      <c r="AZ63" s="299"/>
      <c r="BA63" s="300"/>
      <c r="BB63" s="300"/>
      <c r="BC63" s="301"/>
      <c r="BD63" s="299"/>
      <c r="BE63" s="300"/>
      <c r="BF63" s="300"/>
      <c r="BG63" s="301"/>
      <c r="BH63" s="299"/>
      <c r="BI63" s="300"/>
      <c r="BJ63" s="300"/>
      <c r="BK63" s="301"/>
      <c r="BL63" s="299"/>
      <c r="BM63" s="300"/>
      <c r="BN63" s="300"/>
      <c r="BO63" s="301"/>
      <c r="BP63" s="299"/>
      <c r="BQ63" s="300"/>
      <c r="BR63" s="300"/>
      <c r="BS63" s="301"/>
      <c r="BT63" s="299"/>
      <c r="BU63" s="300"/>
      <c r="BV63" s="300"/>
      <c r="BW63" s="301"/>
      <c r="BX63" s="299"/>
      <c r="BY63" s="300"/>
      <c r="BZ63" s="300"/>
      <c r="CA63" s="301"/>
      <c r="CB63" s="299"/>
      <c r="CC63" s="300"/>
      <c r="CD63" s="300"/>
      <c r="CE63" s="301"/>
      <c r="CF63" s="299"/>
      <c r="CG63" s="300"/>
      <c r="CH63" s="300"/>
      <c r="CI63" s="301"/>
      <c r="CJ63" s="299"/>
      <c r="CK63" s="300"/>
      <c r="CL63" s="300"/>
      <c r="CM63" s="309"/>
    </row>
    <row r="64" spans="1:91">
      <c r="U64" s="233">
        <v>135</v>
      </c>
      <c r="AG64">
        <v>225</v>
      </c>
      <c r="AU64">
        <v>330</v>
      </c>
      <c r="BC64">
        <v>390</v>
      </c>
      <c r="CE64">
        <v>600</v>
      </c>
      <c r="CM64">
        <v>660</v>
      </c>
    </row>
    <row r="66" spans="2:6">
      <c r="B66" s="310"/>
      <c r="C66" s="311" t="s">
        <v>211</v>
      </c>
    </row>
    <row r="67" spans="2:6">
      <c r="B67" s="310">
        <v>1</v>
      </c>
      <c r="C67" s="312" t="s">
        <v>383</v>
      </c>
      <c r="F67" s="313"/>
    </row>
    <row r="68" spans="2:6">
      <c r="B68" s="310">
        <v>2</v>
      </c>
      <c r="C68" s="312" t="s">
        <v>384</v>
      </c>
    </row>
    <row r="69" spans="2:6">
      <c r="B69" s="310">
        <v>3</v>
      </c>
      <c r="C69" s="312" t="s">
        <v>385</v>
      </c>
    </row>
    <row r="70" spans="2:6">
      <c r="B70" s="310">
        <v>4</v>
      </c>
      <c r="C70" s="312" t="s">
        <v>386</v>
      </c>
    </row>
    <row r="71" spans="2:6">
      <c r="B71" s="310">
        <v>5</v>
      </c>
      <c r="C71" s="312" t="s">
        <v>387</v>
      </c>
    </row>
    <row r="72" spans="2:6">
      <c r="B72" s="310">
        <v>6</v>
      </c>
      <c r="C72" s="312" t="s">
        <v>388</v>
      </c>
    </row>
  </sheetData>
  <mergeCells count="45">
    <mergeCell ref="A51:C51"/>
    <mergeCell ref="A52:A54"/>
    <mergeCell ref="A43:A45"/>
    <mergeCell ref="A46:A47"/>
    <mergeCell ref="A48:A49"/>
    <mergeCell ref="A31:A33"/>
    <mergeCell ref="A34:A40"/>
    <mergeCell ref="A42:C42"/>
    <mergeCell ref="A25:A26"/>
    <mergeCell ref="A27:A28"/>
    <mergeCell ref="A30:C30"/>
    <mergeCell ref="A17:A19"/>
    <mergeCell ref="A21:C21"/>
    <mergeCell ref="A22:A24"/>
    <mergeCell ref="A13:C13"/>
    <mergeCell ref="A14:A15"/>
    <mergeCell ref="A16:C16"/>
    <mergeCell ref="CF1:CI1"/>
    <mergeCell ref="CJ1:CM1"/>
    <mergeCell ref="AR1:AU1"/>
    <mergeCell ref="AV1:AY1"/>
    <mergeCell ref="AZ1:BC1"/>
    <mergeCell ref="BD1:BG1"/>
    <mergeCell ref="BH1:BK1"/>
    <mergeCell ref="BX1:CA1"/>
    <mergeCell ref="CB1:CE1"/>
    <mergeCell ref="BL1:BO1"/>
    <mergeCell ref="BP1:BS1"/>
    <mergeCell ref="BT1:BW1"/>
    <mergeCell ref="A3:C3"/>
    <mergeCell ref="A5:A6"/>
    <mergeCell ref="A7:C7"/>
    <mergeCell ref="X1:AA1"/>
    <mergeCell ref="AB1:AE1"/>
    <mergeCell ref="A1:A2"/>
    <mergeCell ref="B1:B2"/>
    <mergeCell ref="C1:C2"/>
    <mergeCell ref="AF1:AI1"/>
    <mergeCell ref="AJ1:AM1"/>
    <mergeCell ref="AN1:AQ1"/>
    <mergeCell ref="D1:G1"/>
    <mergeCell ref="P1:S1"/>
    <mergeCell ref="T1:W1"/>
    <mergeCell ref="H1:K1"/>
    <mergeCell ref="L1:O1"/>
  </mergeCells>
  <pageMargins left="0.7" right="0.7" top="0.75" bottom="0.75" header="0.3" footer="0.3"/>
  <pageSetup paperSize="9" orientation="portrait" horizont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E1C56-0911-413F-9F26-4BF6B918DAAF}">
  <dimension ref="A1:F21"/>
  <sheetViews>
    <sheetView topLeftCell="A14" workbookViewId="0">
      <selection activeCell="B18" sqref="B18"/>
    </sheetView>
  </sheetViews>
  <sheetFormatPr defaultRowHeight="14"/>
  <cols>
    <col min="2" max="2" width="33" customWidth="1"/>
    <col min="3" max="3" width="24.58203125" customWidth="1"/>
    <col min="4" max="4" width="14.33203125" customWidth="1"/>
    <col min="5" max="5" width="15.08203125" customWidth="1"/>
    <col min="6" max="6" width="21.75" customWidth="1"/>
  </cols>
  <sheetData>
    <row r="1" spans="1:6" ht="21" thickBot="1">
      <c r="A1" s="338" t="s">
        <v>389</v>
      </c>
    </row>
    <row r="2" spans="1:6" ht="20.5">
      <c r="A2" s="400" t="s">
        <v>390</v>
      </c>
      <c r="B2" s="400" t="s">
        <v>391</v>
      </c>
      <c r="C2" s="400" t="s">
        <v>392</v>
      </c>
      <c r="D2" s="339" t="s">
        <v>393</v>
      </c>
      <c r="E2" s="400" t="s">
        <v>395</v>
      </c>
      <c r="F2" s="400" t="s">
        <v>396</v>
      </c>
    </row>
    <row r="3" spans="1:6" ht="21" thickBot="1">
      <c r="A3" s="401"/>
      <c r="B3" s="401"/>
      <c r="C3" s="401"/>
      <c r="D3" s="340" t="s">
        <v>394</v>
      </c>
      <c r="E3" s="401"/>
      <c r="F3" s="401"/>
    </row>
    <row r="4" spans="1:6" ht="22" thickBot="1">
      <c r="A4" s="341">
        <v>1</v>
      </c>
      <c r="B4" s="342" t="s">
        <v>397</v>
      </c>
      <c r="C4" s="342" t="s">
        <v>398</v>
      </c>
      <c r="D4" s="342" t="s">
        <v>399</v>
      </c>
      <c r="E4" s="342" t="s">
        <v>400</v>
      </c>
      <c r="F4" s="342" t="s">
        <v>401</v>
      </c>
    </row>
    <row r="5" spans="1:6" ht="22" thickBot="1">
      <c r="A5" s="341">
        <v>2</v>
      </c>
      <c r="B5" s="342" t="s">
        <v>402</v>
      </c>
      <c r="C5" s="342" t="s">
        <v>398</v>
      </c>
      <c r="D5" s="342" t="s">
        <v>399</v>
      </c>
      <c r="E5" s="342">
        <v>952516253</v>
      </c>
      <c r="F5" s="342" t="s">
        <v>403</v>
      </c>
    </row>
    <row r="6" spans="1:6" ht="22" thickBot="1">
      <c r="A6" s="341">
        <v>3</v>
      </c>
      <c r="B6" s="342" t="s">
        <v>404</v>
      </c>
      <c r="C6" s="342" t="s">
        <v>405</v>
      </c>
      <c r="D6" s="342" t="s">
        <v>399</v>
      </c>
      <c r="E6" s="342" t="s">
        <v>406</v>
      </c>
      <c r="F6" s="342" t="s">
        <v>407</v>
      </c>
    </row>
    <row r="7" spans="1:6" ht="22" thickBot="1">
      <c r="A7" s="341">
        <v>4</v>
      </c>
      <c r="B7" s="342" t="s">
        <v>408</v>
      </c>
      <c r="C7" s="342" t="s">
        <v>409</v>
      </c>
      <c r="D7" s="342" t="s">
        <v>399</v>
      </c>
      <c r="E7" s="342" t="s">
        <v>410</v>
      </c>
      <c r="F7" s="342" t="s">
        <v>411</v>
      </c>
    </row>
    <row r="8" spans="1:6" ht="22" thickBot="1">
      <c r="A8" s="341">
        <v>5</v>
      </c>
      <c r="B8" s="342" t="s">
        <v>412</v>
      </c>
      <c r="C8" s="342" t="s">
        <v>409</v>
      </c>
      <c r="D8" s="342" t="s">
        <v>399</v>
      </c>
      <c r="E8" s="342" t="s">
        <v>413</v>
      </c>
      <c r="F8" s="342" t="s">
        <v>414</v>
      </c>
    </row>
    <row r="9" spans="1:6" ht="22" thickBot="1">
      <c r="A9" s="341">
        <v>6</v>
      </c>
      <c r="B9" s="342" t="s">
        <v>415</v>
      </c>
      <c r="C9" s="342" t="s">
        <v>409</v>
      </c>
      <c r="D9" s="342" t="s">
        <v>399</v>
      </c>
      <c r="E9" s="342" t="s">
        <v>413</v>
      </c>
      <c r="F9" s="342" t="s">
        <v>416</v>
      </c>
    </row>
    <row r="10" spans="1:6" ht="22" thickBot="1">
      <c r="A10" s="341">
        <v>7</v>
      </c>
      <c r="B10" s="342" t="s">
        <v>417</v>
      </c>
      <c r="C10" s="342" t="s">
        <v>418</v>
      </c>
      <c r="D10" s="342" t="s">
        <v>399</v>
      </c>
      <c r="E10" s="342" t="s">
        <v>419</v>
      </c>
      <c r="F10" s="342" t="s">
        <v>420</v>
      </c>
    </row>
    <row r="11" spans="1:6" ht="22" thickBot="1">
      <c r="A11" s="341">
        <v>8</v>
      </c>
      <c r="B11" s="342" t="s">
        <v>421</v>
      </c>
      <c r="C11" s="342" t="s">
        <v>418</v>
      </c>
      <c r="D11" s="342" t="s">
        <v>399</v>
      </c>
      <c r="E11" s="342" t="s">
        <v>422</v>
      </c>
      <c r="F11" s="342" t="s">
        <v>423</v>
      </c>
    </row>
    <row r="12" spans="1:6" ht="22" thickBot="1">
      <c r="A12" s="341">
        <v>9</v>
      </c>
      <c r="B12" s="342" t="s">
        <v>424</v>
      </c>
      <c r="C12" s="342" t="s">
        <v>425</v>
      </c>
      <c r="D12" s="342" t="s">
        <v>426</v>
      </c>
      <c r="E12" s="342" t="s">
        <v>427</v>
      </c>
      <c r="F12" s="342" t="s">
        <v>428</v>
      </c>
    </row>
    <row r="13" spans="1:6" ht="22" thickBot="1">
      <c r="A13" s="341">
        <v>10</v>
      </c>
      <c r="B13" s="342" t="s">
        <v>429</v>
      </c>
      <c r="C13" s="342" t="s">
        <v>405</v>
      </c>
      <c r="D13" s="342" t="s">
        <v>426</v>
      </c>
      <c r="E13" s="342" t="s">
        <v>430</v>
      </c>
      <c r="F13" s="342" t="s">
        <v>431</v>
      </c>
    </row>
    <row r="14" spans="1:6" ht="22" thickBot="1">
      <c r="A14" s="341">
        <v>11</v>
      </c>
      <c r="B14" s="342" t="s">
        <v>432</v>
      </c>
      <c r="C14" s="342" t="s">
        <v>244</v>
      </c>
      <c r="D14" s="342" t="s">
        <v>426</v>
      </c>
      <c r="E14" s="342" t="s">
        <v>433</v>
      </c>
      <c r="F14" s="342" t="s">
        <v>434</v>
      </c>
    </row>
    <row r="15" spans="1:6" ht="43.5" thickBot="1">
      <c r="A15" s="341">
        <v>12</v>
      </c>
      <c r="B15" s="342" t="s">
        <v>435</v>
      </c>
      <c r="C15" s="342" t="s">
        <v>436</v>
      </c>
      <c r="D15" s="342" t="s">
        <v>426</v>
      </c>
      <c r="E15" s="342" t="s">
        <v>437</v>
      </c>
      <c r="F15" s="342" t="s">
        <v>438</v>
      </c>
    </row>
    <row r="16" spans="1:6" ht="22" thickBot="1">
      <c r="A16" s="341">
        <v>13</v>
      </c>
      <c r="B16" s="342" t="s">
        <v>439</v>
      </c>
      <c r="C16" s="342" t="s">
        <v>440</v>
      </c>
      <c r="D16" s="342" t="s">
        <v>426</v>
      </c>
      <c r="E16" s="342" t="s">
        <v>441</v>
      </c>
      <c r="F16" s="342" t="s">
        <v>442</v>
      </c>
    </row>
    <row r="17" spans="1:6" ht="22" thickBot="1">
      <c r="A17" s="341">
        <v>14</v>
      </c>
      <c r="B17" s="342" t="s">
        <v>443</v>
      </c>
      <c r="C17" s="342" t="s">
        <v>440</v>
      </c>
      <c r="D17" s="342" t="s">
        <v>426</v>
      </c>
      <c r="E17" s="342" t="s">
        <v>444</v>
      </c>
      <c r="F17" s="342" t="s">
        <v>445</v>
      </c>
    </row>
    <row r="18" spans="1:6" ht="22" thickBot="1">
      <c r="A18" s="341">
        <v>15</v>
      </c>
      <c r="B18" s="342" t="s">
        <v>446</v>
      </c>
      <c r="C18" s="342" t="s">
        <v>447</v>
      </c>
      <c r="D18" s="342" t="s">
        <v>426</v>
      </c>
      <c r="E18" s="342" t="s">
        <v>448</v>
      </c>
      <c r="F18" s="342" t="s">
        <v>449</v>
      </c>
    </row>
    <row r="19" spans="1:6" ht="22" thickBot="1">
      <c r="A19" s="341">
        <v>16</v>
      </c>
      <c r="B19" s="342" t="s">
        <v>450</v>
      </c>
      <c r="C19" s="342" t="s">
        <v>447</v>
      </c>
      <c r="D19" s="342" t="s">
        <v>426</v>
      </c>
      <c r="E19" s="342" t="s">
        <v>451</v>
      </c>
      <c r="F19" s="342" t="s">
        <v>452</v>
      </c>
    </row>
    <row r="20" spans="1:6" ht="22" thickBot="1">
      <c r="A20" s="341">
        <v>17</v>
      </c>
      <c r="B20" s="342" t="s">
        <v>453</v>
      </c>
      <c r="C20" s="342" t="s">
        <v>454</v>
      </c>
      <c r="D20" s="342" t="s">
        <v>426</v>
      </c>
      <c r="E20" s="342" t="s">
        <v>455</v>
      </c>
      <c r="F20" s="342" t="s">
        <v>456</v>
      </c>
    </row>
    <row r="21" spans="1:6" ht="22" thickBot="1">
      <c r="A21" s="341">
        <v>18</v>
      </c>
      <c r="B21" s="342" t="s">
        <v>457</v>
      </c>
      <c r="C21" s="342" t="s">
        <v>458</v>
      </c>
      <c r="D21" s="342" t="s">
        <v>426</v>
      </c>
      <c r="E21" s="342" t="s">
        <v>459</v>
      </c>
      <c r="F21" s="342" t="s">
        <v>460</v>
      </c>
    </row>
  </sheetData>
  <mergeCells count="5">
    <mergeCell ref="A2:A3"/>
    <mergeCell ref="B2:B3"/>
    <mergeCell ref="C2:C3"/>
    <mergeCell ref="E2:E3"/>
    <mergeCell ref="F2: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9EB19-444D-4902-A6FE-AB6B2589C61F}">
  <dimension ref="A1:P67"/>
  <sheetViews>
    <sheetView topLeftCell="B15" zoomScale="85" zoomScaleNormal="85" workbookViewId="0">
      <selection activeCell="F51" sqref="F51"/>
    </sheetView>
  </sheetViews>
  <sheetFormatPr defaultColWidth="8.75" defaultRowHeight="21.5"/>
  <cols>
    <col min="1" max="1" width="4.75" style="215" customWidth="1"/>
    <col min="2" max="2" width="32.25" style="215" customWidth="1"/>
    <col min="3" max="3" width="12" style="215" customWidth="1"/>
    <col min="4" max="4" width="10.25" style="215" customWidth="1"/>
    <col min="5" max="5" width="37.08203125" style="215" customWidth="1"/>
    <col min="6" max="6" width="20" style="215" customWidth="1"/>
    <col min="7" max="7" width="17.25" style="215" customWidth="1"/>
    <col min="8" max="8" width="31.25" style="215" customWidth="1"/>
    <col min="9" max="9" width="9.58203125" style="215" bestFit="1" customWidth="1"/>
    <col min="10" max="16384" width="8.75" style="215"/>
  </cols>
  <sheetData>
    <row r="1" spans="1:16" ht="22.9" customHeight="1" thickBot="1">
      <c r="A1" s="410" t="s">
        <v>213</v>
      </c>
      <c r="B1" s="410"/>
      <c r="C1" s="410"/>
      <c r="D1" s="410"/>
      <c r="E1" s="410"/>
      <c r="F1" s="410"/>
      <c r="G1" s="410"/>
      <c r="H1" s="410"/>
      <c r="I1" s="214"/>
      <c r="J1" s="214"/>
      <c r="K1" s="214"/>
      <c r="L1" s="214"/>
      <c r="M1" s="214"/>
      <c r="N1" s="214"/>
      <c r="O1" s="214"/>
      <c r="P1" s="214"/>
    </row>
    <row r="2" spans="1:16" ht="22.9" customHeight="1" thickBot="1">
      <c r="A2" s="407" t="s">
        <v>214</v>
      </c>
      <c r="B2" s="407"/>
      <c r="C2" s="411" t="s">
        <v>215</v>
      </c>
      <c r="D2" s="412"/>
      <c r="E2" s="413"/>
      <c r="F2" s="413"/>
      <c r="G2" s="413"/>
      <c r="H2" s="414"/>
      <c r="I2" s="214"/>
      <c r="J2" s="214"/>
      <c r="K2" s="214"/>
      <c r="L2" s="214"/>
      <c r="M2" s="214"/>
      <c r="N2" s="214"/>
      <c r="O2" s="214"/>
      <c r="P2" s="214"/>
    </row>
    <row r="3" spans="1:16" ht="22.9" customHeight="1">
      <c r="A3" s="407" t="s">
        <v>216</v>
      </c>
      <c r="B3" s="407"/>
      <c r="C3" s="404" t="s">
        <v>217</v>
      </c>
      <c r="D3" s="404"/>
      <c r="E3" s="405"/>
      <c r="F3" s="405"/>
      <c r="G3" s="405"/>
      <c r="H3" s="406"/>
      <c r="I3" s="214"/>
      <c r="J3" s="214"/>
      <c r="K3" s="214"/>
      <c r="L3" s="214"/>
      <c r="M3" s="214"/>
      <c r="N3" s="214"/>
      <c r="O3" s="214"/>
      <c r="P3" s="214"/>
    </row>
    <row r="4" spans="1:16" ht="22.9" customHeight="1">
      <c r="A4" s="402" t="s">
        <v>218</v>
      </c>
      <c r="B4" s="403"/>
      <c r="C4" s="404" t="s">
        <v>219</v>
      </c>
      <c r="D4" s="404"/>
      <c r="E4" s="405"/>
      <c r="F4" s="405"/>
      <c r="G4" s="405"/>
      <c r="H4" s="406"/>
      <c r="I4" s="214"/>
      <c r="J4" s="214"/>
      <c r="K4" s="214"/>
      <c r="L4" s="214"/>
      <c r="M4" s="214"/>
      <c r="N4" s="214"/>
      <c r="O4" s="214"/>
      <c r="P4" s="214"/>
    </row>
    <row r="5" spans="1:16" ht="22.9" customHeight="1">
      <c r="A5" s="407" t="s">
        <v>220</v>
      </c>
      <c r="B5" s="407"/>
      <c r="C5" s="404" t="s">
        <v>221</v>
      </c>
      <c r="D5" s="404"/>
      <c r="E5" s="408"/>
      <c r="F5" s="408"/>
      <c r="G5" s="408"/>
      <c r="H5" s="409"/>
      <c r="I5" s="214"/>
      <c r="J5" s="214"/>
      <c r="K5" s="214"/>
      <c r="L5" s="214"/>
      <c r="M5" s="214"/>
      <c r="N5" s="214"/>
      <c r="O5" s="214"/>
      <c r="P5" s="214"/>
    </row>
    <row r="6" spans="1:16" ht="22.9" customHeight="1">
      <c r="A6" s="402" t="s">
        <v>222</v>
      </c>
      <c r="B6" s="403"/>
      <c r="C6" s="404" t="s">
        <v>223</v>
      </c>
      <c r="D6" s="404"/>
      <c r="E6" s="408"/>
      <c r="F6" s="408"/>
      <c r="G6" s="408"/>
      <c r="H6" s="409"/>
      <c r="I6" s="214"/>
      <c r="J6" s="214"/>
      <c r="K6" s="214"/>
      <c r="L6" s="214"/>
      <c r="M6" s="214"/>
      <c r="N6" s="214"/>
      <c r="O6" s="214"/>
      <c r="P6" s="214"/>
    </row>
    <row r="7" spans="1:16" ht="22.9" customHeight="1">
      <c r="A7" s="407" t="s">
        <v>224</v>
      </c>
      <c r="B7" s="407"/>
      <c r="C7" s="404" t="s">
        <v>225</v>
      </c>
      <c r="D7" s="404"/>
      <c r="E7" s="408"/>
      <c r="F7" s="408"/>
      <c r="G7" s="408"/>
      <c r="H7" s="409"/>
      <c r="I7" s="214"/>
      <c r="J7" s="214"/>
      <c r="K7" s="214"/>
      <c r="L7" s="214"/>
      <c r="M7" s="214"/>
      <c r="N7" s="214"/>
      <c r="O7" s="214"/>
      <c r="P7" s="214"/>
    </row>
    <row r="8" spans="1:16" ht="22.9" customHeight="1">
      <c r="A8" s="402" t="s">
        <v>226</v>
      </c>
      <c r="B8" s="403"/>
      <c r="C8" s="404" t="s">
        <v>227</v>
      </c>
      <c r="D8" s="404"/>
      <c r="E8" s="408"/>
      <c r="F8" s="408"/>
      <c r="G8" s="408"/>
      <c r="H8" s="409"/>
      <c r="I8" s="214"/>
      <c r="J8" s="214"/>
      <c r="K8" s="214"/>
      <c r="L8" s="214"/>
      <c r="M8" s="214"/>
      <c r="N8" s="214"/>
      <c r="O8" s="214"/>
      <c r="P8" s="214"/>
    </row>
    <row r="9" spans="1:16" ht="22.9" customHeight="1">
      <c r="A9" s="407" t="s">
        <v>228</v>
      </c>
      <c r="B9" s="407"/>
      <c r="C9" s="415"/>
      <c r="D9" s="404"/>
      <c r="E9" s="408"/>
      <c r="F9" s="408"/>
      <c r="G9" s="408"/>
      <c r="H9" s="409"/>
      <c r="I9" s="214"/>
      <c r="J9" s="214"/>
      <c r="K9" s="214"/>
      <c r="L9" s="214"/>
      <c r="M9" s="214"/>
      <c r="N9" s="214"/>
      <c r="O9" s="214"/>
      <c r="P9" s="214"/>
    </row>
    <row r="10" spans="1:16" ht="22.9" customHeight="1">
      <c r="A10" s="402" t="s">
        <v>229</v>
      </c>
      <c r="B10" s="403"/>
      <c r="C10" s="415">
        <v>11938700</v>
      </c>
      <c r="D10" s="404"/>
      <c r="E10" s="408"/>
      <c r="F10" s="408"/>
      <c r="G10" s="408"/>
      <c r="H10" s="409"/>
      <c r="I10" s="214"/>
      <c r="J10" s="214"/>
      <c r="K10" s="214"/>
      <c r="L10" s="214"/>
      <c r="M10" s="214"/>
      <c r="N10" s="214"/>
      <c r="O10" s="214"/>
      <c r="P10" s="214"/>
    </row>
    <row r="11" spans="1:16" ht="22.9" customHeight="1">
      <c r="A11" s="402" t="s">
        <v>230</v>
      </c>
      <c r="B11" s="403"/>
      <c r="C11" s="425"/>
      <c r="D11" s="426"/>
      <c r="E11" s="418"/>
      <c r="F11" s="408"/>
      <c r="G11" s="408"/>
      <c r="H11" s="409"/>
      <c r="I11" s="214"/>
      <c r="J11" s="214"/>
      <c r="K11" s="214"/>
      <c r="L11" s="214"/>
      <c r="M11" s="214"/>
      <c r="N11" s="214"/>
      <c r="O11" s="214"/>
      <c r="P11" s="214"/>
    </row>
    <row r="12" spans="1:16" ht="44.15" customHeight="1">
      <c r="A12" s="407" t="s">
        <v>231</v>
      </c>
      <c r="B12" s="407"/>
      <c r="C12" s="416"/>
      <c r="D12" s="417"/>
      <c r="E12" s="418"/>
      <c r="F12" s="408"/>
      <c r="G12" s="408"/>
      <c r="H12" s="409"/>
      <c r="I12" s="214"/>
      <c r="J12" s="214"/>
      <c r="K12" s="214"/>
      <c r="L12" s="214"/>
      <c r="M12" s="214"/>
      <c r="N12" s="214"/>
      <c r="O12" s="214"/>
      <c r="P12" s="214"/>
    </row>
    <row r="13" spans="1:16" ht="313.5" customHeight="1">
      <c r="A13" s="419" t="s">
        <v>232</v>
      </c>
      <c r="B13" s="420"/>
      <c r="C13" s="421" t="s">
        <v>233</v>
      </c>
      <c r="D13" s="422"/>
      <c r="E13" s="422"/>
      <c r="F13" s="422"/>
      <c r="G13" s="422"/>
      <c r="H13" s="423"/>
      <c r="I13" s="214"/>
      <c r="J13" s="214"/>
      <c r="K13" s="214"/>
      <c r="L13" s="214"/>
      <c r="M13" s="214"/>
      <c r="N13" s="214"/>
      <c r="O13" s="214"/>
      <c r="P13" s="214"/>
    </row>
    <row r="14" spans="1:16" s="217" customFormat="1" ht="38.65" customHeight="1">
      <c r="A14" s="424" t="s">
        <v>234</v>
      </c>
      <c r="B14" s="424"/>
      <c r="C14" s="424"/>
      <c r="D14" s="424"/>
      <c r="E14" s="424"/>
      <c r="F14" s="424"/>
      <c r="G14" s="424"/>
      <c r="H14" s="424"/>
      <c r="I14" s="216"/>
      <c r="J14" s="216"/>
      <c r="K14" s="216"/>
      <c r="L14" s="216"/>
      <c r="M14" s="216"/>
      <c r="N14" s="216"/>
      <c r="O14" s="216"/>
      <c r="P14" s="216"/>
    </row>
    <row r="15" spans="1:16" s="220" customFormat="1" ht="59.65" customHeight="1">
      <c r="A15" s="218" t="s">
        <v>119</v>
      </c>
      <c r="B15" s="429" t="s">
        <v>235</v>
      </c>
      <c r="C15" s="429"/>
      <c r="D15" s="218" t="s">
        <v>236</v>
      </c>
      <c r="E15" s="218" t="s">
        <v>237</v>
      </c>
      <c r="F15" s="218" t="s">
        <v>238</v>
      </c>
      <c r="G15" s="218" t="s">
        <v>239</v>
      </c>
      <c r="H15" s="219" t="s">
        <v>240</v>
      </c>
    </row>
    <row r="16" spans="1:16">
      <c r="A16" s="221">
        <v>1</v>
      </c>
      <c r="B16" s="430" t="s">
        <v>241</v>
      </c>
      <c r="C16" s="430" t="s">
        <v>242</v>
      </c>
      <c r="D16" s="222" t="s">
        <v>243</v>
      </c>
      <c r="E16" s="223" t="s">
        <v>244</v>
      </c>
      <c r="F16" s="224">
        <v>1918000</v>
      </c>
      <c r="G16" s="222" t="s">
        <v>245</v>
      </c>
      <c r="H16" s="222"/>
    </row>
    <row r="17" spans="1:9">
      <c r="A17" s="221">
        <f t="shared" ref="A17:A50" si="0">A16+1</f>
        <v>2</v>
      </c>
      <c r="B17" s="430" t="s">
        <v>241</v>
      </c>
      <c r="C17" s="430" t="s">
        <v>184</v>
      </c>
      <c r="D17" s="222" t="s">
        <v>243</v>
      </c>
      <c r="E17" s="223" t="s">
        <v>246</v>
      </c>
      <c r="F17" s="224">
        <v>467500</v>
      </c>
      <c r="G17" s="222" t="s">
        <v>245</v>
      </c>
      <c r="H17" s="222"/>
      <c r="I17" s="225"/>
    </row>
    <row r="18" spans="1:9" ht="43">
      <c r="A18" s="221">
        <f t="shared" si="0"/>
        <v>3</v>
      </c>
      <c r="B18" s="427" t="s">
        <v>103</v>
      </c>
      <c r="C18" s="428"/>
      <c r="D18" s="222" t="s">
        <v>243</v>
      </c>
      <c r="E18" s="223" t="s">
        <v>247</v>
      </c>
      <c r="F18" s="224">
        <v>596200</v>
      </c>
      <c r="G18" s="222" t="s">
        <v>245</v>
      </c>
      <c r="H18" s="222"/>
      <c r="I18" s="225"/>
    </row>
    <row r="19" spans="1:9" ht="43">
      <c r="A19" s="221">
        <f t="shared" si="0"/>
        <v>4</v>
      </c>
      <c r="B19" s="427" t="s">
        <v>103</v>
      </c>
      <c r="C19" s="428"/>
      <c r="D19" s="222" t="s">
        <v>243</v>
      </c>
      <c r="E19" s="223" t="s">
        <v>248</v>
      </c>
      <c r="F19" s="224">
        <v>596200</v>
      </c>
      <c r="G19" s="222" t="s">
        <v>245</v>
      </c>
      <c r="H19" s="222"/>
      <c r="I19" s="225"/>
    </row>
    <row r="20" spans="1:9" ht="43">
      <c r="A20" s="221">
        <f t="shared" si="0"/>
        <v>5</v>
      </c>
      <c r="B20" s="427" t="s">
        <v>103</v>
      </c>
      <c r="C20" s="428"/>
      <c r="D20" s="222" t="s">
        <v>243</v>
      </c>
      <c r="E20" s="223" t="s">
        <v>249</v>
      </c>
      <c r="F20" s="224">
        <v>486200.00000000006</v>
      </c>
      <c r="G20" s="222" t="s">
        <v>245</v>
      </c>
      <c r="H20" s="222"/>
      <c r="I20" s="225"/>
    </row>
    <row r="21" spans="1:9" ht="43">
      <c r="A21" s="221">
        <f t="shared" si="0"/>
        <v>6</v>
      </c>
      <c r="B21" s="427" t="s">
        <v>103</v>
      </c>
      <c r="C21" s="428"/>
      <c r="D21" s="222" t="s">
        <v>243</v>
      </c>
      <c r="E21" s="223" t="s">
        <v>250</v>
      </c>
      <c r="F21" s="224">
        <v>486200.00000000006</v>
      </c>
      <c r="G21" s="222" t="s">
        <v>245</v>
      </c>
      <c r="H21" s="222"/>
      <c r="I21" s="225"/>
    </row>
    <row r="22" spans="1:9" ht="43">
      <c r="A22" s="221">
        <f t="shared" si="0"/>
        <v>7</v>
      </c>
      <c r="B22" s="427" t="s">
        <v>103</v>
      </c>
      <c r="C22" s="428"/>
      <c r="D22" s="222" t="s">
        <v>243</v>
      </c>
      <c r="E22" s="223" t="s">
        <v>251</v>
      </c>
      <c r="F22" s="224">
        <v>268950</v>
      </c>
      <c r="G22" s="222" t="s">
        <v>245</v>
      </c>
      <c r="H22" s="222"/>
      <c r="I22" s="225"/>
    </row>
    <row r="23" spans="1:9" ht="43">
      <c r="A23" s="221">
        <f t="shared" si="0"/>
        <v>8</v>
      </c>
      <c r="B23" s="427" t="s">
        <v>103</v>
      </c>
      <c r="C23" s="428"/>
      <c r="D23" s="222" t="s">
        <v>243</v>
      </c>
      <c r="E23" s="223" t="s">
        <v>252</v>
      </c>
      <c r="F23" s="224">
        <v>365200.00000000006</v>
      </c>
      <c r="G23" s="222" t="s">
        <v>245</v>
      </c>
      <c r="H23" s="222"/>
      <c r="I23" s="225"/>
    </row>
    <row r="24" spans="1:9" ht="43">
      <c r="A24" s="221">
        <f t="shared" si="0"/>
        <v>9</v>
      </c>
      <c r="B24" s="427" t="s">
        <v>103</v>
      </c>
      <c r="C24" s="428"/>
      <c r="D24" s="222" t="s">
        <v>243</v>
      </c>
      <c r="E24" s="223" t="s">
        <v>253</v>
      </c>
      <c r="F24" s="224">
        <v>262350</v>
      </c>
      <c r="G24" s="222" t="s">
        <v>245</v>
      </c>
      <c r="H24" s="222"/>
      <c r="I24" s="225"/>
    </row>
    <row r="25" spans="1:9" ht="179.15" customHeight="1">
      <c r="A25" s="221">
        <f t="shared" si="0"/>
        <v>10</v>
      </c>
      <c r="B25" s="427" t="s">
        <v>103</v>
      </c>
      <c r="C25" s="428"/>
      <c r="D25" s="222" t="s">
        <v>243</v>
      </c>
      <c r="E25" s="226" t="s">
        <v>254</v>
      </c>
      <c r="F25" s="228">
        <v>289300</v>
      </c>
      <c r="G25" s="227" t="s">
        <v>245</v>
      </c>
      <c r="H25" s="222"/>
      <c r="I25" s="225"/>
    </row>
    <row r="26" spans="1:9" ht="301">
      <c r="A26" s="221">
        <f t="shared" si="0"/>
        <v>11</v>
      </c>
      <c r="B26" s="427" t="s">
        <v>103</v>
      </c>
      <c r="C26" s="428"/>
      <c r="D26" s="222" t="s">
        <v>243</v>
      </c>
      <c r="E26" s="223" t="s">
        <v>255</v>
      </c>
      <c r="F26" s="224">
        <v>541750</v>
      </c>
      <c r="G26" s="222" t="s">
        <v>245</v>
      </c>
      <c r="H26" s="222"/>
      <c r="I26" s="225"/>
    </row>
    <row r="27" spans="1:9" ht="387">
      <c r="A27" s="221">
        <f t="shared" si="0"/>
        <v>12</v>
      </c>
      <c r="B27" s="427" t="s">
        <v>103</v>
      </c>
      <c r="C27" s="428"/>
      <c r="D27" s="222" t="s">
        <v>243</v>
      </c>
      <c r="E27" s="223" t="s">
        <v>256</v>
      </c>
      <c r="F27" s="224">
        <v>394900.00000000006</v>
      </c>
      <c r="G27" s="222" t="s">
        <v>245</v>
      </c>
      <c r="H27" s="222"/>
      <c r="I27" s="225"/>
    </row>
    <row r="28" spans="1:9" ht="409.5">
      <c r="A28" s="221">
        <f t="shared" si="0"/>
        <v>13</v>
      </c>
      <c r="B28" s="427" t="s">
        <v>103</v>
      </c>
      <c r="C28" s="428"/>
      <c r="D28" s="222" t="s">
        <v>243</v>
      </c>
      <c r="E28" s="223" t="s">
        <v>257</v>
      </c>
      <c r="F28" s="228">
        <v>169950</v>
      </c>
      <c r="G28" s="227" t="s">
        <v>245</v>
      </c>
      <c r="H28" s="222"/>
      <c r="I28" s="225"/>
    </row>
    <row r="29" spans="1:9" ht="387">
      <c r="A29" s="221">
        <f t="shared" si="0"/>
        <v>14</v>
      </c>
      <c r="B29" s="427" t="s">
        <v>103</v>
      </c>
      <c r="C29" s="428"/>
      <c r="D29" s="222" t="s">
        <v>243</v>
      </c>
      <c r="E29" s="223" t="s">
        <v>258</v>
      </c>
      <c r="F29" s="228">
        <v>326700</v>
      </c>
      <c r="G29" s="227" t="s">
        <v>245</v>
      </c>
      <c r="H29" s="222"/>
      <c r="I29" s="225"/>
    </row>
    <row r="30" spans="1:9" ht="129">
      <c r="A30" s="221">
        <f t="shared" si="0"/>
        <v>15</v>
      </c>
      <c r="B30" s="427" t="s">
        <v>103</v>
      </c>
      <c r="C30" s="428"/>
      <c r="D30" s="222" t="s">
        <v>243</v>
      </c>
      <c r="E30" s="223" t="s">
        <v>259</v>
      </c>
      <c r="F30" s="228">
        <v>113300.00000000001</v>
      </c>
      <c r="G30" s="227" t="s">
        <v>245</v>
      </c>
      <c r="H30" s="229"/>
    </row>
    <row r="31" spans="1:9" ht="46.5" customHeight="1">
      <c r="A31" s="221">
        <f t="shared" si="0"/>
        <v>16</v>
      </c>
      <c r="B31" s="427" t="s">
        <v>103</v>
      </c>
      <c r="C31" s="428"/>
      <c r="D31" s="222" t="s">
        <v>243</v>
      </c>
      <c r="E31" s="223" t="s">
        <v>278</v>
      </c>
      <c r="F31" s="228">
        <v>465850.00000000006</v>
      </c>
      <c r="G31" s="227" t="s">
        <v>245</v>
      </c>
      <c r="H31" s="229"/>
      <c r="I31" s="232"/>
    </row>
    <row r="32" spans="1:9">
      <c r="A32" s="221">
        <f t="shared" si="0"/>
        <v>17</v>
      </c>
      <c r="B32" s="427" t="s">
        <v>103</v>
      </c>
      <c r="C32" s="428"/>
      <c r="D32" s="222" t="s">
        <v>243</v>
      </c>
      <c r="E32" s="223" t="s">
        <v>279</v>
      </c>
      <c r="F32" s="228">
        <v>33000</v>
      </c>
      <c r="G32" s="227" t="s">
        <v>245</v>
      </c>
      <c r="H32" s="229"/>
    </row>
    <row r="33" spans="1:8">
      <c r="A33" s="221">
        <f t="shared" si="0"/>
        <v>18</v>
      </c>
      <c r="B33" s="427" t="s">
        <v>103</v>
      </c>
      <c r="C33" s="428"/>
      <c r="D33" s="222" t="s">
        <v>243</v>
      </c>
      <c r="E33" s="223" t="s">
        <v>280</v>
      </c>
      <c r="F33" s="228">
        <v>451550.00000000006</v>
      </c>
      <c r="G33" s="227" t="s">
        <v>245</v>
      </c>
      <c r="H33" s="229"/>
    </row>
    <row r="34" spans="1:8">
      <c r="A34" s="221">
        <f t="shared" si="0"/>
        <v>19</v>
      </c>
      <c r="B34" s="427" t="s">
        <v>103</v>
      </c>
      <c r="C34" s="428"/>
      <c r="D34" s="222" t="s">
        <v>243</v>
      </c>
      <c r="E34" s="223" t="s">
        <v>281</v>
      </c>
      <c r="F34" s="228">
        <v>426250.00000000006</v>
      </c>
      <c r="G34" s="227" t="s">
        <v>245</v>
      </c>
      <c r="H34" s="229"/>
    </row>
    <row r="35" spans="1:8">
      <c r="A35" s="221">
        <f t="shared" si="0"/>
        <v>20</v>
      </c>
      <c r="B35" s="427" t="s">
        <v>103</v>
      </c>
      <c r="C35" s="428"/>
      <c r="D35" s="222" t="s">
        <v>243</v>
      </c>
      <c r="E35" s="223" t="s">
        <v>282</v>
      </c>
      <c r="F35" s="228">
        <v>352000</v>
      </c>
      <c r="G35" s="227" t="s">
        <v>245</v>
      </c>
      <c r="H35" s="229"/>
    </row>
    <row r="36" spans="1:8">
      <c r="A36" s="221">
        <f t="shared" si="0"/>
        <v>21</v>
      </c>
      <c r="B36" s="427" t="s">
        <v>103</v>
      </c>
      <c r="C36" s="428"/>
      <c r="D36" s="222" t="s">
        <v>243</v>
      </c>
      <c r="E36" s="223" t="s">
        <v>283</v>
      </c>
      <c r="F36" s="228">
        <v>337150</v>
      </c>
      <c r="G36" s="227" t="s">
        <v>245</v>
      </c>
      <c r="H36" s="229"/>
    </row>
    <row r="37" spans="1:8">
      <c r="A37" s="221">
        <f t="shared" si="0"/>
        <v>22</v>
      </c>
      <c r="B37" s="427" t="s">
        <v>103</v>
      </c>
      <c r="C37" s="428"/>
      <c r="D37" s="222" t="s">
        <v>243</v>
      </c>
      <c r="E37" s="223" t="s">
        <v>284</v>
      </c>
      <c r="F37" s="228">
        <v>185900.00000000003</v>
      </c>
      <c r="G37" s="227" t="s">
        <v>245</v>
      </c>
      <c r="H37" s="229"/>
    </row>
    <row r="38" spans="1:8">
      <c r="A38" s="221">
        <f t="shared" si="0"/>
        <v>23</v>
      </c>
      <c r="B38" s="427" t="s">
        <v>103</v>
      </c>
      <c r="C38" s="428"/>
      <c r="D38" s="222" t="s">
        <v>243</v>
      </c>
      <c r="E38" s="223" t="s">
        <v>285</v>
      </c>
      <c r="F38" s="228">
        <v>254650.00000000003</v>
      </c>
      <c r="G38" s="227" t="s">
        <v>245</v>
      </c>
      <c r="H38" s="229"/>
    </row>
    <row r="39" spans="1:8">
      <c r="A39" s="221">
        <f t="shared" si="0"/>
        <v>24</v>
      </c>
      <c r="B39" s="427" t="s">
        <v>103</v>
      </c>
      <c r="C39" s="428"/>
      <c r="D39" s="222" t="s">
        <v>243</v>
      </c>
      <c r="E39" s="223" t="s">
        <v>286</v>
      </c>
      <c r="F39" s="228">
        <v>174900</v>
      </c>
      <c r="G39" s="227" t="s">
        <v>245</v>
      </c>
      <c r="H39" s="229"/>
    </row>
    <row r="40" spans="1:8">
      <c r="A40" s="221">
        <f t="shared" si="0"/>
        <v>25</v>
      </c>
      <c r="B40" s="427" t="s">
        <v>103</v>
      </c>
      <c r="C40" s="428"/>
      <c r="D40" s="222" t="s">
        <v>243</v>
      </c>
      <c r="E40" s="223" t="s">
        <v>288</v>
      </c>
      <c r="F40" s="228">
        <f>320100</f>
        <v>320100</v>
      </c>
      <c r="G40" s="227" t="s">
        <v>245</v>
      </c>
      <c r="H40" s="229"/>
    </row>
    <row r="41" spans="1:8">
      <c r="A41" s="221">
        <f t="shared" si="0"/>
        <v>26</v>
      </c>
      <c r="B41" s="427" t="s">
        <v>103</v>
      </c>
      <c r="C41" s="428"/>
      <c r="D41" s="222" t="s">
        <v>243</v>
      </c>
      <c r="E41" s="223" t="s">
        <v>290</v>
      </c>
      <c r="F41" s="228">
        <v>446600.00000000006</v>
      </c>
      <c r="G41" s="227" t="s">
        <v>245</v>
      </c>
      <c r="H41" s="229"/>
    </row>
    <row r="42" spans="1:8">
      <c r="A42" s="221">
        <f t="shared" si="0"/>
        <v>27</v>
      </c>
      <c r="B42" s="427" t="s">
        <v>103</v>
      </c>
      <c r="C42" s="428"/>
      <c r="D42" s="222" t="s">
        <v>243</v>
      </c>
      <c r="E42" s="223" t="s">
        <v>287</v>
      </c>
      <c r="F42" s="228">
        <v>72050</v>
      </c>
      <c r="G42" s="227" t="s">
        <v>245</v>
      </c>
      <c r="H42" s="229"/>
    </row>
    <row r="43" spans="1:8">
      <c r="A43" s="221">
        <f t="shared" si="0"/>
        <v>28</v>
      </c>
      <c r="B43" s="427" t="s">
        <v>90</v>
      </c>
      <c r="C43" s="428"/>
      <c r="D43" s="222" t="s">
        <v>243</v>
      </c>
      <c r="E43" s="223" t="s">
        <v>185</v>
      </c>
      <c r="F43" s="224">
        <v>433500</v>
      </c>
      <c r="G43" s="227" t="s">
        <v>245</v>
      </c>
      <c r="H43" s="229"/>
    </row>
    <row r="44" spans="1:8">
      <c r="A44" s="221">
        <f t="shared" si="0"/>
        <v>29</v>
      </c>
      <c r="B44" s="427" t="s">
        <v>90</v>
      </c>
      <c r="C44" s="428"/>
      <c r="D44" s="222" t="s">
        <v>243</v>
      </c>
      <c r="E44" s="223" t="s">
        <v>186</v>
      </c>
      <c r="F44" s="224">
        <v>51000</v>
      </c>
      <c r="G44" s="227" t="s">
        <v>245</v>
      </c>
      <c r="H44" s="229"/>
    </row>
    <row r="45" spans="1:8">
      <c r="A45" s="221">
        <f t="shared" si="0"/>
        <v>30</v>
      </c>
      <c r="B45" s="430" t="s">
        <v>180</v>
      </c>
      <c r="C45" s="430"/>
      <c r="D45" s="222" t="s">
        <v>243</v>
      </c>
      <c r="E45" s="223" t="s">
        <v>189</v>
      </c>
      <c r="F45" s="224">
        <v>102000</v>
      </c>
      <c r="G45" s="227" t="s">
        <v>245</v>
      </c>
      <c r="H45" s="229"/>
    </row>
    <row r="46" spans="1:8">
      <c r="A46" s="221">
        <f t="shared" si="0"/>
        <v>31</v>
      </c>
      <c r="B46" s="430" t="s">
        <v>180</v>
      </c>
      <c r="C46" s="430"/>
      <c r="D46" s="222" t="s">
        <v>243</v>
      </c>
      <c r="E46" s="223" t="s">
        <v>199</v>
      </c>
      <c r="F46" s="224">
        <f>229500+'Vendor Cost'!F7</f>
        <v>229500</v>
      </c>
      <c r="G46" s="222" t="s">
        <v>245</v>
      </c>
      <c r="H46" s="229"/>
    </row>
    <row r="47" spans="1:8">
      <c r="A47" s="221">
        <f t="shared" si="0"/>
        <v>32</v>
      </c>
      <c r="B47" s="430" t="s">
        <v>180</v>
      </c>
      <c r="C47" s="430"/>
      <c r="D47" s="222" t="s">
        <v>243</v>
      </c>
      <c r="E47" s="223" t="s">
        <v>188</v>
      </c>
      <c r="F47" s="224">
        <v>76500</v>
      </c>
      <c r="G47" s="222" t="s">
        <v>245</v>
      </c>
      <c r="H47" s="229"/>
    </row>
    <row r="48" spans="1:8">
      <c r="A48" s="221">
        <f t="shared" si="0"/>
        <v>33</v>
      </c>
      <c r="B48" s="430" t="s">
        <v>180</v>
      </c>
      <c r="C48" s="430"/>
      <c r="D48" s="222" t="s">
        <v>243</v>
      </c>
      <c r="E48" s="223" t="s">
        <v>191</v>
      </c>
      <c r="F48" s="224">
        <v>99000</v>
      </c>
      <c r="G48" s="222" t="s">
        <v>245</v>
      </c>
      <c r="H48" s="229"/>
    </row>
    <row r="49" spans="1:16">
      <c r="A49" s="221">
        <f t="shared" si="0"/>
        <v>34</v>
      </c>
      <c r="B49" s="430" t="s">
        <v>180</v>
      </c>
      <c r="C49" s="430"/>
      <c r="D49" s="222" t="s">
        <v>243</v>
      </c>
      <c r="E49" s="223" t="s">
        <v>198</v>
      </c>
      <c r="F49" s="224">
        <v>17000</v>
      </c>
      <c r="G49" s="222" t="s">
        <v>245</v>
      </c>
      <c r="H49" s="229"/>
    </row>
    <row r="50" spans="1:16">
      <c r="A50" s="221">
        <f t="shared" si="0"/>
        <v>35</v>
      </c>
      <c r="B50" s="430" t="s">
        <v>180</v>
      </c>
      <c r="C50" s="430"/>
      <c r="D50" s="222" t="s">
        <v>243</v>
      </c>
      <c r="E50" s="223" t="s">
        <v>207</v>
      </c>
      <c r="F50" s="224">
        <v>127500</v>
      </c>
      <c r="G50" s="222" t="s">
        <v>245</v>
      </c>
      <c r="H50" s="229"/>
    </row>
    <row r="51" spans="1:16">
      <c r="A51" s="432" t="s">
        <v>260</v>
      </c>
      <c r="B51" s="432"/>
      <c r="C51" s="432"/>
      <c r="D51" s="432"/>
      <c r="E51" s="432"/>
      <c r="F51" s="230">
        <f>SUM(F16:F50)</f>
        <v>11938700</v>
      </c>
      <c r="G51" s="222"/>
      <c r="H51" s="229"/>
    </row>
    <row r="52" spans="1:16" s="217" customFormat="1" ht="28.9" customHeight="1">
      <c r="A52" s="424" t="s">
        <v>261</v>
      </c>
      <c r="B52" s="424"/>
      <c r="C52" s="424"/>
      <c r="D52" s="424"/>
      <c r="E52" s="424"/>
      <c r="F52" s="424"/>
      <c r="G52" s="424"/>
      <c r="H52" s="424"/>
      <c r="I52" s="216"/>
      <c r="J52" s="216"/>
      <c r="K52" s="216"/>
      <c r="L52" s="216"/>
      <c r="M52" s="216"/>
      <c r="N52" s="216"/>
      <c r="O52" s="216"/>
      <c r="P52" s="216"/>
    </row>
    <row r="53" spans="1:16" ht="24" customHeight="1">
      <c r="A53" s="433" t="s">
        <v>262</v>
      </c>
      <c r="B53" s="433"/>
      <c r="C53" s="433"/>
      <c r="D53" s="433"/>
      <c r="E53" s="433"/>
      <c r="F53" s="433"/>
      <c r="G53" s="433"/>
      <c r="H53" s="433"/>
      <c r="I53" s="214"/>
      <c r="J53" s="214"/>
      <c r="K53" s="214"/>
      <c r="L53" s="214"/>
      <c r="M53" s="214"/>
      <c r="N53" s="214"/>
      <c r="O53" s="214"/>
      <c r="P53" s="214"/>
    </row>
    <row r="54" spans="1:16" ht="39.65" customHeight="1">
      <c r="A54" s="407" t="s">
        <v>263</v>
      </c>
      <c r="B54" s="407"/>
      <c r="C54" s="430"/>
      <c r="D54" s="430"/>
      <c r="E54" s="231" t="s">
        <v>264</v>
      </c>
      <c r="F54" s="431"/>
      <c r="G54" s="431"/>
      <c r="H54" s="431"/>
    </row>
    <row r="55" spans="1:16" ht="26.65" customHeight="1">
      <c r="A55" s="407" t="s">
        <v>265</v>
      </c>
      <c r="B55" s="407"/>
      <c r="C55" s="430"/>
      <c r="D55" s="430"/>
      <c r="E55" s="231" t="s">
        <v>264</v>
      </c>
      <c r="F55" s="431"/>
      <c r="G55" s="431"/>
      <c r="H55" s="431"/>
    </row>
    <row r="56" spans="1:16" ht="39.65" customHeight="1">
      <c r="A56" s="407" t="s">
        <v>266</v>
      </c>
      <c r="B56" s="407"/>
      <c r="C56" s="430"/>
      <c r="D56" s="430"/>
      <c r="E56" s="231" t="s">
        <v>264</v>
      </c>
      <c r="F56" s="431"/>
      <c r="G56" s="431"/>
      <c r="H56" s="431"/>
    </row>
    <row r="57" spans="1:16" ht="33.65" customHeight="1">
      <c r="A57" s="407" t="s">
        <v>267</v>
      </c>
      <c r="B57" s="407"/>
      <c r="C57" s="430"/>
      <c r="D57" s="430"/>
      <c r="E57" s="231" t="s">
        <v>264</v>
      </c>
      <c r="F57" s="431"/>
      <c r="G57" s="431"/>
      <c r="H57" s="431"/>
    </row>
    <row r="58" spans="1:16" ht="40.5" customHeight="1">
      <c r="A58" s="407" t="s">
        <v>268</v>
      </c>
      <c r="B58" s="407"/>
      <c r="C58" s="430"/>
      <c r="D58" s="430"/>
      <c r="E58" s="231" t="s">
        <v>264</v>
      </c>
      <c r="F58" s="431"/>
      <c r="G58" s="431"/>
      <c r="H58" s="431"/>
    </row>
    <row r="59" spans="1:16" ht="43.15" customHeight="1">
      <c r="A59" s="407" t="s">
        <v>269</v>
      </c>
      <c r="B59" s="407"/>
      <c r="C59" s="430"/>
      <c r="D59" s="430"/>
      <c r="E59" s="231" t="s">
        <v>264</v>
      </c>
      <c r="F59" s="431"/>
      <c r="G59" s="431"/>
      <c r="H59" s="431"/>
    </row>
    <row r="60" spans="1:16" ht="55.5" customHeight="1">
      <c r="A60" s="407" t="s">
        <v>270</v>
      </c>
      <c r="B60" s="407"/>
      <c r="C60" s="430"/>
      <c r="D60" s="430"/>
      <c r="E60" s="231" t="s">
        <v>264</v>
      </c>
      <c r="F60" s="431"/>
      <c r="G60" s="431"/>
      <c r="H60" s="431"/>
    </row>
    <row r="61" spans="1:16" s="217" customFormat="1" ht="38.65" customHeight="1">
      <c r="A61" s="424" t="s">
        <v>271</v>
      </c>
      <c r="B61" s="424"/>
      <c r="C61" s="424"/>
      <c r="D61" s="424"/>
      <c r="E61" s="424"/>
      <c r="F61" s="424"/>
      <c r="G61" s="424"/>
      <c r="H61" s="424"/>
      <c r="I61" s="216"/>
      <c r="J61" s="216"/>
      <c r="K61" s="216"/>
      <c r="L61" s="216"/>
      <c r="M61" s="216"/>
      <c r="N61" s="216"/>
      <c r="O61" s="216"/>
      <c r="P61" s="216"/>
    </row>
    <row r="62" spans="1:16" ht="49.15" customHeight="1">
      <c r="A62" s="434" t="s">
        <v>272</v>
      </c>
      <c r="B62" s="434"/>
      <c r="C62" s="435"/>
      <c r="D62" s="435"/>
      <c r="E62" s="435"/>
      <c r="F62" s="435"/>
      <c r="G62" s="435"/>
      <c r="H62" s="435"/>
    </row>
    <row r="63" spans="1:16" ht="43.15" customHeight="1">
      <c r="A63" s="434" t="s">
        <v>273</v>
      </c>
      <c r="B63" s="434"/>
      <c r="C63" s="435"/>
      <c r="D63" s="435"/>
      <c r="E63" s="435"/>
      <c r="F63" s="435"/>
      <c r="G63" s="435"/>
      <c r="H63" s="435"/>
    </row>
    <row r="64" spans="1:16" ht="57.65" customHeight="1">
      <c r="A64" s="434" t="s">
        <v>274</v>
      </c>
      <c r="B64" s="434"/>
      <c r="C64" s="435"/>
      <c r="D64" s="435"/>
      <c r="E64" s="435"/>
      <c r="F64" s="435"/>
      <c r="G64" s="435"/>
      <c r="H64" s="435"/>
    </row>
    <row r="65" spans="1:8" ht="73.150000000000006" customHeight="1">
      <c r="A65" s="434" t="s">
        <v>275</v>
      </c>
      <c r="B65" s="434"/>
      <c r="C65" s="435"/>
      <c r="D65" s="435"/>
      <c r="E65" s="435"/>
      <c r="F65" s="435"/>
      <c r="G65" s="435"/>
      <c r="H65" s="435"/>
    </row>
    <row r="66" spans="1:8" ht="52.15" customHeight="1">
      <c r="A66" s="434" t="s">
        <v>276</v>
      </c>
      <c r="B66" s="434"/>
      <c r="C66" s="436"/>
      <c r="D66" s="436"/>
      <c r="E66" s="436"/>
      <c r="F66" s="436"/>
      <c r="G66" s="436"/>
      <c r="H66" s="436"/>
    </row>
    <row r="67" spans="1:8" ht="37.5" customHeight="1">
      <c r="A67" s="434" t="s">
        <v>277</v>
      </c>
      <c r="B67" s="434"/>
      <c r="C67" s="431"/>
      <c r="D67" s="431"/>
      <c r="E67" s="431"/>
      <c r="F67" s="431"/>
      <c r="G67" s="431"/>
      <c r="H67" s="431"/>
    </row>
  </sheetData>
  <mergeCells count="109">
    <mergeCell ref="A65:B65"/>
    <mergeCell ref="C65:H65"/>
    <mergeCell ref="A66:B66"/>
    <mergeCell ref="C66:H66"/>
    <mergeCell ref="A67:B67"/>
    <mergeCell ref="C67:H67"/>
    <mergeCell ref="A61:H61"/>
    <mergeCell ref="A62:B62"/>
    <mergeCell ref="C62:H62"/>
    <mergeCell ref="A63:B63"/>
    <mergeCell ref="C63:H63"/>
    <mergeCell ref="A64:B64"/>
    <mergeCell ref="C64:H64"/>
    <mergeCell ref="A59:B59"/>
    <mergeCell ref="C59:D59"/>
    <mergeCell ref="F59:H59"/>
    <mergeCell ref="A60:B60"/>
    <mergeCell ref="C60:D60"/>
    <mergeCell ref="F60:H60"/>
    <mergeCell ref="A57:B57"/>
    <mergeCell ref="C57:D57"/>
    <mergeCell ref="F57:H57"/>
    <mergeCell ref="A58:B58"/>
    <mergeCell ref="C58:D58"/>
    <mergeCell ref="F58:H58"/>
    <mergeCell ref="A55:B55"/>
    <mergeCell ref="C55:D55"/>
    <mergeCell ref="F55:H55"/>
    <mergeCell ref="A56:B56"/>
    <mergeCell ref="C56:D56"/>
    <mergeCell ref="F56:H56"/>
    <mergeCell ref="A51:E51"/>
    <mergeCell ref="A52:H52"/>
    <mergeCell ref="A53:H53"/>
    <mergeCell ref="A54:B54"/>
    <mergeCell ref="C54:D54"/>
    <mergeCell ref="F54:H54"/>
    <mergeCell ref="B45:C45"/>
    <mergeCell ref="B46:C46"/>
    <mergeCell ref="B47:C47"/>
    <mergeCell ref="B48:C48"/>
    <mergeCell ref="B49:C49"/>
    <mergeCell ref="B50:C50"/>
    <mergeCell ref="B27:C27"/>
    <mergeCell ref="B28:C28"/>
    <mergeCell ref="B29:C29"/>
    <mergeCell ref="B30:C30"/>
    <mergeCell ref="B43:C43"/>
    <mergeCell ref="B44:C44"/>
    <mergeCell ref="B31:C31"/>
    <mergeCell ref="B32:C32"/>
    <mergeCell ref="B39:C39"/>
    <mergeCell ref="B40:C40"/>
    <mergeCell ref="B41:C41"/>
    <mergeCell ref="B42:C42"/>
    <mergeCell ref="B33:C33"/>
    <mergeCell ref="B34:C34"/>
    <mergeCell ref="B35:C35"/>
    <mergeCell ref="B36:C36"/>
    <mergeCell ref="B37:C37"/>
    <mergeCell ref="B38:C38"/>
    <mergeCell ref="B21:C21"/>
    <mergeCell ref="B22:C22"/>
    <mergeCell ref="B23:C23"/>
    <mergeCell ref="B24:C24"/>
    <mergeCell ref="B25:C25"/>
    <mergeCell ref="B26:C26"/>
    <mergeCell ref="B15:C15"/>
    <mergeCell ref="B16:C16"/>
    <mergeCell ref="B17:C17"/>
    <mergeCell ref="B18:C18"/>
    <mergeCell ref="B19:C19"/>
    <mergeCell ref="B20:C20"/>
    <mergeCell ref="A12:B12"/>
    <mergeCell ref="C12:D12"/>
    <mergeCell ref="E12:H12"/>
    <mergeCell ref="A13:B13"/>
    <mergeCell ref="C13:H13"/>
    <mergeCell ref="A14:H14"/>
    <mergeCell ref="A10:B10"/>
    <mergeCell ref="C10:D10"/>
    <mergeCell ref="E10:H10"/>
    <mergeCell ref="A11:B11"/>
    <mergeCell ref="C11:D11"/>
    <mergeCell ref="E11:H11"/>
    <mergeCell ref="A8:B8"/>
    <mergeCell ref="C8:D8"/>
    <mergeCell ref="E8:H8"/>
    <mergeCell ref="A9:B9"/>
    <mergeCell ref="C9:D9"/>
    <mergeCell ref="E9:H9"/>
    <mergeCell ref="A6:B6"/>
    <mergeCell ref="C6:D6"/>
    <mergeCell ref="E6:H6"/>
    <mergeCell ref="A7:B7"/>
    <mergeCell ref="C7:D7"/>
    <mergeCell ref="E7:H7"/>
    <mergeCell ref="A4:B4"/>
    <mergeCell ref="C4:D4"/>
    <mergeCell ref="E4:H4"/>
    <mergeCell ref="A5:B5"/>
    <mergeCell ref="C5:D5"/>
    <mergeCell ref="E5:H5"/>
    <mergeCell ref="A1:H1"/>
    <mergeCell ref="A2:B2"/>
    <mergeCell ref="C2:H2"/>
    <mergeCell ref="A3:B3"/>
    <mergeCell ref="C3:D3"/>
    <mergeCell ref="E3:H3"/>
  </mergeCells>
  <dataValidations count="7">
    <dataValidation type="list" allowBlank="1" showInputMessage="1" showErrorMessage="1" sqref="C11:D11" xr:uid="{55FA369F-C13F-4A80-B3F2-647072E244F4}">
      <formula1>"เพิ่มขึ้น, ลดลง, เท่าเดิม"</formula1>
    </dataValidation>
    <dataValidation type="list" allowBlank="1" showInputMessage="1" showErrorMessage="1" sqref="C5:D5" xr:uid="{0E8FC165-6AE0-4AF3-B889-7E2B245EA750}">
      <formula1>"OPEX, CAPEX"</formula1>
    </dataValidation>
    <dataValidation type="list" allowBlank="1" showInputMessage="1" showErrorMessage="1" sqref="C3:D3" xr:uid="{4D25D3FB-9415-4108-859F-354E79154196}">
      <formula1>"Application, Infrastructure"</formula1>
    </dataValidation>
    <dataValidation type="list" allowBlank="1" showInputMessage="1" showErrorMessage="1" sqref="C4:D4" xr:uid="{49780176-9C7D-48F3-A247-E3C99754DF77}">
      <formula1>"Project&amp;Enhance, MA, License, Subscription"</formula1>
    </dataValidation>
    <dataValidation type="list" allowBlank="1" showInputMessage="1" showErrorMessage="1" sqref="C8" xr:uid="{1598F66B-F647-4BCE-8E93-BA15D82DDA09}">
      <formula1>"Existing, New"</formula1>
    </dataValidation>
    <dataValidation type="list" allowBlank="1" showInputMessage="1" showErrorMessage="1" sqref="G16:G51" xr:uid="{973E22BC-3E68-4165-99F0-03288745E451}">
      <formula1>"Required, Optional "</formula1>
    </dataValidation>
    <dataValidation type="list" allowBlank="1" showInputMessage="1" showErrorMessage="1" sqref="D16:D50" xr:uid="{F804DBBE-D1CC-412B-915D-0F02D98A2B68}">
      <formula1>"ค่าแรง, ค่าอุปกรณ์"</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77A3-540F-4FB3-A8E0-B801FB1661F3}">
  <dimension ref="A1:V35"/>
  <sheetViews>
    <sheetView topLeftCell="I1" zoomScale="70" zoomScaleNormal="70" workbookViewId="0">
      <selection activeCell="W11" sqref="W11"/>
    </sheetView>
  </sheetViews>
  <sheetFormatPr defaultColWidth="10.75" defaultRowHeight="24.5"/>
  <cols>
    <col min="1" max="1" width="27.58203125" style="91" customWidth="1"/>
    <col min="2" max="2" width="86.83203125" style="91" customWidth="1"/>
    <col min="3" max="3" width="28.58203125" style="91" customWidth="1"/>
    <col min="4" max="4" width="16.83203125" style="93" customWidth="1"/>
    <col min="5" max="5" width="15.33203125" style="93" customWidth="1"/>
    <col min="6" max="6" width="12.58203125" style="93" customWidth="1"/>
    <col min="7" max="7" width="13.25" style="93" customWidth="1"/>
    <col min="8" max="8" width="13.33203125" style="93" customWidth="1"/>
    <col min="9" max="9" width="14.58203125" style="93" customWidth="1"/>
    <col min="10" max="10" width="13.83203125" style="93" customWidth="1"/>
    <col min="11" max="11" width="15.58203125" style="93" customWidth="1"/>
    <col min="12" max="12" width="15.25" style="91" customWidth="1"/>
    <col min="13" max="13" width="19.08203125" style="91" customWidth="1"/>
    <col min="14" max="14" width="19.58203125" style="91" customWidth="1"/>
    <col min="15" max="15" width="18.33203125" style="91" customWidth="1"/>
    <col min="16" max="16" width="22.58203125" style="91" customWidth="1"/>
    <col min="17" max="17" width="10.75" style="95"/>
    <col min="18" max="18" width="25.08203125" style="91" bestFit="1" customWidth="1"/>
    <col min="19" max="19" width="18.83203125" style="91" customWidth="1"/>
    <col min="20" max="20" width="19.83203125" style="91" customWidth="1"/>
    <col min="21" max="21" width="21.33203125" style="91" customWidth="1"/>
    <col min="22" max="22" width="18.83203125" style="91" customWidth="1"/>
    <col min="23" max="16384" width="10.75" style="91"/>
  </cols>
  <sheetData>
    <row r="1" spans="1:22">
      <c r="B1" s="92"/>
      <c r="C1" s="92"/>
      <c r="D1" s="92"/>
      <c r="E1" s="92"/>
      <c r="F1" s="92"/>
      <c r="G1" s="92"/>
      <c r="K1" s="92"/>
      <c r="P1" s="94"/>
    </row>
    <row r="2" spans="1:22">
      <c r="B2" s="96"/>
      <c r="C2" s="96"/>
      <c r="D2" s="92"/>
      <c r="E2" s="92"/>
      <c r="F2" s="92"/>
      <c r="G2" s="92"/>
      <c r="H2" s="92"/>
      <c r="I2" s="92"/>
      <c r="J2" s="92"/>
      <c r="K2" s="92"/>
      <c r="L2" s="96"/>
      <c r="M2" s="96"/>
      <c r="N2" s="96"/>
      <c r="O2" s="96"/>
      <c r="P2" s="94"/>
      <c r="Q2" s="97"/>
      <c r="R2"/>
    </row>
    <row r="3" spans="1:22">
      <c r="B3" s="96"/>
      <c r="C3" s="96"/>
      <c r="D3" s="92"/>
      <c r="J3" s="92"/>
      <c r="L3" s="96"/>
      <c r="M3" s="96"/>
      <c r="N3" s="96"/>
      <c r="O3" s="96"/>
      <c r="P3" s="94"/>
      <c r="Q3" s="97"/>
      <c r="R3" s="92"/>
      <c r="S3" s="98" t="s">
        <v>83</v>
      </c>
      <c r="T3" s="99" t="s">
        <v>84</v>
      </c>
      <c r="U3" s="98" t="s">
        <v>85</v>
      </c>
      <c r="V3" s="100" t="s">
        <v>1</v>
      </c>
    </row>
    <row r="4" spans="1:22">
      <c r="B4" s="96"/>
      <c r="C4" s="96"/>
      <c r="D4" s="92"/>
      <c r="J4" s="92"/>
      <c r="L4" s="96"/>
      <c r="M4" s="96"/>
      <c r="N4" s="96"/>
      <c r="O4" s="96"/>
      <c r="P4" s="94"/>
      <c r="Q4" s="97"/>
      <c r="R4" s="99" t="s">
        <v>86</v>
      </c>
      <c r="S4" s="101">
        <f>P8</f>
        <v>2987500</v>
      </c>
      <c r="T4" s="101">
        <f>P15</f>
        <v>8294500.0000000009</v>
      </c>
      <c r="U4" s="101">
        <f>P20</f>
        <v>651500</v>
      </c>
      <c r="V4" s="101">
        <f>SUM(S4:U4)</f>
        <v>11933500</v>
      </c>
    </row>
    <row r="5" spans="1:22">
      <c r="B5" s="96"/>
      <c r="C5" s="96"/>
      <c r="D5" s="92"/>
      <c r="J5" s="92"/>
      <c r="K5" s="92"/>
      <c r="L5" s="96"/>
      <c r="M5" s="96"/>
      <c r="N5" s="96"/>
      <c r="O5" s="96"/>
      <c r="P5" s="94"/>
      <c r="Q5" s="97"/>
      <c r="R5" s="102" t="s">
        <v>87</v>
      </c>
      <c r="S5" s="204">
        <f>S4/V4</f>
        <v>0.2503456655633301</v>
      </c>
      <c r="T5" s="204">
        <f>T4/V4</f>
        <v>0.69506012485859148</v>
      </c>
      <c r="U5" s="204">
        <f>U4/V4</f>
        <v>5.459420957807852E-2</v>
      </c>
      <c r="V5" s="92"/>
    </row>
    <row r="6" spans="1:22">
      <c r="B6" s="96"/>
      <c r="C6" s="96"/>
      <c r="D6" s="92"/>
      <c r="E6" s="92"/>
      <c r="F6" s="92"/>
      <c r="G6" s="92"/>
      <c r="H6" s="92"/>
      <c r="I6" s="92"/>
      <c r="J6" s="92"/>
      <c r="K6" s="92"/>
      <c r="L6" s="96"/>
      <c r="M6" s="96"/>
      <c r="N6" s="96"/>
      <c r="O6" s="96"/>
      <c r="P6" s="94"/>
      <c r="Q6" s="97"/>
      <c r="R6"/>
      <c r="S6"/>
      <c r="T6"/>
    </row>
    <row r="7" spans="1:22" ht="25" thickBot="1">
      <c r="D7" s="92"/>
      <c r="E7" s="92"/>
      <c r="F7" s="92"/>
      <c r="G7" s="92"/>
      <c r="H7" s="92"/>
      <c r="I7" s="92"/>
      <c r="J7" s="92"/>
      <c r="K7" s="92"/>
      <c r="S7"/>
      <c r="T7"/>
    </row>
    <row r="8" spans="1:22">
      <c r="A8" s="437" t="s">
        <v>83</v>
      </c>
      <c r="B8" s="103" t="s">
        <v>88</v>
      </c>
      <c r="C8" s="104"/>
      <c r="D8" s="105"/>
      <c r="E8" s="105"/>
      <c r="F8" s="105"/>
      <c r="G8" s="105"/>
      <c r="H8" s="105"/>
      <c r="I8" s="105"/>
      <c r="J8" s="105"/>
      <c r="K8" s="105"/>
      <c r="L8" s="105"/>
      <c r="M8" s="105"/>
      <c r="N8" s="105"/>
      <c r="O8" s="105"/>
      <c r="P8" s="106">
        <f>SUM(P9:P10)</f>
        <v>2987500</v>
      </c>
      <c r="R8" s="99" t="s">
        <v>89</v>
      </c>
      <c r="S8" s="42"/>
      <c r="T8"/>
    </row>
    <row r="9" spans="1:22">
      <c r="A9" s="437"/>
      <c r="B9" s="107" t="s">
        <v>6</v>
      </c>
      <c r="P9" s="108">
        <f>SUM(ICT_Manday!E62:E63)</f>
        <v>2520000</v>
      </c>
      <c r="R9" s="102" t="s">
        <v>90</v>
      </c>
      <c r="S9" s="42"/>
      <c r="T9"/>
    </row>
    <row r="10" spans="1:22" ht="25" thickBot="1">
      <c r="A10" s="437"/>
      <c r="B10" s="109" t="s">
        <v>78</v>
      </c>
      <c r="C10" s="110"/>
      <c r="D10" s="111"/>
      <c r="E10" s="111"/>
      <c r="F10" s="111"/>
      <c r="G10" s="111"/>
      <c r="H10" s="111"/>
      <c r="I10" s="111"/>
      <c r="J10" s="111"/>
      <c r="K10" s="111"/>
      <c r="L10" s="110"/>
      <c r="M10" s="110"/>
      <c r="N10" s="110"/>
      <c r="O10" s="110"/>
      <c r="P10" s="112">
        <f>ICT_Manday!F64</f>
        <v>467500</v>
      </c>
      <c r="R10"/>
      <c r="S10"/>
      <c r="T10"/>
    </row>
    <row r="11" spans="1:22">
      <c r="R11"/>
      <c r="S11"/>
      <c r="T11"/>
    </row>
    <row r="12" spans="1:22" ht="25" thickBot="1">
      <c r="A12" s="113"/>
      <c r="B12" s="113"/>
      <c r="C12" s="113"/>
      <c r="P12" s="114"/>
      <c r="R12"/>
      <c r="S12"/>
      <c r="T12"/>
    </row>
    <row r="13" spans="1:22" s="113" customFormat="1">
      <c r="A13" s="437" t="s">
        <v>84</v>
      </c>
      <c r="B13" s="438" t="s">
        <v>91</v>
      </c>
      <c r="C13" s="440" t="s">
        <v>87</v>
      </c>
      <c r="D13" s="115" t="s">
        <v>92</v>
      </c>
      <c r="E13" s="115" t="s">
        <v>93</v>
      </c>
      <c r="F13" s="115" t="s">
        <v>94</v>
      </c>
      <c r="G13" s="115" t="s">
        <v>95</v>
      </c>
      <c r="H13" s="115" t="s">
        <v>96</v>
      </c>
      <c r="I13" s="116" t="s">
        <v>97</v>
      </c>
      <c r="J13" s="117" t="s">
        <v>98</v>
      </c>
      <c r="K13" s="117" t="s">
        <v>99</v>
      </c>
      <c r="L13" s="118" t="s">
        <v>96</v>
      </c>
      <c r="M13" s="119" t="s">
        <v>100</v>
      </c>
      <c r="N13" s="120" t="s">
        <v>101</v>
      </c>
      <c r="O13" s="121" t="s">
        <v>102</v>
      </c>
      <c r="P13" s="122" t="s">
        <v>1</v>
      </c>
      <c r="Q13" s="123"/>
      <c r="R13"/>
      <c r="S13"/>
      <c r="T13"/>
    </row>
    <row r="14" spans="1:22" s="130" customFormat="1">
      <c r="A14" s="437"/>
      <c r="B14" s="439"/>
      <c r="C14" s="441"/>
      <c r="D14" s="124"/>
      <c r="E14" s="124"/>
      <c r="F14" s="124"/>
      <c r="G14" s="124"/>
      <c r="H14" s="124"/>
      <c r="I14" s="124"/>
      <c r="J14" s="124"/>
      <c r="K14" s="124"/>
      <c r="L14" s="125">
        <f>SUM(L15:L16)</f>
        <v>0</v>
      </c>
      <c r="M14" s="126">
        <f>SUM(M15:M16)</f>
        <v>0</v>
      </c>
      <c r="N14" s="127"/>
      <c r="O14" s="128">
        <f>SUM(O15:O16)</f>
        <v>0</v>
      </c>
      <c r="P14" s="129"/>
      <c r="Q14" s="123"/>
      <c r="R14"/>
      <c r="S14"/>
      <c r="T14"/>
      <c r="U14" s="113"/>
    </row>
    <row r="15" spans="1:22" s="93" customFormat="1">
      <c r="A15" s="131">
        <v>2.1</v>
      </c>
      <c r="B15" s="132" t="s">
        <v>103</v>
      </c>
      <c r="C15" s="133"/>
      <c r="D15" s="134"/>
      <c r="E15" s="135"/>
      <c r="F15" s="135"/>
      <c r="G15" s="135"/>
      <c r="H15" s="136"/>
      <c r="I15" s="134"/>
      <c r="J15" s="135"/>
      <c r="K15" s="135"/>
      <c r="L15" s="137"/>
      <c r="M15" s="137"/>
      <c r="N15" s="137"/>
      <c r="O15" s="137"/>
      <c r="P15" s="138">
        <f>SUM(P16:P18)</f>
        <v>8294500.0000000009</v>
      </c>
      <c r="Q15" s="139"/>
      <c r="R15"/>
      <c r="S15"/>
      <c r="T15" s="140"/>
      <c r="U15" s="100"/>
    </row>
    <row r="16" spans="1:22" s="93" customFormat="1" ht="28" customHeight="1">
      <c r="A16" s="93">
        <v>1</v>
      </c>
      <c r="B16" s="199" t="s">
        <v>103</v>
      </c>
      <c r="C16" s="148"/>
      <c r="D16" s="143"/>
      <c r="E16" s="143"/>
      <c r="F16" s="146"/>
      <c r="G16" s="146"/>
      <c r="H16" s="142">
        <f>'Grand Total'!H12</f>
        <v>7810000.0000000009</v>
      </c>
      <c r="I16" s="143"/>
      <c r="J16" s="141"/>
      <c r="K16" s="141"/>
      <c r="L16" s="144"/>
      <c r="M16" s="144"/>
      <c r="N16" s="144"/>
      <c r="O16" s="144"/>
      <c r="P16" s="108">
        <f>SUM(D16:H16)</f>
        <v>7810000.0000000009</v>
      </c>
      <c r="Q16" s="139"/>
      <c r="U16" s="145"/>
    </row>
    <row r="17" spans="1:21" s="93" customFormat="1">
      <c r="A17" s="93">
        <v>8</v>
      </c>
      <c r="B17" s="147" t="s">
        <v>185</v>
      </c>
      <c r="C17" s="148"/>
      <c r="D17" s="143"/>
      <c r="E17" s="141"/>
      <c r="F17" s="142"/>
      <c r="G17" s="141"/>
      <c r="H17" s="142"/>
      <c r="I17" s="143"/>
      <c r="J17" s="141"/>
      <c r="K17" s="141">
        <f>ICT_Manday!G64</f>
        <v>433500</v>
      </c>
      <c r="L17" s="144">
        <f>SUM(D17:I17)</f>
        <v>0</v>
      </c>
      <c r="M17" s="144">
        <f>SUM(J17:K17)</f>
        <v>433500</v>
      </c>
      <c r="N17" s="144"/>
      <c r="O17" s="144"/>
      <c r="P17" s="108">
        <f>M17</f>
        <v>433500</v>
      </c>
      <c r="Q17" s="139"/>
      <c r="U17" s="145"/>
    </row>
    <row r="18" spans="1:21" ht="25" thickBot="1">
      <c r="A18" s="93">
        <v>9</v>
      </c>
      <c r="B18" s="109" t="s">
        <v>186</v>
      </c>
      <c r="C18" s="149"/>
      <c r="D18" s="157"/>
      <c r="E18" s="157"/>
      <c r="F18" s="157"/>
      <c r="G18" s="157"/>
      <c r="H18" s="157"/>
      <c r="I18" s="157"/>
      <c r="J18" s="157"/>
      <c r="K18" s="157"/>
      <c r="L18" s="110"/>
      <c r="M18" s="110"/>
      <c r="N18" s="110"/>
      <c r="O18" s="110"/>
      <c r="P18" s="112">
        <f>8500*6</f>
        <v>51000</v>
      </c>
    </row>
    <row r="19" spans="1:21" ht="25" thickBot="1">
      <c r="D19" s="151"/>
      <c r="E19" s="151"/>
      <c r="K19" s="151"/>
      <c r="O19" s="150"/>
      <c r="P19" s="114"/>
    </row>
    <row r="20" spans="1:21" s="95" customFormat="1">
      <c r="A20" s="201" t="s">
        <v>85</v>
      </c>
      <c r="B20" s="152" t="s">
        <v>104</v>
      </c>
      <c r="C20" s="153"/>
      <c r="D20" s="154"/>
      <c r="E20" s="154"/>
      <c r="F20" s="154"/>
      <c r="G20" s="154"/>
      <c r="H20" s="154"/>
      <c r="I20" s="154"/>
      <c r="J20" s="154"/>
      <c r="K20" s="154"/>
      <c r="L20" s="155"/>
      <c r="M20" s="155"/>
      <c r="N20" s="155"/>
      <c r="O20" s="155"/>
      <c r="P20" s="156">
        <f>P21+P22+P23+P31+P32+P33</f>
        <v>651500</v>
      </c>
      <c r="R20" s="91"/>
      <c r="S20" s="91"/>
      <c r="T20" s="91"/>
    </row>
    <row r="21" spans="1:21" s="95" customFormat="1">
      <c r="A21" s="93">
        <v>10</v>
      </c>
      <c r="B21" s="107" t="s">
        <v>189</v>
      </c>
      <c r="C21" s="91"/>
      <c r="D21" s="93"/>
      <c r="E21" s="93"/>
      <c r="F21" s="93"/>
      <c r="G21" s="93"/>
      <c r="H21" s="93"/>
      <c r="I21" s="93"/>
      <c r="J21" s="93"/>
      <c r="K21" s="93"/>
      <c r="L21" s="91"/>
      <c r="M21" s="91"/>
      <c r="N21" s="91"/>
      <c r="O21" s="91"/>
      <c r="P21" s="108">
        <f>ICT_Manday!M64</f>
        <v>102000</v>
      </c>
      <c r="R21" s="91"/>
      <c r="S21" s="91"/>
      <c r="T21" s="91"/>
    </row>
    <row r="22" spans="1:21" s="95" customFormat="1">
      <c r="A22" s="93">
        <v>11</v>
      </c>
      <c r="B22" s="107" t="s">
        <v>199</v>
      </c>
      <c r="C22" s="91"/>
      <c r="D22" s="93"/>
      <c r="E22" s="93"/>
      <c r="F22" s="93"/>
      <c r="G22" s="93"/>
      <c r="H22" s="93"/>
      <c r="I22" s="93"/>
      <c r="J22" s="93"/>
      <c r="K22" s="93"/>
      <c r="L22" s="91"/>
      <c r="M22" s="91"/>
      <c r="N22" s="91"/>
      <c r="O22" s="91"/>
      <c r="P22" s="108">
        <f>SUM(ICT_Manday!H28:H31)*8500</f>
        <v>229500</v>
      </c>
      <c r="R22" s="91"/>
      <c r="S22" s="91"/>
      <c r="T22" s="91"/>
    </row>
    <row r="23" spans="1:21" s="95" customFormat="1">
      <c r="A23" s="93">
        <v>11</v>
      </c>
      <c r="B23" s="107" t="s">
        <v>188</v>
      </c>
      <c r="C23" s="91"/>
      <c r="D23" s="93"/>
      <c r="E23" s="93"/>
      <c r="F23" s="93"/>
      <c r="G23" s="93"/>
      <c r="H23" s="93"/>
      <c r="I23" s="93"/>
      <c r="J23" s="93"/>
      <c r="K23" s="93"/>
      <c r="L23" s="91"/>
      <c r="M23" s="91"/>
      <c r="N23" s="91"/>
      <c r="O23" s="91"/>
      <c r="P23" s="200">
        <f>SUM(P24:P30)</f>
        <v>76500</v>
      </c>
      <c r="R23" s="91"/>
      <c r="S23" s="91"/>
      <c r="T23" s="91"/>
    </row>
    <row r="24" spans="1:21">
      <c r="B24" s="107" t="s">
        <v>107</v>
      </c>
      <c r="C24" s="148"/>
      <c r="D24" s="92"/>
      <c r="E24" s="92"/>
      <c r="F24" s="92"/>
      <c r="G24" s="92"/>
      <c r="H24" s="92"/>
      <c r="I24" s="92"/>
      <c r="J24" s="92"/>
      <c r="K24" s="92"/>
      <c r="P24" s="108">
        <v>8500</v>
      </c>
    </row>
    <row r="25" spans="1:21">
      <c r="A25" s="93"/>
      <c r="B25" s="107" t="s">
        <v>108</v>
      </c>
      <c r="C25" s="148"/>
      <c r="D25" s="92"/>
      <c r="E25" s="92"/>
      <c r="F25" s="92"/>
      <c r="G25" s="92"/>
      <c r="H25" s="92"/>
      <c r="I25" s="92"/>
      <c r="J25" s="92"/>
      <c r="K25" s="92"/>
      <c r="P25" s="108">
        <v>8500</v>
      </c>
    </row>
    <row r="26" spans="1:21">
      <c r="B26" s="107" t="s">
        <v>109</v>
      </c>
      <c r="C26" s="148"/>
      <c r="D26" s="92"/>
      <c r="E26" s="92"/>
      <c r="F26" s="92"/>
      <c r="G26" s="92"/>
      <c r="H26" s="92"/>
      <c r="I26" s="92"/>
      <c r="J26" s="92"/>
      <c r="K26" s="92"/>
      <c r="P26" s="108">
        <v>8500</v>
      </c>
    </row>
    <row r="27" spans="1:21">
      <c r="A27" s="93"/>
      <c r="B27" s="107" t="s">
        <v>110</v>
      </c>
      <c r="C27" s="148"/>
      <c r="D27" s="92"/>
      <c r="E27" s="92"/>
      <c r="F27" s="92"/>
      <c r="G27" s="92"/>
      <c r="H27" s="92"/>
      <c r="I27" s="92"/>
      <c r="J27" s="92"/>
      <c r="K27" s="92"/>
      <c r="P27" s="108">
        <v>8500</v>
      </c>
    </row>
    <row r="28" spans="1:21">
      <c r="B28" s="107" t="s">
        <v>111</v>
      </c>
      <c r="C28" s="148"/>
      <c r="D28" s="92"/>
      <c r="E28" s="92"/>
      <c r="F28" s="92"/>
      <c r="G28" s="92"/>
      <c r="H28" s="92"/>
      <c r="I28" s="92"/>
      <c r="J28" s="92"/>
      <c r="K28" s="92"/>
      <c r="P28" s="108">
        <v>8500</v>
      </c>
    </row>
    <row r="29" spans="1:21">
      <c r="A29" s="93"/>
      <c r="B29" s="107" t="s">
        <v>112</v>
      </c>
      <c r="C29" s="148"/>
      <c r="D29" s="92"/>
      <c r="E29" s="92"/>
      <c r="F29" s="92"/>
      <c r="G29" s="92"/>
      <c r="H29" s="92"/>
      <c r="I29" s="92"/>
      <c r="J29" s="92"/>
      <c r="K29" s="92"/>
      <c r="P29" s="108">
        <v>8500</v>
      </c>
    </row>
    <row r="30" spans="1:21" s="95" customFormat="1">
      <c r="A30" s="141"/>
      <c r="B30" s="107" t="s">
        <v>190</v>
      </c>
      <c r="C30" s="91"/>
      <c r="D30" s="93"/>
      <c r="E30" s="93"/>
      <c r="F30" s="93"/>
      <c r="G30" s="93"/>
      <c r="H30" s="93"/>
      <c r="I30" s="93"/>
      <c r="J30" s="93"/>
      <c r="K30" s="93"/>
      <c r="L30" s="91"/>
      <c r="M30" s="91"/>
      <c r="N30" s="91"/>
      <c r="O30" s="91"/>
      <c r="P30" s="108">
        <f>SUM(ICT_Manday!N62:N63)</f>
        <v>25500</v>
      </c>
      <c r="R30" s="91"/>
      <c r="S30" s="91"/>
      <c r="T30" s="91"/>
    </row>
    <row r="31" spans="1:21" s="95" customFormat="1">
      <c r="A31" s="91">
        <v>12</v>
      </c>
      <c r="B31" s="107" t="s">
        <v>105</v>
      </c>
      <c r="C31" s="91"/>
      <c r="D31" s="92"/>
      <c r="E31" s="92"/>
      <c r="F31" s="92"/>
      <c r="G31" s="92"/>
      <c r="H31" s="92"/>
      <c r="I31" s="92"/>
      <c r="J31" s="92"/>
      <c r="K31" s="92"/>
      <c r="L31" s="91"/>
      <c r="M31" s="91"/>
      <c r="N31" s="91"/>
      <c r="O31" s="91"/>
      <c r="P31" s="108">
        <f>SUM(ICT_Manday!I64:J64)</f>
        <v>99000</v>
      </c>
      <c r="R31" s="91"/>
      <c r="S31" s="91"/>
      <c r="T31" s="91"/>
    </row>
    <row r="32" spans="1:21" s="95" customFormat="1">
      <c r="A32" s="91">
        <v>13</v>
      </c>
      <c r="B32" s="107" t="s">
        <v>106</v>
      </c>
      <c r="C32" s="91"/>
      <c r="D32" s="92"/>
      <c r="E32" s="92"/>
      <c r="F32" s="92"/>
      <c r="G32" s="92"/>
      <c r="H32" s="92"/>
      <c r="I32" s="92"/>
      <c r="J32" s="92"/>
      <c r="K32" s="92"/>
      <c r="L32" s="91"/>
      <c r="M32" s="91"/>
      <c r="N32" s="91"/>
      <c r="O32" s="91"/>
      <c r="P32" s="108">
        <f>ICT_Manday!K64</f>
        <v>17000</v>
      </c>
      <c r="R32" s="91"/>
      <c r="S32" s="91"/>
      <c r="T32" s="91"/>
    </row>
    <row r="33" spans="1:18" ht="25" thickBot="1">
      <c r="A33" s="93">
        <v>14</v>
      </c>
      <c r="B33" s="109" t="s">
        <v>187</v>
      </c>
      <c r="C33" s="149"/>
      <c r="D33" s="157"/>
      <c r="E33" s="157"/>
      <c r="F33" s="157"/>
      <c r="G33" s="157"/>
      <c r="H33" s="157"/>
      <c r="I33" s="157"/>
      <c r="J33" s="157"/>
      <c r="K33" s="157"/>
      <c r="L33" s="110"/>
      <c r="M33" s="110"/>
      <c r="N33" s="110"/>
      <c r="O33" s="110"/>
      <c r="P33" s="112">
        <f>8500*15</f>
        <v>127500</v>
      </c>
    </row>
    <row r="35" spans="1:18">
      <c r="R35" s="150"/>
    </row>
  </sheetData>
  <mergeCells count="4">
    <mergeCell ref="A8:A10"/>
    <mergeCell ref="A13:A14"/>
    <mergeCell ref="B13:B14"/>
    <mergeCell ref="C13:C14"/>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B53330AF424484386F0A03DE1C50FEE" ma:contentTypeVersion="0" ma:contentTypeDescription="Create a new document." ma:contentTypeScope="" ma:versionID="2b372ff3092c8c37f3982edabca56205">
  <xsd:schema xmlns:xsd="http://www.w3.org/2001/XMLSchema" xmlns:xs="http://www.w3.org/2001/XMLSchema" xmlns:p="http://schemas.microsoft.com/office/2006/metadata/properties" targetNamespace="http://schemas.microsoft.com/office/2006/metadata/properties" ma:root="true" ma:fieldsID="4b795196365d0a2ba85bf44c386000f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E2676F6-D7FC-4FA6-A57C-77975F5BDC3D}">
  <ds:schemaRefs>
    <ds:schemaRef ds:uri="http://schemas.microsoft.com/sharepoint/v3/contenttype/forms"/>
  </ds:schemaRefs>
</ds:datastoreItem>
</file>

<file path=customXml/itemProps2.xml><?xml version="1.0" encoding="utf-8"?>
<ds:datastoreItem xmlns:ds="http://schemas.openxmlformats.org/officeDocument/2006/customXml" ds:itemID="{CF9E8171-AD0E-4123-9BF2-DDB277E1F16B}"/>
</file>

<file path=customXml/itemProps3.xml><?xml version="1.0" encoding="utf-8"?>
<ds:datastoreItem xmlns:ds="http://schemas.openxmlformats.org/officeDocument/2006/customXml" ds:itemID="{E6C06EEB-DF34-43A7-B3F3-61F711DE0708}">
  <ds:schemaRefs>
    <ds:schemaRef ds:uri="http://purl.org/dc/dcmitype/"/>
    <ds:schemaRef ds:uri="http://schemas.openxmlformats.org/package/2006/metadata/core-properties"/>
    <ds:schemaRef ds:uri="http://schemas.microsoft.com/sharepoint/v3"/>
    <ds:schemaRef ds:uri="http://purl.org/dc/elements/1.1/"/>
    <ds:schemaRef ds:uri="http://purl.org/dc/terms/"/>
    <ds:schemaRef ds:uri="http://www.w3.org/XML/1998/namespace"/>
    <ds:schemaRef ds:uri="http://schemas.microsoft.com/office/infopath/2007/PartnerControls"/>
    <ds:schemaRef ds:uri="http://schemas.microsoft.com/office/2006/documentManagement/typ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Grand Total</vt:lpstr>
      <vt:lpstr>ICT_Manday</vt:lpstr>
      <vt:lpstr>Man-day-SAP Team</vt:lpstr>
      <vt:lpstr>Vendor Cost</vt:lpstr>
      <vt:lpstr>Project Timeline_Revise</vt:lpstr>
      <vt:lpstr>Project Timeline</vt:lpstr>
      <vt:lpstr>Project team</vt:lpstr>
      <vt:lpstr>Breakdown_Rev2</vt:lpstr>
      <vt:lpstr>Cost Brakedown Templete</vt:lpstr>
      <vt:lpstr>'Project team'!_Hlk44493142</vt:lpstr>
    </vt:vector>
  </TitlesOfParts>
  <Company>PTTICT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Wannika Jipibhop</dc:creator>
  <cp:lastModifiedBy>Wilaiwan Poothawon</cp:lastModifiedBy>
  <cp:lastPrinted>2019-09-05T09:57:07Z</cp:lastPrinted>
  <dcterms:created xsi:type="dcterms:W3CDTF">2014-03-05T16:20:38Z</dcterms:created>
  <dcterms:modified xsi:type="dcterms:W3CDTF">2025-11-10T07:01:33Z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0x010100DB53330AF424484386F0A03DE1C50FEE</vt:lpwstr>
  </property>
</Properties>
</file>