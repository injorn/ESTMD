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Work\Work List 2026\PTT Tank - eMOC\งบกลางปี 69\Release\"/>
    </mc:Choice>
  </mc:AlternateContent>
  <xr:revisionPtr revIDLastSave="0" documentId="13_ncr:1_{3ACA921F-FD8E-445D-8051-D3E4160ED9EA}" xr6:coauthVersionLast="47" xr6:coauthVersionMax="47" xr10:uidLastSave="{00000000-0000-0000-0000-000000000000}"/>
  <bookViews>
    <workbookView xWindow="1560" yWindow="1560" windowWidth="21600" windowHeight="11295" activeTab="1" xr2:uid="{00000000-000D-0000-FFFF-FFFF00000000}"/>
  </bookViews>
  <sheets>
    <sheet name="Total" sheetId="6" r:id="rId1"/>
    <sheet name="Digital_Manday" sheetId="5" r:id="rId2"/>
    <sheet name="Vendor Cost" sheetId="4" r:id="rId3"/>
    <sheet name="Project Timeline" sheetId="10" r:id="rId4"/>
    <sheet name="Scope of Work" sheetId="7" r:id="rId5"/>
  </sheets>
  <definedNames>
    <definedName name="_Toc184826375" localSheetId="2">'Vendor Cost'!$J$26</definedName>
    <definedName name="_Toc184826376" localSheetId="2">'Vendor Cost'!$J$49</definedName>
    <definedName name="_Toc184826377" localSheetId="2">'Vendor Cost'!$J$39</definedName>
    <definedName name="PriceRole">#REF!</definedName>
    <definedName name="Ro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5" i="5" l="1"/>
  <c r="F43" i="5"/>
  <c r="F46" i="5" s="1"/>
  <c r="F47" i="5" l="1"/>
  <c r="C17" i="6"/>
  <c r="G8" i="4" l="1"/>
  <c r="G7" i="4" l="1"/>
  <c r="G6" i="4"/>
  <c r="E11" i="4" l="1"/>
  <c r="E45" i="5" l="1"/>
  <c r="G45" i="5"/>
  <c r="H45" i="5"/>
  <c r="D45" i="5"/>
  <c r="I45" i="5" l="1"/>
  <c r="C3" i="6" s="1"/>
  <c r="C18" i="6"/>
  <c r="C19" i="6" l="1"/>
  <c r="C15" i="6"/>
  <c r="C16" i="6"/>
  <c r="E43" i="5"/>
  <c r="E46" i="5" l="1"/>
  <c r="G43" i="5"/>
  <c r="H43" i="5"/>
  <c r="E47" i="5" l="1"/>
  <c r="G46" i="5"/>
  <c r="G47" i="5" s="1"/>
  <c r="H46" i="5"/>
  <c r="C20" i="6"/>
  <c r="E13" i="4"/>
  <c r="C33" i="6" s="1"/>
  <c r="H47" i="5" l="1"/>
  <c r="C32" i="6"/>
  <c r="C5" i="6"/>
  <c r="D43" i="5"/>
  <c r="D46" i="5" s="1"/>
  <c r="I43" i="5" l="1"/>
  <c r="I46" i="5"/>
  <c r="C4" i="6" s="1"/>
  <c r="C6" i="6" s="1"/>
  <c r="C22" i="6" s="1"/>
  <c r="D47" i="5"/>
  <c r="I47" i="5" s="1"/>
  <c r="C30" i="6" l="1"/>
  <c r="C28" i="6"/>
  <c r="C35" i="6" s="1"/>
  <c r="C36" i="6" s="1"/>
  <c r="C29" i="6"/>
</calcChain>
</file>

<file path=xl/sharedStrings.xml><?xml version="1.0" encoding="utf-8"?>
<sst xmlns="http://schemas.openxmlformats.org/spreadsheetml/2006/main" count="210" uniqueCount="156">
  <si>
    <t>Vendor Cost + 10 %</t>
  </si>
  <si>
    <t>Total</t>
  </si>
  <si>
    <t>ค่าเดินทาง (PM)</t>
  </si>
  <si>
    <t>วัน</t>
  </si>
  <si>
    <t>ค่าเบี้ยเลี้ยง (PM)</t>
  </si>
  <si>
    <t>ค่าเดินทาง (BA)</t>
  </si>
  <si>
    <t>ค่าเบี้ยเลี้ยง (BA)</t>
  </si>
  <si>
    <t>ค่าที่พัก BA</t>
  </si>
  <si>
    <t>ที่พัก</t>
  </si>
  <si>
    <t>PM + BA</t>
  </si>
  <si>
    <t>Grand Total</t>
  </si>
  <si>
    <t>PTT Paid (PTT--&gt;PTT Digital)</t>
  </si>
  <si>
    <t>Vendor Ratio</t>
  </si>
  <si>
    <t>PTT Digital Ratio</t>
  </si>
  <si>
    <t>Business Requirement</t>
  </si>
  <si>
    <t>Phase</t>
  </si>
  <si>
    <t>Details</t>
  </si>
  <si>
    <t>Deliverables</t>
  </si>
  <si>
    <t>Business Development</t>
  </si>
  <si>
    <t>Gather Initial Requirements</t>
  </si>
  <si>
    <t>Proposal, TOR</t>
  </si>
  <si>
    <t>Vendor Selection</t>
  </si>
  <si>
    <t>Impact analyst</t>
  </si>
  <si>
    <t>Project Planning</t>
  </si>
  <si>
    <t>Kick-Off Meeting</t>
  </si>
  <si>
    <t>Create Project Plan, Other Plans and Integrate to Project Plan</t>
  </si>
  <si>
    <t>WBS &amp; Risk Management</t>
  </si>
  <si>
    <t>Requirement Development</t>
  </si>
  <si>
    <t>Requirement Gathering</t>
  </si>
  <si>
    <t>Confirm Requirement Specification with Customer</t>
  </si>
  <si>
    <t>Sign off Requirement Specification</t>
  </si>
  <si>
    <t>Design</t>
  </si>
  <si>
    <t>Analysis &amp; Create Design Specification</t>
  </si>
  <si>
    <t>Sign-Off Requirement  &amp; Design Specification</t>
  </si>
  <si>
    <t>Peer Review Design Specification</t>
  </si>
  <si>
    <t>Clarify Design with Customer</t>
  </si>
  <si>
    <t>Sign off Design Specification</t>
  </si>
  <si>
    <t>Prepare and setup Test Environment</t>
  </si>
  <si>
    <t>Development</t>
  </si>
  <si>
    <t>Software Implementation &amp; Unit Test</t>
  </si>
  <si>
    <t>System Integration Test</t>
  </si>
  <si>
    <t>User Acceptance Test (UAT)</t>
  </si>
  <si>
    <t>Sign-Off UAT</t>
  </si>
  <si>
    <t>Create Baseline for Final Preparation</t>
  </si>
  <si>
    <t>Final Preparation</t>
  </si>
  <si>
    <t>Develop Deployment Plan &amp; Readiness Checklist</t>
  </si>
  <si>
    <t>Create release documents</t>
  </si>
  <si>
    <t>Prepare and conduct Training</t>
  </si>
  <si>
    <t>Prepare and perform Data migration/conversion</t>
  </si>
  <si>
    <t>Prepare and setup Production Environment</t>
  </si>
  <si>
    <t>Technical Training</t>
  </si>
  <si>
    <t>Project Closure</t>
  </si>
  <si>
    <t>Sign-Off GO Live</t>
  </si>
  <si>
    <t>Evaluate supplier/vendor</t>
  </si>
  <si>
    <t>Survey Customer Satisfaction</t>
  </si>
  <si>
    <t>Create Project closure report and Completion sign-off</t>
  </si>
  <si>
    <t>Project Management</t>
  </si>
  <si>
    <t>Control &amp; Monitoring</t>
  </si>
  <si>
    <t>Cost / Day</t>
  </si>
  <si>
    <t>Cost (BD Phase)</t>
  </si>
  <si>
    <t>Cost  (Development Phase)</t>
  </si>
  <si>
    <t>Order</t>
  </si>
  <si>
    <t>Description</t>
  </si>
  <si>
    <t>Cost</t>
  </si>
  <si>
    <t>Test</t>
  </si>
  <si>
    <t>Go Live</t>
  </si>
  <si>
    <t>Discount</t>
  </si>
  <si>
    <t>ราคานี้ยังไม่รวม Vat 7%</t>
  </si>
  <si>
    <t>Project Activity</t>
  </si>
  <si>
    <t>M1</t>
  </si>
  <si>
    <t>M2</t>
  </si>
  <si>
    <t>M3</t>
  </si>
  <si>
    <t>M4</t>
  </si>
  <si>
    <t>M5</t>
  </si>
  <si>
    <t>M6</t>
  </si>
  <si>
    <t>W1</t>
  </si>
  <si>
    <t>W2</t>
  </si>
  <si>
    <t>W3</t>
  </si>
  <si>
    <t>W4</t>
  </si>
  <si>
    <t xml:space="preserve"> - Requirement Gathering</t>
  </si>
  <si>
    <t xml:space="preserve"> - Business Requirement Document</t>
  </si>
  <si>
    <t xml:space="preserve"> - Detailed Design</t>
  </si>
  <si>
    <t xml:space="preserve"> - Detailed Design Document</t>
  </si>
  <si>
    <r>
      <t xml:space="preserve"> </t>
    </r>
    <r>
      <rPr>
        <b/>
        <sz val="8"/>
        <color rgb="FF0070C0"/>
        <rFont val="Tahoma"/>
        <family val="2"/>
        <scheme val="minor"/>
      </rPr>
      <t>- Design Sign-off</t>
    </r>
  </si>
  <si>
    <t>Software Development</t>
  </si>
  <si>
    <t xml:space="preserve"> - Web Development</t>
  </si>
  <si>
    <t>Testing</t>
  </si>
  <si>
    <t xml:space="preserve"> - System Integration Test</t>
  </si>
  <si>
    <t xml:space="preserve"> - User Acceptance Test</t>
  </si>
  <si>
    <t xml:space="preserve"> - Training</t>
  </si>
  <si>
    <t xml:space="preserve"> - Deployment &amp; Go-Live</t>
  </si>
  <si>
    <t xml:space="preserve"> - Go-Live Sign-off</t>
  </si>
  <si>
    <t>Design phase</t>
  </si>
  <si>
    <t>Proposal ID</t>
  </si>
  <si>
    <t>หัวข้อ</t>
  </si>
  <si>
    <t>Digital Cost (Development Phase)</t>
  </si>
  <si>
    <t>Digital Cost (BD Phase)</t>
  </si>
  <si>
    <t>PTT Digital Paid (PTT Digital--&gt;Vendor)</t>
  </si>
  <si>
    <t>Develop Unit test script</t>
  </si>
  <si>
    <t>Jr.</t>
  </si>
  <si>
    <t>Require</t>
  </si>
  <si>
    <t>Y</t>
  </si>
  <si>
    <t xml:space="preserve">Create Test Senario </t>
  </si>
  <si>
    <t>PM-Nantaporn P.</t>
  </si>
  <si>
    <t>Confirm Test Senario with Customer</t>
  </si>
  <si>
    <t>รวมค่าเดินทางและเบี้ยเลี้ยง</t>
  </si>
  <si>
    <t>ค่าเดินทาง PM</t>
  </si>
  <si>
    <t>ค่าเบี้ยเลี้ยง PM</t>
  </si>
  <si>
    <t>ค่าเบี้ยเลี้ยง BA</t>
  </si>
  <si>
    <t>ค่าเดินทาง BA</t>
  </si>
  <si>
    <t>Web Scan (Acunetix)</t>
  </si>
  <si>
    <t>Support After Go-live 1 Month</t>
  </si>
  <si>
    <t>Go-live Sign off</t>
  </si>
  <si>
    <t>Estimated Budget #1</t>
  </si>
  <si>
    <t>ค่าปรับปรุงระบบเว็บ MOC</t>
  </si>
  <si>
    <t>Sharepoint Admin</t>
  </si>
  <si>
    <t>ATA/C</t>
  </si>
  <si>
    <t>Go-live</t>
  </si>
  <si>
    <t xml:space="preserve">โครงการ ENH-PTT Tank-eMOC
</t>
  </si>
  <si>
    <t>Vendor : บริษัท ธาลาโม จำกัด</t>
  </si>
  <si>
    <t xml:space="preserve">โครงการ   ENH-PTT Tank eMOC 2569
</t>
  </si>
  <si>
    <t>ENH-PTT Tank eMOC 2569</t>
  </si>
  <si>
    <t>Out of Scope</t>
  </si>
  <si>
    <t>ฟังก์ชันการให้ Admin สามารถถอย Part ได้</t>
  </si>
  <si>
    <t>ไม่มีการทำ Knowledge Transfer to PTT Digital</t>
  </si>
  <si>
    <t xml:space="preserve"> งานอื่นใดที่ไม่ได้ระบุอยู่ในหัวข้อที่ 2  “Areas in scope” ให้ถือเป็นงานที่อยู่นอกเหนือขอบเขตของข้อเสนอโครงการนี้ งานที่ระบุต่อไปนี้เป็นงานที่อยู่นอกเหนือขอบเขตของข้อเสนอโครงการนี้</t>
  </si>
  <si>
    <t>การแก้ไขปัญหาระบบอื่น ๆ ที่เกี่ยวข้อง เช่น ปัญหาของระบบงาน Active Directory, Mail server, Reverse Proxy Server  เป็นต้น</t>
  </si>
  <si>
    <t>การแก้ไขปัญหา Hardware และ Network</t>
  </si>
  <si>
    <t>การแก้ไขปัญหาที่เกิดจาก Bugs ของ Software เช่น SharePoint, SQL Server, Windows Server เป็นต้น</t>
  </si>
  <si>
    <t>การนำเข้าข้อมูล Content (Content Authoring) เช่น กรอกหรือนำเข้าข้อมูล Members เป็นต้น</t>
  </si>
  <si>
    <t> การทำ Content Migration, Data Cleansing</t>
  </si>
  <si>
    <t> Developer license ของเครื่องมือที่ใช้ในการพัฒนา ได้แก่ Kendo UI</t>
  </si>
  <si>
    <t>การตั้งค่า Network เพื่อให้ผู้ใช้งานบริษัทในกลุ่ม ปตท. ให้สามารถเข้าใช้งานระบบงานได้</t>
  </si>
  <si>
    <t>การเข้าสู่กระบวนการ DevOps Process</t>
  </si>
  <si>
    <t xml:space="preserve">การ Scan และแก้ไข Coverity, BlackDucks, Acunetix หรือ Security Scan อื่น ๆ ทั้งในช่วง Implementation และช่วง Warranty </t>
  </si>
  <si>
    <t>BA</t>
  </si>
  <si>
    <t>Tester</t>
  </si>
  <si>
    <t>SA</t>
  </si>
  <si>
    <t xml:space="preserve">Source Code Scan (Coverity and Black Duck) </t>
  </si>
  <si>
    <t>เป็น Sharepoint เครื่อง Pool ไม่สามารถดำเนินการได้</t>
  </si>
  <si>
    <t>เป็น Sharepoint ซี่งเป็น Software package จึงไม่ต้องดำเนินการใน Task นี้</t>
  </si>
  <si>
    <t>PO&amp;PR , Project Planing</t>
  </si>
  <si>
    <t>Test &amp; Go live Phase</t>
  </si>
  <si>
    <t>ปรับปรุง Part review โดยเพิ่ม function การ assignment implementor จาก รวก. หรือ รปค. หลังจาก MOC ได้รับการอนุมัติให้ดำเนินการใน Part review</t>
  </si>
  <si>
    <t>เพิ่มความถี่ในการส่ง e-mail แจ้งเตือนการอนุมัติ โดยให้แจ้งเตือนทุกวันจนกว่าจะอนุมัติ</t>
  </si>
  <si>
    <t>แก้ไข Function การอนุมัติให้ Reviewer สามารถคลิ๊กอนุมัติได้โดยไม่ติด Feedback</t>
  </si>
  <si>
    <t>เพิ่ม Authorize ให้ Admin สามารถแก้ไขข้อความหรือเพิ่มไฟล์แนบในแต่ละ Step ทั้งใน part ปัจจุบันและรวมถึง part ที่ผ่านมาแล้ว</t>
  </si>
  <si>
    <t>กำหนด ผจ.ปร. และ ผจ.ปค. เป็น Area manager เพื่อพิจารณาอนุมัติ MOC ที่ทำเสร็จแล้ว ก่อนเริ่ม Start up ใน Part Implementation</t>
  </si>
  <si>
    <t>บล็อก Function override ให้ไม่สามารถกรอกข้อมูลได้ แต่ยังคงข้อมูลเดิมในระบบ</t>
  </si>
  <si>
    <t>เพิ่ม e-mail แจ้งเตือน initiator หลังจากอนุมัติ Part review, ก่อนเริ่ม Start up และเมื่อจบ Close out</t>
  </si>
  <si>
    <t>ลบ item แนบเอกสารใน part implement และ close out ที่ไม่จำเป็นออก</t>
  </si>
  <si>
    <t>ปรับเปลี่ยนชื่อ Role: MOC Owner เป็น MOC Engineer ครอบคลุมทั้ง Plant change และ Maintenance change</t>
  </si>
  <si>
    <t>ใน Part Implement เพิ่มขั้นตอนให้ ผจ.ส่วน ของ Implementer เลือก Implementer ได้</t>
  </si>
  <si>
    <t>(ระยะเวลาโครงการ 160วัน)</t>
  </si>
  <si>
    <t>Proposal-07-PTTTank-eMOC-2026.pdf</t>
  </si>
  <si>
    <t>Nantaporn 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</si>
</sst>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฿&quot;* #,##0.00_-;\-&quot;฿&quot;* #,##0.00_-;_-&quot;฿&quot;* &quot;-&quot;??_-;_-@_-"/>
    <numFmt numFmtId="43" formatCode="_-* #,##0.00_-;\-* #,##0.00_-;_-* &quot;-&quot;??_-;_-@_-"/>
    <numFmt numFmtId="187" formatCode="_(* #,##0.00_);_(* \(#,##0.00\);_(* &quot;-&quot;??_);_(@_)"/>
    <numFmt numFmtId="188" formatCode="&quot;฿&quot;#,##0.00"/>
    <numFmt numFmtId="189" formatCode="_-[$฿-41E]* #,##0.00_-;\-[$฿-41E]* #,##0.00_-;_-[$฿-41E]* &quot;-&quot;??_-;_-@_-"/>
    <numFmt numFmtId="190" formatCode="B1mmm\-yy"/>
    <numFmt numFmtId="191" formatCode="_-* #,##0_-;\-* #,##0_-;_-* &quot;-&quot;??_-;_-@_-"/>
    <numFmt numFmtId="192" formatCode="_-[$฿-41E]* #,##0_-;\-[$฿-41E]* #,##0_-;_-[$฿-41E]* &quot;-&quot;??_-;_-@_-"/>
  </numFmts>
  <fonts count="38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0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b/>
      <sz val="9"/>
      <color rgb="FFFFFFFF"/>
      <name val="Tahoma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sz val="10"/>
      <color theme="1"/>
      <name val="Tahoma"/>
      <family val="2"/>
      <charset val="222"/>
      <scheme val="minor"/>
    </font>
    <font>
      <b/>
      <sz val="10"/>
      <color theme="0"/>
      <name val="Tahoma"/>
      <family val="2"/>
      <scheme val="minor"/>
    </font>
    <font>
      <sz val="11"/>
      <color theme="1"/>
      <name val="Tahoma"/>
      <family val="2"/>
      <scheme val="minor"/>
    </font>
    <font>
      <sz val="10"/>
      <color theme="1"/>
      <name val="Sathu"/>
      <family val="2"/>
    </font>
    <font>
      <b/>
      <sz val="11"/>
      <color rgb="FF0070C0"/>
      <name val="Tahoma"/>
      <family val="2"/>
      <scheme val="minor"/>
    </font>
    <font>
      <b/>
      <sz val="10"/>
      <name val="Tahoma"/>
      <family val="2"/>
      <scheme val="minor"/>
    </font>
    <font>
      <sz val="10"/>
      <name val="Tahoma"/>
      <family val="2"/>
      <scheme val="minor"/>
    </font>
    <font>
      <b/>
      <sz val="11"/>
      <color rgb="FF00B050"/>
      <name val="Tahoma"/>
      <family val="2"/>
      <scheme val="minor"/>
    </font>
    <font>
      <b/>
      <sz val="11"/>
      <name val="Tahoma"/>
      <family val="2"/>
      <scheme val="minor"/>
    </font>
    <font>
      <sz val="9"/>
      <name val="Tahoma"/>
      <family val="2"/>
    </font>
    <font>
      <sz val="8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8"/>
      <color theme="1"/>
      <name val="Tahoma"/>
      <family val="2"/>
      <scheme val="minor"/>
    </font>
    <font>
      <b/>
      <sz val="8"/>
      <color theme="1"/>
      <name val="Tahoma"/>
      <family val="2"/>
      <scheme val="minor"/>
    </font>
    <font>
      <b/>
      <sz val="8"/>
      <color rgb="FF0070C0"/>
      <name val="Tahoma"/>
      <family val="2"/>
      <scheme val="minor"/>
    </font>
    <font>
      <sz val="14"/>
      <color theme="1"/>
      <name val="Cordia New"/>
      <family val="2"/>
    </font>
    <font>
      <b/>
      <sz val="11"/>
      <color theme="1"/>
      <name val="Tahoma"/>
      <family val="2"/>
      <scheme val="minor"/>
    </font>
    <font>
      <b/>
      <sz val="11"/>
      <color theme="1" tint="0.499984740745262"/>
      <name val="Tahoma"/>
      <family val="2"/>
      <scheme val="minor"/>
    </font>
    <font>
      <b/>
      <sz val="14"/>
      <color rgb="FF000000"/>
      <name val="CordiaUPC"/>
      <family val="2"/>
    </font>
    <font>
      <b/>
      <sz val="14"/>
      <color theme="1"/>
      <name val="Cordia New"/>
      <family val="2"/>
    </font>
    <font>
      <sz val="12"/>
      <color theme="1"/>
      <name val="Cordia New"/>
      <family val="2"/>
    </font>
    <font>
      <sz val="14"/>
      <color theme="1"/>
      <name val="Tahoma"/>
      <family val="2"/>
      <charset val="222"/>
      <scheme val="minor"/>
    </font>
    <font>
      <b/>
      <sz val="14"/>
      <name val="Tahoma"/>
      <family val="2"/>
      <scheme val="minor"/>
    </font>
    <font>
      <sz val="14"/>
      <color theme="1"/>
      <name val="CordiaUPC"/>
      <family val="2"/>
    </font>
    <font>
      <sz val="10"/>
      <color theme="1"/>
      <name val="Tahoma"/>
      <family val="2"/>
    </font>
    <font>
      <sz val="12"/>
      <color theme="1"/>
      <name val="Tahoma"/>
      <family val="2"/>
    </font>
    <font>
      <b/>
      <sz val="10"/>
      <color rgb="FF4F81BD"/>
      <name val="Cambria"/>
      <family val="1"/>
    </font>
    <font>
      <sz val="9"/>
      <color theme="1"/>
      <name val="Tahoma"/>
      <family val="2"/>
      <scheme val="minor"/>
    </font>
    <font>
      <strike/>
      <sz val="9"/>
      <color theme="1"/>
      <name val="Tahoma"/>
      <family val="2"/>
      <scheme val="minor"/>
    </font>
    <font>
      <b/>
      <sz val="8"/>
      <color rgb="FF4F81BD"/>
      <name val="Cambria"/>
      <family val="1"/>
    </font>
    <font>
      <sz val="8"/>
      <color theme="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5" tint="0.59999389629810485"/>
        <bgColor indexed="64"/>
      </patternFill>
    </fill>
  </fills>
  <borders count="11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Dash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2"/>
      </bottom>
      <diagonal/>
    </border>
    <border>
      <left style="medium">
        <color indexed="64"/>
      </left>
      <right style="medium">
        <color indexed="64"/>
      </right>
      <top style="thin">
        <color theme="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2"/>
      </bottom>
      <diagonal/>
    </border>
    <border>
      <left style="medium">
        <color indexed="64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medium">
        <color indexed="64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medium">
        <color indexed="64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medium">
        <color indexed="64"/>
      </right>
      <top style="thin">
        <color theme="2"/>
      </top>
      <bottom/>
      <diagonal/>
    </border>
    <border>
      <left style="medium">
        <color indexed="64"/>
      </left>
      <right style="thin">
        <color theme="2"/>
      </right>
      <top style="medium">
        <color indexed="64"/>
      </top>
      <bottom style="medium">
        <color indexed="64"/>
      </bottom>
      <diagonal/>
    </border>
    <border>
      <left style="thin">
        <color theme="2"/>
      </left>
      <right style="thin">
        <color theme="2"/>
      </right>
      <top style="medium">
        <color indexed="64"/>
      </top>
      <bottom style="medium">
        <color indexed="64"/>
      </bottom>
      <diagonal/>
    </border>
    <border>
      <left style="thin">
        <color theme="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2"/>
      </top>
      <bottom style="medium">
        <color indexed="64"/>
      </bottom>
      <diagonal/>
    </border>
    <border>
      <left style="medium">
        <color indexed="64"/>
      </left>
      <right style="thin">
        <color theme="2"/>
      </right>
      <top style="thin">
        <color theme="2"/>
      </top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indexed="64"/>
      </bottom>
      <diagonal/>
    </border>
    <border>
      <left style="thin">
        <color theme="2"/>
      </left>
      <right style="medium">
        <color indexed="64"/>
      </right>
      <top style="thin">
        <color theme="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2"/>
      </left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2"/>
      </right>
      <top style="medium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medium">
        <color indexed="64"/>
      </top>
      <bottom style="thin">
        <color indexed="64"/>
      </bottom>
      <diagonal/>
    </border>
    <border>
      <left style="thin">
        <color theme="2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medium">
        <color indexed="64"/>
      </bottom>
      <diagonal/>
    </border>
    <border>
      <left style="thin">
        <color theme="2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2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2"/>
      </right>
      <top/>
      <bottom style="thin">
        <color indexed="64"/>
      </bottom>
      <diagonal/>
    </border>
    <border>
      <left style="medium">
        <color indexed="64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medium">
        <color indexed="64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medium">
        <color indexed="64"/>
      </right>
      <top style="thin">
        <color theme="2"/>
      </top>
      <bottom style="thin">
        <color indexed="64"/>
      </bottom>
      <diagonal/>
    </border>
    <border>
      <left/>
      <right style="thin">
        <color theme="2"/>
      </right>
      <top/>
      <bottom style="thin">
        <color indexed="64"/>
      </bottom>
      <diagonal/>
    </border>
    <border>
      <left/>
      <right style="thin">
        <color theme="2"/>
      </right>
      <top style="medium">
        <color indexed="64"/>
      </top>
      <bottom style="medium">
        <color indexed="64"/>
      </bottom>
      <diagonal/>
    </border>
    <border>
      <left style="thin">
        <color theme="2"/>
      </left>
      <right/>
      <top style="thin">
        <color indexed="64"/>
      </top>
      <bottom style="thin">
        <color theme="2"/>
      </bottom>
      <diagonal/>
    </border>
    <border>
      <left/>
      <right/>
      <top style="thin">
        <color indexed="64"/>
      </top>
      <bottom style="thin">
        <color theme="2"/>
      </bottom>
      <diagonal/>
    </border>
    <border>
      <left/>
      <right style="medium">
        <color indexed="64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/>
      <top style="medium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indexed="64"/>
      </top>
      <bottom style="thin">
        <color theme="2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  <xf numFmtId="187" fontId="1" fillId="0" borderId="0" applyFont="0" applyFill="0" applyBorder="0" applyAlignment="0" applyProtection="0"/>
  </cellStyleXfs>
  <cellXfs count="273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188" fontId="0" fillId="0" borderId="0" xfId="0" applyNumberFormat="1"/>
    <xf numFmtId="0" fontId="7" fillId="0" borderId="0" xfId="0" applyFont="1"/>
    <xf numFmtId="0" fontId="3" fillId="0" borderId="0" xfId="3" applyFont="1"/>
    <xf numFmtId="0" fontId="2" fillId="0" borderId="0" xfId="3" applyFont="1"/>
    <xf numFmtId="0" fontId="10" fillId="0" borderId="10" xfId="3" applyFont="1" applyBorder="1"/>
    <xf numFmtId="3" fontId="2" fillId="0" borderId="0" xfId="3" applyNumberFormat="1" applyFont="1"/>
    <xf numFmtId="0" fontId="7" fillId="0" borderId="0" xfId="0" applyFont="1" applyAlignment="1">
      <alignment horizontal="left"/>
    </xf>
    <xf numFmtId="0" fontId="3" fillId="0" borderId="0" xfId="0" applyFont="1"/>
    <xf numFmtId="0" fontId="2" fillId="0" borderId="13" xfId="3" applyFont="1" applyBorder="1"/>
    <xf numFmtId="189" fontId="2" fillId="0" borderId="14" xfId="3" applyNumberFormat="1" applyFont="1" applyBorder="1"/>
    <xf numFmtId="0" fontId="2" fillId="0" borderId="18" xfId="3" applyFont="1" applyBorder="1"/>
    <xf numFmtId="189" fontId="2" fillId="0" borderId="20" xfId="3" applyNumberFormat="1" applyFont="1" applyBorder="1"/>
    <xf numFmtId="0" fontId="3" fillId="4" borderId="15" xfId="3" applyFont="1" applyFill="1" applyBorder="1"/>
    <xf numFmtId="0" fontId="3" fillId="4" borderId="16" xfId="3" applyFont="1" applyFill="1" applyBorder="1"/>
    <xf numFmtId="189" fontId="8" fillId="4" borderId="17" xfId="3" applyNumberFormat="1" applyFont="1" applyFill="1" applyBorder="1"/>
    <xf numFmtId="188" fontId="12" fillId="6" borderId="15" xfId="0" applyNumberFormat="1" applyFont="1" applyFill="1" applyBorder="1" applyAlignment="1">
      <alignment horizontal="left" indent="1"/>
    </xf>
    <xf numFmtId="188" fontId="12" fillId="6" borderId="13" xfId="0" applyNumberFormat="1" applyFont="1" applyFill="1" applyBorder="1" applyAlignment="1">
      <alignment horizontal="left" indent="1"/>
    </xf>
    <xf numFmtId="188" fontId="13" fillId="6" borderId="10" xfId="0" applyNumberFormat="1" applyFont="1" applyFill="1" applyBorder="1" applyAlignment="1">
      <alignment horizontal="right" vertical="center"/>
    </xf>
    <xf numFmtId="188" fontId="13" fillId="6" borderId="16" xfId="0" applyNumberFormat="1" applyFont="1" applyFill="1" applyBorder="1" applyAlignment="1">
      <alignment horizontal="right" vertical="center"/>
    </xf>
    <xf numFmtId="188" fontId="3" fillId="7" borderId="11" xfId="0" applyNumberFormat="1" applyFont="1" applyFill="1" applyBorder="1"/>
    <xf numFmtId="188" fontId="7" fillId="7" borderId="12" xfId="0" applyNumberFormat="1" applyFont="1" applyFill="1" applyBorder="1" applyAlignment="1">
      <alignment horizontal="right" vertical="center"/>
    </xf>
    <xf numFmtId="188" fontId="15" fillId="5" borderId="22" xfId="0" applyNumberFormat="1" applyFont="1" applyFill="1" applyBorder="1"/>
    <xf numFmtId="0" fontId="8" fillId="8" borderId="21" xfId="3" applyFont="1" applyFill="1" applyBorder="1" applyAlignment="1">
      <alignment horizontal="center" vertical="center"/>
    </xf>
    <xf numFmtId="0" fontId="8" fillId="8" borderId="8" xfId="3" applyFont="1" applyFill="1" applyBorder="1" applyAlignment="1">
      <alignment horizontal="center" vertical="center"/>
    </xf>
    <xf numFmtId="0" fontId="8" fillId="8" borderId="9" xfId="3" applyFont="1" applyFill="1" applyBorder="1" applyAlignment="1">
      <alignment horizontal="center" vertical="center"/>
    </xf>
    <xf numFmtId="189" fontId="7" fillId="0" borderId="0" xfId="0" applyNumberFormat="1" applyFont="1"/>
    <xf numFmtId="0" fontId="0" fillId="0" borderId="0" xfId="0" applyAlignment="1">
      <alignment wrapText="1"/>
    </xf>
    <xf numFmtId="9" fontId="0" fillId="0" borderId="0" xfId="0" applyNumberFormat="1"/>
    <xf numFmtId="43" fontId="0" fillId="0" borderId="0" xfId="5" applyFont="1"/>
    <xf numFmtId="0" fontId="17" fillId="0" borderId="0" xfId="0" applyFont="1" applyAlignment="1">
      <alignment vertical="center"/>
    </xf>
    <xf numFmtId="0" fontId="5" fillId="3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16" fillId="3" borderId="2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10" fillId="0" borderId="19" xfId="3" applyFont="1" applyBorder="1" applyAlignment="1">
      <alignment wrapText="1"/>
    </xf>
    <xf numFmtId="188" fontId="0" fillId="0" borderId="30" xfId="0" applyNumberFormat="1" applyBorder="1"/>
    <xf numFmtId="0" fontId="6" fillId="3" borderId="26" xfId="0" applyFont="1" applyFill="1" applyBorder="1" applyAlignment="1">
      <alignment horizontal="center" vertical="center" wrapText="1"/>
    </xf>
    <xf numFmtId="9" fontId="7" fillId="0" borderId="0" xfId="0" applyNumberFormat="1" applyFont="1"/>
    <xf numFmtId="0" fontId="4" fillId="2" borderId="0" xfId="0" applyFont="1" applyFill="1" applyAlignment="1">
      <alignment horizontal="center" vertical="center" wrapText="1"/>
    </xf>
    <xf numFmtId="0" fontId="17" fillId="0" borderId="36" xfId="0" applyFont="1" applyBorder="1" applyAlignment="1">
      <alignment vertical="center"/>
    </xf>
    <xf numFmtId="0" fontId="17" fillId="0" borderId="37" xfId="0" applyFont="1" applyBorder="1" applyAlignment="1">
      <alignment vertical="center"/>
    </xf>
    <xf numFmtId="190" fontId="20" fillId="0" borderId="38" xfId="0" applyNumberFormat="1" applyFont="1" applyBorder="1" applyAlignment="1">
      <alignment horizontal="center" vertical="center"/>
    </xf>
    <xf numFmtId="0" fontId="19" fillId="6" borderId="41" xfId="0" applyFont="1" applyFill="1" applyBorder="1" applyAlignment="1">
      <alignment horizontal="center" vertical="center"/>
    </xf>
    <xf numFmtId="0" fontId="20" fillId="10" borderId="42" xfId="0" applyFont="1" applyFill="1" applyBorder="1" applyAlignment="1">
      <alignment vertical="center"/>
    </xf>
    <xf numFmtId="0" fontId="17" fillId="10" borderId="45" xfId="0" applyFont="1" applyFill="1" applyBorder="1" applyAlignment="1">
      <alignment vertical="center"/>
    </xf>
    <xf numFmtId="0" fontId="17" fillId="10" borderId="49" xfId="0" quotePrefix="1" applyFont="1" applyFill="1" applyBorder="1" applyAlignment="1">
      <alignment vertical="center"/>
    </xf>
    <xf numFmtId="0" fontId="17" fillId="10" borderId="50" xfId="0" applyFont="1" applyFill="1" applyBorder="1" applyAlignment="1">
      <alignment vertical="center"/>
    </xf>
    <xf numFmtId="0" fontId="17" fillId="10" borderId="40" xfId="0" quotePrefix="1" applyFont="1" applyFill="1" applyBorder="1" applyAlignment="1">
      <alignment vertical="center"/>
    </xf>
    <xf numFmtId="0" fontId="17" fillId="10" borderId="54" xfId="0" applyFont="1" applyFill="1" applyBorder="1" applyAlignment="1">
      <alignment vertical="center"/>
    </xf>
    <xf numFmtId="0" fontId="20" fillId="10" borderId="30" xfId="0" applyFont="1" applyFill="1" applyBorder="1" applyAlignment="1">
      <alignment vertical="center"/>
    </xf>
    <xf numFmtId="0" fontId="17" fillId="10" borderId="56" xfId="0" applyFont="1" applyFill="1" applyBorder="1" applyAlignment="1">
      <alignment vertical="center"/>
    </xf>
    <xf numFmtId="0" fontId="20" fillId="10" borderId="59" xfId="0" applyFont="1" applyFill="1" applyBorder="1" applyAlignment="1">
      <alignment vertical="center"/>
    </xf>
    <xf numFmtId="0" fontId="17" fillId="10" borderId="62" xfId="0" quotePrefix="1" applyFont="1" applyFill="1" applyBorder="1" applyAlignment="1">
      <alignment vertical="center"/>
    </xf>
    <xf numFmtId="0" fontId="17" fillId="10" borderId="63" xfId="0" applyFont="1" applyFill="1" applyBorder="1" applyAlignment="1">
      <alignment vertical="center"/>
    </xf>
    <xf numFmtId="0" fontId="21" fillId="10" borderId="66" xfId="0" applyFont="1" applyFill="1" applyBorder="1" applyAlignment="1">
      <alignment vertical="center"/>
    </xf>
    <xf numFmtId="9" fontId="17" fillId="0" borderId="0" xfId="0" applyNumberFormat="1" applyFont="1" applyAlignment="1">
      <alignment vertical="center"/>
    </xf>
    <xf numFmtId="191" fontId="0" fillId="0" borderId="0" xfId="5" applyNumberFormat="1" applyFont="1"/>
    <xf numFmtId="192" fontId="7" fillId="0" borderId="0" xfId="0" applyNumberFormat="1" applyFont="1"/>
    <xf numFmtId="189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20" fillId="10" borderId="68" xfId="0" applyFont="1" applyFill="1" applyBorder="1" applyAlignment="1">
      <alignment vertical="center"/>
    </xf>
    <xf numFmtId="0" fontId="17" fillId="10" borderId="69" xfId="0" applyFont="1" applyFill="1" applyBorder="1" applyAlignment="1">
      <alignment vertical="center"/>
    </xf>
    <xf numFmtId="188" fontId="24" fillId="11" borderId="0" xfId="0" applyNumberFormat="1" applyFont="1" applyFill="1"/>
    <xf numFmtId="0" fontId="0" fillId="0" borderId="0" xfId="0" applyAlignment="1">
      <alignment vertical="top"/>
    </xf>
    <xf numFmtId="0" fontId="5" fillId="3" borderId="4" xfId="0" applyFont="1" applyFill="1" applyBorder="1" applyAlignment="1">
      <alignment vertical="center" wrapText="1"/>
    </xf>
    <xf numFmtId="0" fontId="6" fillId="3" borderId="73" xfId="0" applyFont="1" applyFill="1" applyBorder="1" applyAlignment="1">
      <alignment horizontal="center" vertical="center" wrapText="1"/>
    </xf>
    <xf numFmtId="0" fontId="12" fillId="0" borderId="0" xfId="3" applyFont="1"/>
    <xf numFmtId="0" fontId="25" fillId="12" borderId="10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justify" vertical="center" wrapText="1"/>
    </xf>
    <xf numFmtId="0" fontId="4" fillId="14" borderId="25" xfId="0" applyFont="1" applyFill="1" applyBorder="1" applyAlignment="1">
      <alignment horizontal="center" vertical="center" wrapText="1"/>
    </xf>
    <xf numFmtId="0" fontId="4" fillId="14" borderId="23" xfId="0" applyFont="1" applyFill="1" applyBorder="1" applyAlignment="1">
      <alignment horizontal="center" vertical="center" wrapText="1"/>
    </xf>
    <xf numFmtId="0" fontId="4" fillId="15" borderId="6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23" fillId="0" borderId="0" xfId="0" applyFont="1"/>
    <xf numFmtId="191" fontId="23" fillId="0" borderId="0" xfId="5" applyNumberFormat="1" applyFont="1" applyBorder="1"/>
    <xf numFmtId="191" fontId="23" fillId="0" borderId="0" xfId="5" applyNumberFormat="1" applyFont="1" applyFill="1" applyBorder="1"/>
    <xf numFmtId="4" fontId="7" fillId="0" borderId="0" xfId="0" applyNumberFormat="1" applyFont="1"/>
    <xf numFmtId="188" fontId="15" fillId="17" borderId="22" xfId="0" applyNumberFormat="1" applyFont="1" applyFill="1" applyBorder="1"/>
    <xf numFmtId="0" fontId="22" fillId="0" borderId="0" xfId="0" applyFont="1" applyAlignment="1">
      <alignment vertical="center"/>
    </xf>
    <xf numFmtId="0" fontId="6" fillId="0" borderId="73" xfId="0" applyFont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 vertical="center" wrapText="1"/>
    </xf>
    <xf numFmtId="0" fontId="0" fillId="16" borderId="0" xfId="0" applyFill="1"/>
    <xf numFmtId="0" fontId="4" fillId="19" borderId="74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188" fontId="11" fillId="0" borderId="0" xfId="0" applyNumberFormat="1" applyFont="1" applyAlignment="1">
      <alignment horizontal="center" vertical="center"/>
    </xf>
    <xf numFmtId="43" fontId="28" fillId="0" borderId="0" xfId="5" applyFont="1" applyFill="1"/>
    <xf numFmtId="188" fontId="11" fillId="5" borderId="75" xfId="0" applyNumberFormat="1" applyFont="1" applyFill="1" applyBorder="1" applyAlignment="1">
      <alignment horizontal="center" vertical="center"/>
    </xf>
    <xf numFmtId="188" fontId="11" fillId="5" borderId="11" xfId="0" applyNumberFormat="1" applyFont="1" applyFill="1" applyBorder="1"/>
    <xf numFmtId="188" fontId="11" fillId="5" borderId="72" xfId="0" applyNumberFormat="1" applyFont="1" applyFill="1" applyBorder="1"/>
    <xf numFmtId="188" fontId="11" fillId="5" borderId="13" xfId="0" applyNumberFormat="1" applyFont="1" applyFill="1" applyBorder="1"/>
    <xf numFmtId="188" fontId="11" fillId="5" borderId="14" xfId="0" applyNumberFormat="1" applyFont="1" applyFill="1" applyBorder="1"/>
    <xf numFmtId="188" fontId="14" fillId="5" borderId="15" xfId="0" applyNumberFormat="1" applyFont="1" applyFill="1" applyBorder="1"/>
    <xf numFmtId="188" fontId="14" fillId="5" borderId="17" xfId="0" applyNumberFormat="1" applyFont="1" applyFill="1" applyBorder="1"/>
    <xf numFmtId="188" fontId="11" fillId="5" borderId="15" xfId="0" applyNumberFormat="1" applyFont="1" applyFill="1" applyBorder="1"/>
    <xf numFmtId="188" fontId="11" fillId="5" borderId="17" xfId="0" applyNumberFormat="1" applyFont="1" applyFill="1" applyBorder="1"/>
    <xf numFmtId="188" fontId="15" fillId="5" borderId="22" xfId="0" applyNumberFormat="1" applyFont="1" applyFill="1" applyBorder="1" applyAlignment="1">
      <alignment horizontal="left" vertical="center"/>
    </xf>
    <xf numFmtId="188" fontId="15" fillId="0" borderId="0" xfId="0" applyNumberFormat="1" applyFont="1" applyAlignment="1">
      <alignment horizontal="right"/>
    </xf>
    <xf numFmtId="188" fontId="29" fillId="21" borderId="19" xfId="0" applyNumberFormat="1" applyFont="1" applyFill="1" applyBorder="1"/>
    <xf numFmtId="188" fontId="29" fillId="20" borderId="76" xfId="0" applyNumberFormat="1" applyFont="1" applyFill="1" applyBorder="1" applyAlignment="1">
      <alignment vertical="center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16" fillId="3" borderId="7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30" fillId="0" borderId="10" xfId="0" applyFont="1" applyBorder="1" applyAlignment="1">
      <alignment horizontal="center" vertical="top"/>
    </xf>
    <xf numFmtId="0" fontId="30" fillId="0" borderId="10" xfId="0" applyFont="1" applyBorder="1" applyAlignment="1">
      <alignment vertical="top"/>
    </xf>
    <xf numFmtId="0" fontId="23" fillId="0" borderId="0" xfId="0" applyFont="1" applyAlignment="1">
      <alignment horizontal="left" vertical="top"/>
    </xf>
    <xf numFmtId="0" fontId="17" fillId="0" borderId="0" xfId="0" applyFont="1" applyAlignment="1">
      <alignment vertical="center" wrapText="1"/>
    </xf>
    <xf numFmtId="0" fontId="17" fillId="13" borderId="24" xfId="0" applyFont="1" applyFill="1" applyBorder="1" applyAlignment="1">
      <alignment horizontal="center" vertical="center"/>
    </xf>
    <xf numFmtId="0" fontId="16" fillId="0" borderId="29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73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32" fillId="0" borderId="0" xfId="0" applyFont="1"/>
    <xf numFmtId="0" fontId="3" fillId="0" borderId="0" xfId="0" applyFont="1" applyAlignment="1">
      <alignment horizontal="left"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0" fontId="33" fillId="0" borderId="0" xfId="0" applyFont="1" applyAlignment="1">
      <alignment vertical="center"/>
    </xf>
    <xf numFmtId="0" fontId="31" fillId="0" borderId="0" xfId="0" applyFont="1"/>
    <xf numFmtId="0" fontId="31" fillId="0" borderId="41" xfId="0" applyFont="1" applyBorder="1" applyAlignment="1">
      <alignment vertical="center" wrapText="1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horizontal="left" vertical="center" wrapText="1" indent="1"/>
    </xf>
    <xf numFmtId="0" fontId="31" fillId="0" borderId="0" xfId="0" applyFont="1" applyAlignment="1">
      <alignment vertical="top" wrapText="1"/>
    </xf>
    <xf numFmtId="0" fontId="31" fillId="0" borderId="77" xfId="0" applyFont="1" applyBorder="1" applyAlignment="1">
      <alignment horizontal="center" vertical="center" wrapText="1"/>
    </xf>
    <xf numFmtId="0" fontId="31" fillId="0" borderId="78" xfId="0" applyFont="1" applyBorder="1" applyAlignment="1">
      <alignment horizontal="center" vertical="center" wrapText="1"/>
    </xf>
    <xf numFmtId="0" fontId="31" fillId="0" borderId="78" xfId="0" applyFont="1" applyBorder="1" applyAlignment="1">
      <alignment vertical="top" wrapText="1"/>
    </xf>
    <xf numFmtId="0" fontId="31" fillId="0" borderId="79" xfId="0" applyFont="1" applyBorder="1" applyAlignment="1">
      <alignment vertical="top" wrapText="1"/>
    </xf>
    <xf numFmtId="0" fontId="31" fillId="0" borderId="80" xfId="0" applyFont="1" applyBorder="1" applyAlignment="1">
      <alignment horizontal="left" vertical="center" wrapText="1" indent="1"/>
    </xf>
    <xf numFmtId="0" fontId="31" fillId="0" borderId="19" xfId="0" applyFont="1" applyBorder="1" applyAlignment="1">
      <alignment horizontal="left" vertical="center" wrapText="1" indent="1"/>
    </xf>
    <xf numFmtId="0" fontId="34" fillId="0" borderId="0" xfId="0" applyFont="1" applyAlignment="1">
      <alignment horizontal="center" vertical="top"/>
    </xf>
    <xf numFmtId="0" fontId="34" fillId="0" borderId="0" xfId="0" applyFont="1" applyAlignment="1">
      <alignment vertical="top"/>
    </xf>
    <xf numFmtId="0" fontId="35" fillId="0" borderId="0" xfId="0" applyFont="1" applyAlignment="1">
      <alignment vertical="top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left"/>
    </xf>
    <xf numFmtId="0" fontId="36" fillId="0" borderId="0" xfId="0" applyFont="1" applyAlignment="1">
      <alignment vertical="center"/>
    </xf>
    <xf numFmtId="0" fontId="17" fillId="0" borderId="0" xfId="0" applyFont="1"/>
    <xf numFmtId="0" fontId="37" fillId="0" borderId="0" xfId="0" applyFont="1" applyAlignment="1">
      <alignment horizontal="left" vertical="center"/>
    </xf>
    <xf numFmtId="0" fontId="37" fillId="0" borderId="0" xfId="0" applyFont="1" applyAlignment="1">
      <alignment horizontal="left"/>
    </xf>
    <xf numFmtId="0" fontId="17" fillId="0" borderId="0" xfId="0" applyFont="1" applyAlignment="1">
      <alignment vertical="top"/>
    </xf>
    <xf numFmtId="0" fontId="17" fillId="0" borderId="54" xfId="0" applyFont="1" applyFill="1" applyBorder="1" applyAlignment="1">
      <alignment vertical="center"/>
    </xf>
    <xf numFmtId="0" fontId="17" fillId="0" borderId="53" xfId="0" applyFont="1" applyFill="1" applyBorder="1" applyAlignment="1">
      <alignment vertical="center"/>
    </xf>
    <xf numFmtId="0" fontId="17" fillId="0" borderId="52" xfId="0" applyFont="1" applyFill="1" applyBorder="1" applyAlignment="1">
      <alignment vertical="center"/>
    </xf>
    <xf numFmtId="0" fontId="17" fillId="0" borderId="60" xfId="0" applyFont="1" applyFill="1" applyBorder="1" applyAlignment="1">
      <alignment vertical="center"/>
    </xf>
    <xf numFmtId="0" fontId="17" fillId="0" borderId="92" xfId="0" applyFont="1" applyFill="1" applyBorder="1" applyAlignment="1">
      <alignment vertical="center"/>
    </xf>
    <xf numFmtId="0" fontId="17" fillId="0" borderId="93" xfId="0" applyFont="1" applyFill="1" applyBorder="1" applyAlignment="1">
      <alignment vertical="center"/>
    </xf>
    <xf numFmtId="0" fontId="17" fillId="0" borderId="94" xfId="0" applyFont="1" applyFill="1" applyBorder="1" applyAlignment="1">
      <alignment vertical="center"/>
    </xf>
    <xf numFmtId="0" fontId="19" fillId="6" borderId="95" xfId="0" applyFont="1" applyFill="1" applyBorder="1" applyAlignment="1">
      <alignment horizontal="center" vertical="center"/>
    </xf>
    <xf numFmtId="0" fontId="19" fillId="6" borderId="96" xfId="0" applyFont="1" applyFill="1" applyBorder="1" applyAlignment="1">
      <alignment horizontal="center" vertical="center"/>
    </xf>
    <xf numFmtId="0" fontId="17" fillId="0" borderId="86" xfId="0" applyFont="1" applyFill="1" applyBorder="1" applyAlignment="1">
      <alignment vertical="center"/>
    </xf>
    <xf numFmtId="0" fontId="17" fillId="0" borderId="74" xfId="0" applyFont="1" applyFill="1" applyBorder="1" applyAlignment="1">
      <alignment vertical="center"/>
    </xf>
    <xf numFmtId="0" fontId="17" fillId="0" borderId="97" xfId="0" applyFont="1" applyFill="1" applyBorder="1" applyAlignment="1">
      <alignment vertical="center"/>
    </xf>
    <xf numFmtId="0" fontId="17" fillId="0" borderId="98" xfId="0" applyFont="1" applyFill="1" applyBorder="1" applyAlignment="1">
      <alignment vertical="center"/>
    </xf>
    <xf numFmtId="0" fontId="17" fillId="0" borderId="99" xfId="0" applyFont="1" applyFill="1" applyBorder="1" applyAlignment="1">
      <alignment vertical="center"/>
    </xf>
    <xf numFmtId="0" fontId="17" fillId="0" borderId="100" xfId="0" applyFont="1" applyFill="1" applyBorder="1" applyAlignment="1">
      <alignment vertical="center"/>
    </xf>
    <xf numFmtId="0" fontId="17" fillId="0" borderId="101" xfId="0" applyFont="1" applyFill="1" applyBorder="1" applyAlignment="1">
      <alignment vertical="center"/>
    </xf>
    <xf numFmtId="0" fontId="17" fillId="0" borderId="75" xfId="0" applyFont="1" applyFill="1" applyBorder="1" applyAlignment="1">
      <alignment vertical="center"/>
    </xf>
    <xf numFmtId="0" fontId="17" fillId="0" borderId="103" xfId="0" applyFont="1" applyFill="1" applyBorder="1" applyAlignment="1">
      <alignment vertical="center"/>
    </xf>
    <xf numFmtId="0" fontId="17" fillId="0" borderId="104" xfId="0" applyFont="1" applyFill="1" applyBorder="1" applyAlignment="1">
      <alignment vertical="center"/>
    </xf>
    <xf numFmtId="0" fontId="17" fillId="0" borderId="57" xfId="0" applyFont="1" applyFill="1" applyBorder="1" applyAlignment="1">
      <alignment vertical="center"/>
    </xf>
    <xf numFmtId="0" fontId="17" fillId="0" borderId="87" xfId="0" applyFont="1" applyFill="1" applyBorder="1" applyAlignment="1">
      <alignment vertical="center"/>
    </xf>
    <xf numFmtId="0" fontId="17" fillId="0" borderId="61" xfId="0" applyFont="1" applyFill="1" applyBorder="1" applyAlignment="1">
      <alignment vertical="center"/>
    </xf>
    <xf numFmtId="0" fontId="17" fillId="0" borderId="50" xfId="0" applyFont="1" applyFill="1" applyBorder="1" applyAlignment="1">
      <alignment vertical="center"/>
    </xf>
    <xf numFmtId="0" fontId="17" fillId="0" borderId="51" xfId="0" applyFont="1" applyFill="1" applyBorder="1" applyAlignment="1">
      <alignment vertical="center"/>
    </xf>
    <xf numFmtId="0" fontId="17" fillId="0" borderId="91" xfId="0" applyFont="1" applyFill="1" applyBorder="1" applyAlignment="1">
      <alignment vertical="center"/>
    </xf>
    <xf numFmtId="0" fontId="17" fillId="0" borderId="81" xfId="0" applyFont="1" applyFill="1" applyBorder="1" applyAlignment="1">
      <alignment vertical="center"/>
    </xf>
    <xf numFmtId="0" fontId="17" fillId="0" borderId="55" xfId="0" applyFont="1" applyFill="1" applyBorder="1" applyAlignment="1">
      <alignment vertical="center"/>
    </xf>
    <xf numFmtId="0" fontId="17" fillId="0" borderId="45" xfId="0" applyFont="1" applyFill="1" applyBorder="1" applyAlignment="1">
      <alignment vertical="center"/>
    </xf>
    <xf numFmtId="0" fontId="17" fillId="0" borderId="46" xfId="0" applyFont="1" applyFill="1" applyBorder="1" applyAlignment="1">
      <alignment vertical="center"/>
    </xf>
    <xf numFmtId="0" fontId="17" fillId="0" borderId="48" xfId="0" applyFont="1" applyFill="1" applyBorder="1" applyAlignment="1">
      <alignment vertical="center"/>
    </xf>
    <xf numFmtId="0" fontId="17" fillId="0" borderId="44" xfId="0" applyFont="1" applyFill="1" applyBorder="1" applyAlignment="1">
      <alignment vertical="center"/>
    </xf>
    <xf numFmtId="0" fontId="17" fillId="0" borderId="43" xfId="0" applyFont="1" applyFill="1" applyBorder="1" applyAlignment="1">
      <alignment vertical="center"/>
    </xf>
    <xf numFmtId="0" fontId="17" fillId="0" borderId="47" xfId="0" applyFont="1" applyFill="1" applyBorder="1" applyAlignment="1">
      <alignment vertical="center"/>
    </xf>
    <xf numFmtId="0" fontId="17" fillId="0" borderId="63" xfId="0" applyFont="1" applyFill="1" applyBorder="1" applyAlignment="1">
      <alignment vertical="center"/>
    </xf>
    <xf numFmtId="0" fontId="17" fillId="0" borderId="64" xfId="0" applyFont="1" applyFill="1" applyBorder="1" applyAlignment="1">
      <alignment vertical="center"/>
    </xf>
    <xf numFmtId="0" fontId="17" fillId="0" borderId="65" xfId="0" applyFont="1" applyFill="1" applyBorder="1" applyAlignment="1">
      <alignment vertical="center"/>
    </xf>
    <xf numFmtId="0" fontId="17" fillId="0" borderId="58" xfId="0" applyFont="1" applyFill="1" applyBorder="1" applyAlignment="1">
      <alignment vertical="center"/>
    </xf>
    <xf numFmtId="0" fontId="17" fillId="0" borderId="56" xfId="0" applyFont="1" applyFill="1" applyBorder="1" applyAlignment="1">
      <alignment vertical="center"/>
    </xf>
    <xf numFmtId="0" fontId="17" fillId="0" borderId="84" xfId="0" applyFont="1" applyFill="1" applyBorder="1" applyAlignment="1">
      <alignment vertical="center"/>
    </xf>
    <xf numFmtId="0" fontId="17" fillId="0" borderId="69" xfId="0" applyFont="1" applyFill="1" applyBorder="1" applyAlignment="1">
      <alignment vertical="center"/>
    </xf>
    <xf numFmtId="0" fontId="17" fillId="0" borderId="70" xfId="0" applyFont="1" applyFill="1" applyBorder="1" applyAlignment="1">
      <alignment vertical="center"/>
    </xf>
    <xf numFmtId="0" fontId="17" fillId="0" borderId="34" xfId="0" applyFont="1" applyFill="1" applyBorder="1" applyAlignment="1">
      <alignment vertical="center"/>
    </xf>
    <xf numFmtId="0" fontId="17" fillId="0" borderId="67" xfId="0" applyFont="1" applyFill="1" applyBorder="1" applyAlignment="1">
      <alignment vertical="center"/>
    </xf>
    <xf numFmtId="0" fontId="17" fillId="0" borderId="82" xfId="0" applyFont="1" applyFill="1" applyBorder="1" applyAlignment="1">
      <alignment vertical="center"/>
    </xf>
    <xf numFmtId="0" fontId="17" fillId="0" borderId="85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0" fontId="17" fillId="0" borderId="83" xfId="0" applyFont="1" applyFill="1" applyBorder="1" applyAlignment="1">
      <alignment vertical="center"/>
    </xf>
    <xf numFmtId="0" fontId="17" fillId="0" borderId="71" xfId="0" applyFont="1" applyFill="1" applyBorder="1" applyAlignment="1">
      <alignment vertical="center"/>
    </xf>
    <xf numFmtId="0" fontId="17" fillId="23" borderId="74" xfId="0" applyFont="1" applyFill="1" applyBorder="1" applyAlignment="1">
      <alignment vertical="center"/>
    </xf>
    <xf numFmtId="0" fontId="17" fillId="23" borderId="60" xfId="0" applyFont="1" applyFill="1" applyBorder="1" applyAlignment="1">
      <alignment vertical="center"/>
    </xf>
    <xf numFmtId="0" fontId="17" fillId="23" borderId="75" xfId="0" applyFont="1" applyFill="1" applyBorder="1" applyAlignment="1">
      <alignment vertical="center"/>
    </xf>
    <xf numFmtId="0" fontId="17" fillId="24" borderId="50" xfId="0" applyFont="1" applyFill="1" applyBorder="1" applyAlignment="1">
      <alignment vertical="center"/>
    </xf>
    <xf numFmtId="0" fontId="17" fillId="24" borderId="102" xfId="0" applyFont="1" applyFill="1" applyBorder="1" applyAlignment="1">
      <alignment vertical="center"/>
    </xf>
    <xf numFmtId="0" fontId="17" fillId="24" borderId="54" xfId="0" applyFont="1" applyFill="1" applyBorder="1" applyAlignment="1">
      <alignment vertical="center"/>
    </xf>
    <xf numFmtId="0" fontId="17" fillId="23" borderId="44" xfId="0" applyFont="1" applyFill="1" applyBorder="1" applyAlignment="1">
      <alignment vertical="center"/>
    </xf>
    <xf numFmtId="0" fontId="17" fillId="24" borderId="55" xfId="0" applyFont="1" applyFill="1" applyBorder="1" applyAlignment="1">
      <alignment vertical="center"/>
    </xf>
    <xf numFmtId="0" fontId="17" fillId="4" borderId="56" xfId="0" applyFont="1" applyFill="1" applyBorder="1" applyAlignment="1">
      <alignment vertical="center"/>
    </xf>
    <xf numFmtId="0" fontId="17" fillId="23" borderId="61" xfId="0" applyFont="1" applyFill="1" applyBorder="1" applyAlignment="1">
      <alignment vertical="center"/>
    </xf>
    <xf numFmtId="0" fontId="17" fillId="24" borderId="43" xfId="0" applyFont="1" applyFill="1" applyBorder="1" applyAlignment="1">
      <alignment vertical="center"/>
    </xf>
    <xf numFmtId="0" fontId="17" fillId="24" borderId="44" xfId="0" applyFont="1" applyFill="1" applyBorder="1" applyAlignment="1">
      <alignment vertical="center"/>
    </xf>
    <xf numFmtId="0" fontId="17" fillId="24" borderId="0" xfId="0" applyFont="1" applyFill="1" applyBorder="1" applyAlignment="1">
      <alignment vertical="center"/>
    </xf>
    <xf numFmtId="0" fontId="17" fillId="24" borderId="1" xfId="0" applyFont="1" applyFill="1" applyBorder="1" applyAlignment="1">
      <alignment vertical="center"/>
    </xf>
    <xf numFmtId="0" fontId="17" fillId="24" borderId="85" xfId="0" applyFont="1" applyFill="1" applyBorder="1" applyAlignment="1">
      <alignment vertical="center"/>
    </xf>
    <xf numFmtId="0" fontId="17" fillId="0" borderId="35" xfId="0" applyFont="1" applyFill="1" applyBorder="1" applyAlignment="1">
      <alignment vertical="center"/>
    </xf>
    <xf numFmtId="0" fontId="17" fillId="23" borderId="33" xfId="0" applyFont="1" applyFill="1" applyBorder="1" applyAlignment="1">
      <alignment vertical="center"/>
    </xf>
    <xf numFmtId="0" fontId="17" fillId="24" borderId="65" xfId="0" applyFont="1" applyFill="1" applyBorder="1" applyAlignment="1">
      <alignment vertical="center"/>
    </xf>
    <xf numFmtId="0" fontId="17" fillId="24" borderId="63" xfId="0" applyFont="1" applyFill="1" applyBorder="1" applyAlignment="1">
      <alignment vertical="center"/>
    </xf>
    <xf numFmtId="0" fontId="17" fillId="4" borderId="63" xfId="0" applyFont="1" applyFill="1" applyBorder="1" applyAlignment="1">
      <alignment vertical="center"/>
    </xf>
    <xf numFmtId="9" fontId="17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center"/>
    </xf>
    <xf numFmtId="0" fontId="5" fillId="3" borderId="3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16" fillId="22" borderId="88" xfId="0" applyFont="1" applyFill="1" applyBorder="1" applyAlignment="1">
      <alignment horizontal="center" vertical="center"/>
    </xf>
    <xf numFmtId="0" fontId="16" fillId="22" borderId="89" xfId="0" applyFont="1" applyFill="1" applyBorder="1" applyAlignment="1">
      <alignment horizontal="center" vertical="center"/>
    </xf>
    <xf numFmtId="0" fontId="16" fillId="22" borderId="90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8" borderId="3" xfId="0" applyFont="1" applyFill="1" applyBorder="1" applyAlignment="1">
      <alignment vertical="center" wrapText="1"/>
    </xf>
    <xf numFmtId="0" fontId="4" fillId="8" borderId="5" xfId="0" applyFont="1" applyFill="1" applyBorder="1" applyAlignment="1">
      <alignment vertical="center" wrapText="1"/>
    </xf>
    <xf numFmtId="0" fontId="3" fillId="0" borderId="0" xfId="3" applyFont="1" applyAlignment="1">
      <alignment horizontal="left"/>
    </xf>
    <xf numFmtId="0" fontId="17" fillId="24" borderId="105" xfId="0" applyFont="1" applyFill="1" applyBorder="1" applyAlignment="1">
      <alignment horizontal="center" vertical="center"/>
    </xf>
    <xf numFmtId="0" fontId="17" fillId="24" borderId="109" xfId="0" applyFont="1" applyFill="1" applyBorder="1" applyAlignment="1">
      <alignment horizontal="center" vertical="center"/>
    </xf>
    <xf numFmtId="0" fontId="17" fillId="23" borderId="67" xfId="0" applyFont="1" applyFill="1" applyBorder="1" applyAlignment="1">
      <alignment horizontal="center" vertical="center"/>
    </xf>
    <xf numFmtId="0" fontId="17" fillId="23" borderId="44" xfId="0" applyFont="1" applyFill="1" applyBorder="1" applyAlignment="1">
      <alignment horizontal="center" vertical="center"/>
    </xf>
    <xf numFmtId="0" fontId="17" fillId="23" borderId="47" xfId="0" applyFont="1" applyFill="1" applyBorder="1" applyAlignment="1">
      <alignment horizontal="center" vertical="center"/>
    </xf>
    <xf numFmtId="0" fontId="17" fillId="24" borderId="106" xfId="0" applyFont="1" applyFill="1" applyBorder="1" applyAlignment="1">
      <alignment horizontal="center" vertical="center"/>
    </xf>
    <xf numFmtId="0" fontId="17" fillId="24" borderId="107" xfId="0" applyFont="1" applyFill="1" applyBorder="1" applyAlignment="1">
      <alignment horizontal="center" vertical="center"/>
    </xf>
    <xf numFmtId="0" fontId="17" fillId="23" borderId="108" xfId="0" applyFont="1" applyFill="1" applyBorder="1" applyAlignment="1">
      <alignment horizontal="center" vertical="center"/>
    </xf>
    <xf numFmtId="0" fontId="17" fillId="23" borderId="34" xfId="0" applyFont="1" applyFill="1" applyBorder="1" applyAlignment="1">
      <alignment horizontal="center" vertical="center"/>
    </xf>
    <xf numFmtId="0" fontId="17" fillId="23" borderId="35" xfId="0" applyFont="1" applyFill="1" applyBorder="1" applyAlignment="1">
      <alignment horizontal="center" vertical="center"/>
    </xf>
    <xf numFmtId="0" fontId="17" fillId="24" borderId="67" xfId="0" applyFont="1" applyFill="1" applyBorder="1" applyAlignment="1">
      <alignment horizontal="center" vertical="center"/>
    </xf>
    <xf numFmtId="0" fontId="17" fillId="24" borderId="44" xfId="0" applyFont="1" applyFill="1" applyBorder="1" applyAlignment="1">
      <alignment horizontal="center" vertical="center"/>
    </xf>
    <xf numFmtId="0" fontId="17" fillId="24" borderId="47" xfId="0" applyFont="1" applyFill="1" applyBorder="1" applyAlignment="1">
      <alignment horizontal="center" vertical="center"/>
    </xf>
    <xf numFmtId="190" fontId="20" fillId="9" borderId="74" xfId="0" applyNumberFormat="1" applyFont="1" applyFill="1" applyBorder="1" applyAlignment="1">
      <alignment horizontal="center" vertical="center"/>
    </xf>
    <xf numFmtId="190" fontId="20" fillId="9" borderId="86" xfId="0" applyNumberFormat="1" applyFont="1" applyFill="1" applyBorder="1" applyAlignment="1">
      <alignment horizontal="center" vertical="center"/>
    </xf>
    <xf numFmtId="190" fontId="20" fillId="9" borderId="87" xfId="0" applyNumberFormat="1" applyFont="1" applyFill="1" applyBorder="1" applyAlignment="1">
      <alignment horizontal="center" vertical="center"/>
    </xf>
    <xf numFmtId="190" fontId="20" fillId="18" borderId="33" xfId="0" applyNumberFormat="1" applyFont="1" applyFill="1" applyBorder="1" applyAlignment="1">
      <alignment horizontal="center" vertical="center"/>
    </xf>
    <xf numFmtId="190" fontId="20" fillId="18" borderId="34" xfId="0" applyNumberFormat="1" applyFont="1" applyFill="1" applyBorder="1" applyAlignment="1">
      <alignment horizontal="center" vertical="center"/>
    </xf>
    <xf numFmtId="190" fontId="20" fillId="18" borderId="35" xfId="0" applyNumberFormat="1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0" xfId="0" applyFont="1" applyFill="1" applyBorder="1" applyAlignment="1">
      <alignment horizontal="center" vertical="center"/>
    </xf>
  </cellXfs>
  <cellStyles count="8">
    <cellStyle name="Comma" xfId="5" builtinId="3"/>
    <cellStyle name="Comma 2" xfId="1" xr:uid="{00000000-0005-0000-0000-000001000000}"/>
    <cellStyle name="Comma 3" xfId="4" xr:uid="{00000000-0005-0000-0000-000002000000}"/>
    <cellStyle name="Comma 4" xfId="7" xr:uid="{1233D453-14B0-489F-8C86-F0E485FD2AA5}"/>
    <cellStyle name="Currency 2" xfId="2" xr:uid="{00000000-0005-0000-0000-000003000000}"/>
    <cellStyle name="Normal" xfId="0" builtinId="0"/>
    <cellStyle name="Normal 2" xfId="3" xr:uid="{00000000-0005-0000-0000-000005000000}"/>
    <cellStyle name="Normal 2 2 2" xfId="6" xr:uid="{0B7AEA0C-DB0F-4869-A3EE-9E351D2527C8}"/>
  </cellStyles>
  <dxfs count="0"/>
  <tableStyles count="0" defaultTableStyle="TableStyleMedium2" defaultPivotStyle="PivotStyleLight16"/>
  <colors>
    <mruColors>
      <color rgb="FF8EA9DB"/>
      <color rgb="FFD9E1F2"/>
      <color rgb="FFCCFFCC"/>
      <color rgb="FF66FF99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effectLst/>
              </a:rPr>
              <a:t> </a:t>
            </a:r>
            <a:r>
              <a:rPr lang="en-US" sz="1800" b="1" baseline="0">
                <a:effectLst/>
              </a:rPr>
              <a:t>ENH-PTT Tank eMOC </a:t>
            </a:r>
            <a:r>
              <a:rPr lang="en-US" sz="1600" b="1" baseline="0">
                <a:effectLst/>
              </a:rPr>
              <a:t>2569</a:t>
            </a:r>
            <a:endParaRPr lang="th-TH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981-463B-858F-5884E09C0D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981-463B-858F-5884E09C0D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981-463B-858F-5884E09C0D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Total!$B$3:$B$5</c:f>
              <c:strCache>
                <c:ptCount val="3"/>
                <c:pt idx="0">
                  <c:v>Digital Cost (BD Phase)</c:v>
                </c:pt>
                <c:pt idx="1">
                  <c:v>Digital Cost (Development Phase)</c:v>
                </c:pt>
                <c:pt idx="2">
                  <c:v>Vendor Cost + 10 %</c:v>
                </c:pt>
              </c:strCache>
            </c:strRef>
          </c:cat>
          <c:val>
            <c:numRef>
              <c:f>Total!$C$3:$C$5</c:f>
              <c:numCache>
                <c:formatCode>"฿"#,##0.00</c:formatCode>
                <c:ptCount val="3"/>
                <c:pt idx="0">
                  <c:v>17000</c:v>
                </c:pt>
                <c:pt idx="1">
                  <c:v>586500</c:v>
                </c:pt>
                <c:pt idx="2">
                  <c:v>1583450.0000000002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81-463B-858F-5884E09C0D7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114299</xdr:colOff>
      <xdr:row>1</xdr:row>
      <xdr:rowOff>100011</xdr:rowOff>
    </xdr:from>
    <xdr:to>
      <xdr:col>12</xdr:col>
      <xdr:colOff>352424</xdr:colOff>
      <xdr:row>22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19</xdr:row>
      <xdr:rowOff>0</xdr:rowOff>
    </xdr:from>
    <xdr:to>
      <xdr:col>6</xdr:col>
      <xdr:colOff>57928</xdr:colOff>
      <xdr:row>66</xdr:row>
      <xdr:rowOff>124575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3A7702-A5D5-A2F1-0B6B-0D97C196E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3552825"/>
          <a:ext cx="5572903" cy="5372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133350</xdr:colOff>
      <xdr:row>10</xdr:row>
      <xdr:rowOff>19050</xdr:rowOff>
    </xdr:from>
    <xdr:to>
      <xdr:col>11</xdr:col>
      <xdr:colOff>76199</xdr:colOff>
      <xdr:row>10</xdr:row>
      <xdr:rowOff>133350</xdr:rowOff>
    </xdr:to>
    <xdr:sp macro="" textlink="">
      <xdr:nvSpPr>
        <xdr:cNvPr id="2" name="Flowchart: Merge 1">
          <a:extLst>
            <a:ext uri="{FF2B5EF4-FFF2-40B4-BE49-F238E27FC236}">
              <a16:creationId xmlns:a16="http://schemas.microsoft.com/office/drawing/2014/main" id="{01D1291B-9A47-4193-9F67-F1FEE0DB4F13}"/>
            </a:ext>
          </a:extLst>
        </xdr:cNvPr>
        <xdr:cNvSpPr/>
      </xdr:nvSpPr>
      <xdr:spPr>
        <a:xfrm>
          <a:off x="3876675" y="5610225"/>
          <a:ext cx="171449" cy="114300"/>
        </a:xfrm>
        <a:prstGeom prst="flowChartMerg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22</xdr:col>
      <xdr:colOff>146051</xdr:colOff>
      <xdr:row>19</xdr:row>
      <xdr:rowOff>19050</xdr:rowOff>
    </xdr:from>
    <xdr:to>
      <xdr:col>23</xdr:col>
      <xdr:colOff>85725</xdr:colOff>
      <xdr:row>19</xdr:row>
      <xdr:rowOff>130175</xdr:rowOff>
    </xdr:to>
    <xdr:sp macro="" textlink="">
      <xdr:nvSpPr>
        <xdr:cNvPr id="3" name="Flowchart: Merge 2">
          <a:extLst>
            <a:ext uri="{FF2B5EF4-FFF2-40B4-BE49-F238E27FC236}">
              <a16:creationId xmlns:a16="http://schemas.microsoft.com/office/drawing/2014/main" id="{A24C08D0-93CD-4920-B5CA-CFEE0A4F3E71}"/>
            </a:ext>
          </a:extLst>
        </xdr:cNvPr>
        <xdr:cNvSpPr/>
      </xdr:nvSpPr>
      <xdr:spPr>
        <a:xfrm>
          <a:off x="6604001" y="6838950"/>
          <a:ext cx="158749" cy="111125"/>
        </a:xfrm>
        <a:prstGeom prst="flowChartMerg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8" tint="0.39997558519241921"/>
  </sheetPr>
  <dimension ref="A2:H36"/>
  <sheetViews>
    <sheetView zoomScaleNormal="100" workbookViewId="0">
      <selection activeCell="B24" sqref="B24"/>
    </sheetView>
  </sheetViews>
  <sheetFormatPr defaultRowHeight="14.25"/>
  <cols>
    <col min="1" max="1" width="14.25" customWidth="1"/>
    <col min="2" max="2" width="40.375" bestFit="1" customWidth="1"/>
    <col min="3" max="3" width="18.375" customWidth="1"/>
    <col min="4" max="4" width="14.25" customWidth="1"/>
    <col min="5" max="5" width="20.125" customWidth="1"/>
    <col min="6" max="6" width="19.375" customWidth="1"/>
    <col min="7" max="7" width="12.875" bestFit="1" customWidth="1"/>
    <col min="8" max="8" width="17.375" bestFit="1" customWidth="1"/>
  </cols>
  <sheetData>
    <row r="2" spans="1:4" ht="15" thickBot="1">
      <c r="B2" s="6"/>
      <c r="C2" s="6"/>
    </row>
    <row r="3" spans="1:4">
      <c r="B3" s="103" t="s">
        <v>96</v>
      </c>
      <c r="C3" s="104">
        <f>Digital_Manday!I45</f>
        <v>17000</v>
      </c>
    </row>
    <row r="4" spans="1:4">
      <c r="B4" s="105" t="s">
        <v>95</v>
      </c>
      <c r="C4" s="106">
        <f>Digital_Manday!I46</f>
        <v>586500</v>
      </c>
    </row>
    <row r="5" spans="1:4" ht="15" thickBot="1">
      <c r="B5" s="107" t="s">
        <v>0</v>
      </c>
      <c r="C5" s="108">
        <f>'Vendor Cost'!E13*110%</f>
        <v>1583450.0000000002</v>
      </c>
    </row>
    <row r="6" spans="1:4" ht="15" thickBot="1">
      <c r="B6" s="112" t="s">
        <v>1</v>
      </c>
      <c r="C6" s="89">
        <f>SUM(C3:C5)</f>
        <v>2186950</v>
      </c>
    </row>
    <row r="7" spans="1:4" ht="15" thickTop="1">
      <c r="B7" s="74"/>
      <c r="C7" s="74"/>
    </row>
    <row r="8" spans="1:4">
      <c r="B8" s="32" t="s">
        <v>2</v>
      </c>
      <c r="C8" s="93"/>
      <c r="D8" t="s">
        <v>3</v>
      </c>
    </row>
    <row r="9" spans="1:4">
      <c r="B9" s="32" t="s">
        <v>4</v>
      </c>
      <c r="C9" s="93"/>
      <c r="D9" t="s">
        <v>3</v>
      </c>
    </row>
    <row r="10" spans="1:4">
      <c r="B10" s="32" t="s">
        <v>5</v>
      </c>
      <c r="C10" s="93"/>
      <c r="D10" t="s">
        <v>3</v>
      </c>
    </row>
    <row r="11" spans="1:4">
      <c r="B11" t="s">
        <v>6</v>
      </c>
      <c r="C11" s="93"/>
      <c r="D11" t="s">
        <v>3</v>
      </c>
    </row>
    <row r="12" spans="1:4">
      <c r="B12" s="32" t="s">
        <v>7</v>
      </c>
      <c r="C12">
        <v>0</v>
      </c>
      <c r="D12" t="s">
        <v>3</v>
      </c>
    </row>
    <row r="14" spans="1:4" ht="15" thickBot="1"/>
    <row r="15" spans="1:4">
      <c r="A15" s="100"/>
      <c r="B15" s="103" t="s">
        <v>106</v>
      </c>
      <c r="C15" s="104">
        <f>(C8*2500)</f>
        <v>0</v>
      </c>
    </row>
    <row r="16" spans="1:4">
      <c r="A16" s="100"/>
      <c r="B16" s="105" t="s">
        <v>107</v>
      </c>
      <c r="C16" s="106">
        <f>(C9*600)</f>
        <v>0</v>
      </c>
    </row>
    <row r="17" spans="1:8">
      <c r="A17" s="100"/>
      <c r="B17" s="105" t="s">
        <v>109</v>
      </c>
      <c r="C17" s="106">
        <f>(C10*2500)</f>
        <v>0</v>
      </c>
      <c r="D17" s="6"/>
    </row>
    <row r="18" spans="1:8">
      <c r="A18" s="100"/>
      <c r="B18" s="105" t="s">
        <v>108</v>
      </c>
      <c r="C18" s="106">
        <f>(C11*600)</f>
        <v>0</v>
      </c>
      <c r="D18" s="6"/>
    </row>
    <row r="19" spans="1:8" ht="15" thickBot="1">
      <c r="A19" s="102" t="s">
        <v>8</v>
      </c>
      <c r="B19" s="109" t="s">
        <v>9</v>
      </c>
      <c r="C19" s="110">
        <f>C12*2500</f>
        <v>0</v>
      </c>
    </row>
    <row r="20" spans="1:8" ht="15" thickBot="1">
      <c r="B20" s="112" t="s">
        <v>105</v>
      </c>
      <c r="C20" s="27">
        <f>SUM(C15:C19)</f>
        <v>0</v>
      </c>
    </row>
    <row r="21" spans="1:8" ht="15" thickTop="1"/>
    <row r="22" spans="1:8" ht="33" customHeight="1" thickBot="1">
      <c r="B22" s="111" t="s">
        <v>10</v>
      </c>
      <c r="C22" s="114">
        <f>C6+C20</f>
        <v>2186950</v>
      </c>
    </row>
    <row r="23" spans="1:8" ht="18.75" thickTop="1">
      <c r="B23" t="s">
        <v>113</v>
      </c>
      <c r="C23" s="113">
        <v>2200000</v>
      </c>
    </row>
    <row r="24" spans="1:8" ht="18">
      <c r="C24" s="113"/>
    </row>
    <row r="25" spans="1:8">
      <c r="C25" s="6"/>
    </row>
    <row r="26" spans="1:8">
      <c r="F26" s="6"/>
    </row>
    <row r="27" spans="1:8">
      <c r="B27" t="s">
        <v>11</v>
      </c>
      <c r="F27" s="85"/>
      <c r="G27" s="85"/>
      <c r="H27" s="86"/>
    </row>
    <row r="28" spans="1:8">
      <c r="B28" s="33">
        <v>1</v>
      </c>
      <c r="C28" s="34">
        <f>$C$22*B28</f>
        <v>2186950</v>
      </c>
      <c r="F28" s="85"/>
      <c r="G28" s="85"/>
      <c r="H28" s="87"/>
    </row>
    <row r="29" spans="1:8">
      <c r="B29" s="33">
        <v>0</v>
      </c>
      <c r="C29" s="34">
        <f>$C$22*B29</f>
        <v>0</v>
      </c>
      <c r="F29" s="231"/>
      <c r="G29" s="231"/>
      <c r="H29" s="87"/>
    </row>
    <row r="30" spans="1:8">
      <c r="B30" s="33">
        <v>0</v>
      </c>
      <c r="C30" s="34">
        <f>$C$22*B30</f>
        <v>0</v>
      </c>
    </row>
    <row r="31" spans="1:8" ht="18">
      <c r="B31" t="s">
        <v>97</v>
      </c>
      <c r="H31" s="101"/>
    </row>
    <row r="32" spans="1:8">
      <c r="B32" s="33">
        <v>1</v>
      </c>
      <c r="C32" s="34">
        <f>'Vendor Cost'!$E$13*Total!B32</f>
        <v>1439500</v>
      </c>
    </row>
    <row r="33" spans="2:7">
      <c r="B33" s="33">
        <v>0</v>
      </c>
      <c r="C33" s="34">
        <f>'Vendor Cost'!$E$13*Total!B33</f>
        <v>0</v>
      </c>
    </row>
    <row r="35" spans="2:7">
      <c r="B35" t="s">
        <v>12</v>
      </c>
      <c r="C35">
        <f>C32*100/C28</f>
        <v>65.822263883490706</v>
      </c>
      <c r="G35" s="68"/>
    </row>
    <row r="36" spans="2:7">
      <c r="B36" t="s">
        <v>13</v>
      </c>
      <c r="C36">
        <f>100-C35</f>
        <v>34.177736116509294</v>
      </c>
    </row>
  </sheetData>
  <mergeCells count="1">
    <mergeCell ref="F29:G29"/>
  </mergeCells>
  <pageMargins left="0.7" right="0.7" top="0.75" bottom="0.75" header="0.3" footer="0.3"/>
  <pageSetup orientation="portrait" r:id="rId1"/>
  <ignoredErrors>
    <ignoredError sqref="C16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I74"/>
  <sheetViews>
    <sheetView tabSelected="1" zoomScaleNormal="100" workbookViewId="0">
      <selection activeCell="F4" sqref="F4"/>
    </sheetView>
  </sheetViews>
  <sheetFormatPr defaultRowHeight="14.25"/>
  <cols>
    <col min="1" max="1" width="18.125" customWidth="1"/>
    <col min="2" max="2" width="44.375" bestFit="1" customWidth="1"/>
    <col min="3" max="3" width="16.875" customWidth="1"/>
    <col min="4" max="4" width="16.25" customWidth="1"/>
    <col min="5" max="6" width="16.375" customWidth="1"/>
    <col min="7" max="8" width="14" customWidth="1"/>
    <col min="9" max="9" width="18.625" customWidth="1"/>
  </cols>
  <sheetData>
    <row r="1" spans="1:8" ht="17.25" customHeight="1">
      <c r="A1" s="133" t="s">
        <v>120</v>
      </c>
      <c r="B1" s="12"/>
      <c r="C1" s="12"/>
      <c r="D1" s="12"/>
      <c r="E1" s="12"/>
      <c r="F1" s="12"/>
      <c r="G1" s="12"/>
      <c r="H1" s="12"/>
    </row>
    <row r="2" spans="1:8" ht="15" thickBot="1">
      <c r="A2" s="13" t="s">
        <v>153</v>
      </c>
      <c r="B2" s="7"/>
      <c r="C2" s="7"/>
      <c r="D2" s="7"/>
      <c r="E2" s="7" t="s">
        <v>155</v>
      </c>
      <c r="F2" s="7" t="s">
        <v>155</v>
      </c>
      <c r="G2" s="7" t="s">
        <v>155</v>
      </c>
      <c r="H2" s="7"/>
    </row>
    <row r="3" spans="1:8" ht="22.5" customHeight="1" thickBot="1">
      <c r="A3" s="249" t="s">
        <v>15</v>
      </c>
      <c r="B3" s="249" t="s">
        <v>16</v>
      </c>
      <c r="C3" s="241" t="s">
        <v>17</v>
      </c>
      <c r="D3" s="83" t="s">
        <v>103</v>
      </c>
      <c r="E3" s="94" t="s">
        <v>135</v>
      </c>
      <c r="F3" s="94" t="s">
        <v>137</v>
      </c>
      <c r="G3" s="94" t="s">
        <v>136</v>
      </c>
      <c r="H3" s="81" t="s">
        <v>115</v>
      </c>
    </row>
    <row r="4" spans="1:8" ht="15" thickBot="1">
      <c r="A4" s="250"/>
      <c r="B4" s="250"/>
      <c r="C4" s="242"/>
      <c r="D4" s="84" t="s">
        <v>99</v>
      </c>
      <c r="E4" s="92" t="s">
        <v>99</v>
      </c>
      <c r="F4" s="92" t="s">
        <v>99</v>
      </c>
      <c r="G4" s="92" t="s">
        <v>99</v>
      </c>
      <c r="H4" s="82" t="s">
        <v>116</v>
      </c>
    </row>
    <row r="5" spans="1:8" ht="15" customHeight="1" thickBot="1">
      <c r="A5" s="243" t="s">
        <v>18</v>
      </c>
      <c r="B5" s="2" t="s">
        <v>19</v>
      </c>
      <c r="C5" s="246" t="s">
        <v>20</v>
      </c>
      <c r="D5" s="131">
        <v>2</v>
      </c>
      <c r="E5" s="39"/>
      <c r="F5" s="39"/>
      <c r="G5" s="39"/>
      <c r="H5" s="39"/>
    </row>
    <row r="6" spans="1:8" ht="15" thickBot="1">
      <c r="A6" s="244"/>
      <c r="B6" s="2" t="s">
        <v>21</v>
      </c>
      <c r="C6" s="247"/>
      <c r="D6" s="127"/>
      <c r="E6" s="40"/>
      <c r="F6" s="40"/>
      <c r="G6" s="40"/>
      <c r="H6" s="40"/>
    </row>
    <row r="7" spans="1:8" ht="15" thickBot="1">
      <c r="A7" s="244"/>
      <c r="B7" s="2" t="s">
        <v>22</v>
      </c>
      <c r="C7" s="247"/>
      <c r="D7" s="130">
        <v>2</v>
      </c>
      <c r="E7" s="91"/>
      <c r="F7" s="91"/>
      <c r="G7" s="91"/>
      <c r="H7" s="91"/>
    </row>
    <row r="8" spans="1:8" ht="15" customHeight="1" thickBot="1">
      <c r="A8" s="245"/>
      <c r="B8" s="3"/>
      <c r="C8" s="248"/>
      <c r="D8" s="128"/>
      <c r="E8" s="45"/>
      <c r="F8" s="45"/>
      <c r="G8" s="45"/>
      <c r="H8" s="45"/>
    </row>
    <row r="9" spans="1:8" ht="15" thickBot="1">
      <c r="A9" s="232" t="s">
        <v>23</v>
      </c>
      <c r="B9" s="2" t="s">
        <v>24</v>
      </c>
      <c r="C9" s="235"/>
      <c r="D9" s="126">
        <v>0.5</v>
      </c>
      <c r="E9" s="95">
        <v>0.5</v>
      </c>
      <c r="F9" s="95"/>
      <c r="G9" s="44"/>
      <c r="H9" s="44"/>
    </row>
    <row r="10" spans="1:8" ht="23.45" customHeight="1" thickBot="1">
      <c r="A10" s="233"/>
      <c r="B10" s="2" t="s">
        <v>25</v>
      </c>
      <c r="C10" s="236"/>
      <c r="D10" s="127">
        <v>1</v>
      </c>
      <c r="E10" s="40">
        <v>0.5</v>
      </c>
      <c r="F10" s="40"/>
      <c r="G10" s="41"/>
      <c r="H10" s="41"/>
    </row>
    <row r="11" spans="1:8" ht="15" thickBot="1">
      <c r="A11" s="234"/>
      <c r="B11" s="3" t="s">
        <v>26</v>
      </c>
      <c r="C11" s="237"/>
      <c r="D11" s="45">
        <v>1</v>
      </c>
      <c r="E11" s="45">
        <v>1</v>
      </c>
      <c r="F11" s="45"/>
      <c r="G11" s="43"/>
      <c r="H11" s="43"/>
    </row>
    <row r="12" spans="1:8" ht="15" customHeight="1" thickBot="1">
      <c r="A12" s="232" t="s">
        <v>27</v>
      </c>
      <c r="B12" s="115" t="s">
        <v>28</v>
      </c>
      <c r="C12" s="235"/>
      <c r="D12" s="39">
        <v>2</v>
      </c>
      <c r="E12" s="39">
        <v>2</v>
      </c>
      <c r="F12" s="39"/>
      <c r="G12" s="48"/>
      <c r="H12" s="48"/>
    </row>
    <row r="13" spans="1:8" ht="15" thickBot="1">
      <c r="A13" s="233"/>
      <c r="B13" s="116" t="s">
        <v>29</v>
      </c>
      <c r="C13" s="236"/>
      <c r="D13" s="40">
        <v>1</v>
      </c>
      <c r="E13" s="40">
        <v>1</v>
      </c>
      <c r="F13" s="40"/>
      <c r="G13" s="41"/>
      <c r="H13" s="41"/>
    </row>
    <row r="14" spans="1:8" ht="15" customHeight="1" thickBot="1">
      <c r="A14" s="233"/>
      <c r="B14" s="117" t="s">
        <v>30</v>
      </c>
      <c r="C14" s="237"/>
      <c r="D14" s="45"/>
      <c r="E14" s="45"/>
      <c r="F14" s="45"/>
      <c r="G14" s="43"/>
      <c r="H14" s="43"/>
    </row>
    <row r="15" spans="1:8" ht="15" customHeight="1" thickBot="1">
      <c r="A15" s="232" t="s">
        <v>31</v>
      </c>
      <c r="B15" s="2" t="s">
        <v>32</v>
      </c>
      <c r="C15" s="236" t="s">
        <v>33</v>
      </c>
      <c r="D15" s="126">
        <v>0.5</v>
      </c>
      <c r="E15" s="95"/>
      <c r="F15" s="95">
        <v>2</v>
      </c>
      <c r="G15" s="44"/>
      <c r="H15" s="44"/>
    </row>
    <row r="16" spans="1:8" ht="15" customHeight="1" thickBot="1">
      <c r="A16" s="233"/>
      <c r="B16" s="2" t="s">
        <v>34</v>
      </c>
      <c r="C16" s="236"/>
      <c r="D16" s="126">
        <v>1</v>
      </c>
      <c r="E16" s="95"/>
      <c r="F16" s="95">
        <v>1</v>
      </c>
      <c r="G16" s="44"/>
      <c r="H16" s="44"/>
    </row>
    <row r="17" spans="1:8" ht="15" thickBot="1">
      <c r="A17" s="233"/>
      <c r="B17" s="2" t="s">
        <v>35</v>
      </c>
      <c r="C17" s="236"/>
      <c r="D17" s="127">
        <v>1</v>
      </c>
      <c r="E17" s="40">
        <v>1</v>
      </c>
      <c r="F17" s="40"/>
      <c r="G17" s="41"/>
      <c r="H17" s="41"/>
    </row>
    <row r="18" spans="1:8" ht="15" thickBot="1">
      <c r="A18" s="233"/>
      <c r="B18" s="2" t="s">
        <v>102</v>
      </c>
      <c r="C18" s="236"/>
      <c r="D18" s="127">
        <v>0.5</v>
      </c>
      <c r="E18" s="95"/>
      <c r="F18" s="95"/>
      <c r="G18" s="41">
        <v>1</v>
      </c>
      <c r="H18" s="41"/>
    </row>
    <row r="19" spans="1:8" ht="15" thickBot="1">
      <c r="A19" s="233"/>
      <c r="B19" s="2" t="s">
        <v>104</v>
      </c>
      <c r="C19" s="236"/>
      <c r="D19" s="127">
        <v>1</v>
      </c>
      <c r="E19" s="95">
        <v>1</v>
      </c>
      <c r="F19" s="95"/>
      <c r="G19" s="41"/>
      <c r="H19" s="41"/>
    </row>
    <row r="20" spans="1:8" ht="15" thickBot="1">
      <c r="A20" s="233"/>
      <c r="B20" s="2" t="s">
        <v>36</v>
      </c>
      <c r="C20" s="236"/>
      <c r="D20" s="127">
        <v>0.5</v>
      </c>
      <c r="E20" s="40"/>
      <c r="F20" s="40"/>
      <c r="G20" s="41"/>
      <c r="H20" s="41"/>
    </row>
    <row r="21" spans="1:8" ht="15" thickBot="1">
      <c r="A21" s="234"/>
      <c r="B21" s="3" t="s">
        <v>37</v>
      </c>
      <c r="C21" s="237"/>
      <c r="D21" s="128">
        <v>0.5</v>
      </c>
      <c r="E21" s="45"/>
      <c r="F21" s="45">
        <v>1</v>
      </c>
      <c r="G21" s="43"/>
      <c r="H21" s="43"/>
    </row>
    <row r="22" spans="1:8" ht="15" customHeight="1" thickBot="1">
      <c r="A22" s="76" t="s">
        <v>38</v>
      </c>
      <c r="B22" s="2" t="s">
        <v>39</v>
      </c>
      <c r="C22" s="236"/>
      <c r="D22" s="126">
        <v>1</v>
      </c>
      <c r="E22" s="95"/>
      <c r="F22" s="95"/>
      <c r="G22" s="95">
        <v>2</v>
      </c>
      <c r="H22" s="44">
        <v>3</v>
      </c>
    </row>
    <row r="23" spans="1:8" ht="15" customHeight="1" thickBot="1">
      <c r="A23" s="76"/>
      <c r="B23" s="2" t="s">
        <v>98</v>
      </c>
      <c r="C23" s="236"/>
      <c r="D23" s="126">
        <v>1</v>
      </c>
      <c r="E23" s="44"/>
      <c r="F23" s="44"/>
      <c r="G23" s="44">
        <v>2</v>
      </c>
      <c r="H23" s="44"/>
    </row>
    <row r="24" spans="1:8" ht="15" thickBot="1">
      <c r="A24" s="76"/>
      <c r="B24" s="2" t="s">
        <v>40</v>
      </c>
      <c r="C24" s="236"/>
      <c r="D24" s="127">
        <v>1</v>
      </c>
      <c r="E24" s="41"/>
      <c r="F24" s="41"/>
      <c r="G24" s="41">
        <v>1</v>
      </c>
      <c r="H24" s="41"/>
    </row>
    <row r="25" spans="1:8" ht="15" customHeight="1" thickBot="1">
      <c r="A25" s="76"/>
      <c r="B25" s="2" t="s">
        <v>41</v>
      </c>
      <c r="C25" s="236"/>
      <c r="D25" s="127">
        <v>3</v>
      </c>
      <c r="E25" s="40"/>
      <c r="F25" s="40"/>
      <c r="G25" s="40">
        <v>3</v>
      </c>
      <c r="H25" s="41"/>
    </row>
    <row r="26" spans="1:8" ht="15" thickBot="1">
      <c r="A26" s="76"/>
      <c r="B26" s="2" t="s">
        <v>42</v>
      </c>
      <c r="C26" s="236"/>
      <c r="D26" s="127">
        <v>1</v>
      </c>
      <c r="E26" s="40"/>
      <c r="F26" s="40"/>
      <c r="G26" s="40"/>
      <c r="H26" s="40"/>
    </row>
    <row r="27" spans="1:8" ht="15" customHeight="1" thickBot="1">
      <c r="A27" s="76"/>
      <c r="B27" s="2" t="s">
        <v>138</v>
      </c>
      <c r="C27" s="236"/>
      <c r="D27" s="238" t="s">
        <v>140</v>
      </c>
      <c r="E27" s="239"/>
      <c r="F27" s="239"/>
      <c r="G27" s="239"/>
      <c r="H27" s="240"/>
    </row>
    <row r="28" spans="1:8" ht="15" customHeight="1" thickBot="1">
      <c r="A28" s="76"/>
      <c r="B28" s="2" t="s">
        <v>110</v>
      </c>
      <c r="C28" s="236"/>
      <c r="D28" s="238" t="s">
        <v>139</v>
      </c>
      <c r="E28" s="239"/>
      <c r="F28" s="239"/>
      <c r="G28" s="239"/>
      <c r="H28" s="240"/>
    </row>
    <row r="29" spans="1:8" ht="15" thickBot="1">
      <c r="A29" s="36"/>
      <c r="B29" s="3" t="s">
        <v>43</v>
      </c>
      <c r="C29" s="237"/>
      <c r="D29" s="129">
        <v>0.5</v>
      </c>
      <c r="E29" s="132"/>
      <c r="F29" s="132">
        <v>0.5</v>
      </c>
      <c r="G29" s="132"/>
      <c r="H29" s="45"/>
    </row>
    <row r="30" spans="1:8" ht="15" customHeight="1" thickBot="1">
      <c r="A30" s="232" t="s">
        <v>44</v>
      </c>
      <c r="B30" s="2" t="s">
        <v>45</v>
      </c>
      <c r="C30" s="235"/>
      <c r="D30" s="127">
        <v>1</v>
      </c>
      <c r="E30" s="40"/>
      <c r="F30" s="40">
        <v>1</v>
      </c>
      <c r="G30" s="42"/>
      <c r="H30" s="41"/>
    </row>
    <row r="31" spans="1:8" ht="15" customHeight="1" thickBot="1">
      <c r="A31" s="233"/>
      <c r="B31" s="2" t="s">
        <v>117</v>
      </c>
      <c r="C31" s="236"/>
      <c r="D31" s="127">
        <v>1</v>
      </c>
      <c r="E31" s="40"/>
      <c r="F31" s="40">
        <v>1</v>
      </c>
      <c r="G31" s="42"/>
      <c r="H31" s="41"/>
    </row>
    <row r="32" spans="1:8" ht="15" thickBot="1">
      <c r="A32" s="233"/>
      <c r="B32" s="2" t="s">
        <v>46</v>
      </c>
      <c r="C32" s="236"/>
      <c r="D32" s="127">
        <v>0.5</v>
      </c>
      <c r="E32" s="40"/>
      <c r="F32" s="40">
        <v>1</v>
      </c>
      <c r="G32" s="42"/>
      <c r="H32" s="41"/>
    </row>
    <row r="33" spans="1:9" ht="15" customHeight="1" thickBot="1">
      <c r="A33" s="233"/>
      <c r="B33" s="2" t="s">
        <v>47</v>
      </c>
      <c r="C33" s="236"/>
      <c r="D33" s="127">
        <v>0.5</v>
      </c>
      <c r="E33" s="40">
        <v>1</v>
      </c>
      <c r="F33" s="40"/>
      <c r="G33" s="42"/>
      <c r="H33" s="41"/>
    </row>
    <row r="34" spans="1:9" ht="15" thickBot="1">
      <c r="A34" s="233"/>
      <c r="B34" s="2" t="s">
        <v>48</v>
      </c>
      <c r="C34" s="236"/>
      <c r="D34" s="127">
        <v>0.5</v>
      </c>
      <c r="E34" s="40"/>
      <c r="F34" s="40">
        <v>1</v>
      </c>
      <c r="G34" s="42"/>
      <c r="H34" s="41"/>
    </row>
    <row r="35" spans="1:9" ht="15" customHeight="1" thickBot="1">
      <c r="A35" s="233"/>
      <c r="B35" s="2" t="s">
        <v>49</v>
      </c>
      <c r="C35" s="236"/>
      <c r="D35" s="127">
        <v>0.5</v>
      </c>
      <c r="E35" s="40"/>
      <c r="F35" s="40">
        <v>1</v>
      </c>
      <c r="G35" s="42"/>
      <c r="H35" s="41"/>
    </row>
    <row r="36" spans="1:9" ht="15" thickBot="1">
      <c r="A36" s="233"/>
      <c r="B36" s="2" t="s">
        <v>50</v>
      </c>
      <c r="C36" s="236"/>
      <c r="D36" s="130">
        <v>0.5</v>
      </c>
      <c r="E36" s="91"/>
      <c r="F36" s="91">
        <v>0.5</v>
      </c>
      <c r="G36" s="119"/>
      <c r="H36" s="77"/>
    </row>
    <row r="37" spans="1:9" ht="15" thickBot="1">
      <c r="A37" s="232" t="s">
        <v>51</v>
      </c>
      <c r="B37" s="2" t="s">
        <v>112</v>
      </c>
      <c r="C37" s="235" t="s">
        <v>52</v>
      </c>
      <c r="D37" s="131">
        <v>0.5</v>
      </c>
      <c r="E37" s="39"/>
      <c r="F37" s="39"/>
      <c r="G37" s="48"/>
      <c r="H37" s="48"/>
    </row>
    <row r="38" spans="1:9" ht="15" thickBot="1">
      <c r="A38" s="233"/>
      <c r="B38" s="2" t="s">
        <v>111</v>
      </c>
      <c r="C38" s="236"/>
      <c r="D38" s="126">
        <v>2</v>
      </c>
      <c r="E38" s="95">
        <v>2</v>
      </c>
      <c r="F38" s="95"/>
      <c r="G38" s="44"/>
      <c r="H38" s="44"/>
    </row>
    <row r="39" spans="1:9" ht="15" customHeight="1" thickBot="1">
      <c r="A39" s="233"/>
      <c r="B39" s="2" t="s">
        <v>53</v>
      </c>
      <c r="C39" s="236"/>
      <c r="D39" s="127"/>
      <c r="E39" s="40"/>
      <c r="F39" s="40"/>
      <c r="G39" s="41"/>
      <c r="H39" s="41"/>
    </row>
    <row r="40" spans="1:9" ht="15" thickBot="1">
      <c r="A40" s="233"/>
      <c r="B40" s="2" t="s">
        <v>54</v>
      </c>
      <c r="C40" s="236"/>
      <c r="D40" s="127"/>
      <c r="E40" s="40"/>
      <c r="F40" s="40"/>
      <c r="G40" s="41"/>
      <c r="H40" s="41"/>
    </row>
    <row r="41" spans="1:9" ht="15" customHeight="1" thickBot="1">
      <c r="A41" s="234"/>
      <c r="B41" s="3" t="s">
        <v>55</v>
      </c>
      <c r="C41" s="237"/>
      <c r="D41" s="128">
        <v>1</v>
      </c>
      <c r="E41" s="45">
        <v>1</v>
      </c>
      <c r="F41" s="45"/>
      <c r="G41" s="43"/>
      <c r="H41" s="43"/>
    </row>
    <row r="42" spans="1:9" ht="15" customHeight="1" thickBot="1">
      <c r="A42" s="36" t="s">
        <v>56</v>
      </c>
      <c r="B42" s="3" t="s">
        <v>57</v>
      </c>
      <c r="C42" s="38"/>
      <c r="D42" s="37">
        <v>8</v>
      </c>
      <c r="E42" s="37"/>
      <c r="F42" s="37"/>
      <c r="G42" s="37"/>
      <c r="H42" s="37"/>
    </row>
    <row r="43" spans="1:9" ht="15" thickBot="1">
      <c r="A43" s="4" t="s">
        <v>1</v>
      </c>
      <c r="B43" s="5"/>
      <c r="C43" s="1"/>
      <c r="D43" s="1">
        <f>SUM(D5:D42)</f>
        <v>38</v>
      </c>
      <c r="E43" s="1">
        <f>SUM(E5:E42)</f>
        <v>11</v>
      </c>
      <c r="F43" s="1">
        <f>SUM(F5:F42)</f>
        <v>10</v>
      </c>
      <c r="G43" s="1">
        <f>SUM(G5:G42)</f>
        <v>9</v>
      </c>
      <c r="H43" s="118">
        <f>SUM(H5:H42)</f>
        <v>3</v>
      </c>
      <c r="I43" s="50">
        <f>SUM(D43:H43)</f>
        <v>71</v>
      </c>
    </row>
    <row r="44" spans="1:9">
      <c r="C44" s="25" t="s">
        <v>58</v>
      </c>
      <c r="D44" s="26">
        <v>8500</v>
      </c>
      <c r="E44" s="26">
        <v>8500</v>
      </c>
      <c r="F44" s="26">
        <v>8500</v>
      </c>
      <c r="G44" s="26">
        <v>8500</v>
      </c>
      <c r="H44" s="26">
        <v>8500</v>
      </c>
    </row>
    <row r="45" spans="1:9">
      <c r="C45" s="22" t="s">
        <v>59</v>
      </c>
      <c r="D45" s="23">
        <f>(D5+D6+D8)*D44</f>
        <v>17000</v>
      </c>
      <c r="E45" s="23">
        <f>(E5+E6+E8)*E44</f>
        <v>0</v>
      </c>
      <c r="F45" s="23">
        <f>(F5+F6+F8)*F44</f>
        <v>0</v>
      </c>
      <c r="G45" s="23">
        <f>(G5+G6+G8)*G44</f>
        <v>0</v>
      </c>
      <c r="H45" s="23">
        <f>(H5+H6+H8)*H44</f>
        <v>0</v>
      </c>
      <c r="I45" s="6">
        <f>SUM(D45:H45)</f>
        <v>17000</v>
      </c>
    </row>
    <row r="46" spans="1:9" ht="15" thickBot="1">
      <c r="C46" s="21" t="s">
        <v>60</v>
      </c>
      <c r="D46" s="24">
        <f>(D43-D5-D6-D8)*D44</f>
        <v>306000</v>
      </c>
      <c r="E46" s="24">
        <f>(E43-E5-E6-E8)*E44</f>
        <v>93500</v>
      </c>
      <c r="F46" s="24">
        <f>(F43-F5-F6-F8)*F44</f>
        <v>85000</v>
      </c>
      <c r="G46" s="24">
        <f>(G43-G5-G6-G8)*G44</f>
        <v>76500</v>
      </c>
      <c r="H46" s="24">
        <f>(H43-H5-H6-H8)*H44</f>
        <v>25500</v>
      </c>
      <c r="I46" s="6">
        <f>SUM(D46:H46)</f>
        <v>586500</v>
      </c>
    </row>
    <row r="47" spans="1:9" ht="15" thickBot="1">
      <c r="D47" s="47">
        <f>SUM(D45:D46)</f>
        <v>323000</v>
      </c>
      <c r="E47" s="47">
        <f t="shared" ref="E47:H47" si="0">SUM(E45:E46)</f>
        <v>93500</v>
      </c>
      <c r="F47" s="47">
        <f t="shared" ref="F47" si="1">SUM(F45:F46)</f>
        <v>85000</v>
      </c>
      <c r="G47" s="47">
        <f t="shared" si="0"/>
        <v>76500</v>
      </c>
      <c r="H47" s="47">
        <f t="shared" si="0"/>
        <v>25500</v>
      </c>
      <c r="I47" s="6">
        <f>SUM(D47:H47)</f>
        <v>603500</v>
      </c>
    </row>
    <row r="48" spans="1:9">
      <c r="I48" s="6"/>
    </row>
    <row r="56" spans="1:6" ht="21">
      <c r="A56" s="96"/>
      <c r="B56" s="97"/>
      <c r="C56" s="96"/>
      <c r="D56" s="96"/>
      <c r="E56" s="96"/>
      <c r="F56" s="96"/>
    </row>
    <row r="57" spans="1:6" ht="18.75">
      <c r="A57" s="98"/>
      <c r="B57" s="99"/>
      <c r="C57" s="98"/>
      <c r="D57" s="98"/>
      <c r="E57" s="98"/>
      <c r="F57" s="98"/>
    </row>
    <row r="58" spans="1:6" ht="18.75">
      <c r="A58" s="98"/>
      <c r="B58" s="99"/>
      <c r="C58" s="98"/>
      <c r="D58" s="98"/>
      <c r="E58" s="98"/>
      <c r="F58" s="98"/>
    </row>
    <row r="59" spans="1:6" ht="18.75">
      <c r="A59" s="98"/>
      <c r="B59" s="99"/>
      <c r="C59" s="98"/>
      <c r="D59" s="98"/>
      <c r="E59" s="98"/>
      <c r="F59" s="98"/>
    </row>
    <row r="60" spans="1:6" ht="18.75">
      <c r="A60" s="98"/>
      <c r="B60" s="99"/>
      <c r="C60" s="98"/>
      <c r="D60" s="98"/>
      <c r="E60" s="98"/>
      <c r="F60" s="98"/>
    </row>
    <row r="61" spans="1:6" ht="18.75">
      <c r="A61" s="98"/>
      <c r="B61" s="99"/>
      <c r="C61" s="98"/>
      <c r="D61" s="98"/>
      <c r="E61" s="98"/>
      <c r="F61" s="98"/>
    </row>
    <row r="62" spans="1:6" ht="18.75">
      <c r="A62" s="98"/>
      <c r="B62" s="99"/>
      <c r="C62" s="98"/>
      <c r="D62" s="98"/>
      <c r="E62" s="98"/>
      <c r="F62" s="98"/>
    </row>
    <row r="63" spans="1:6" ht="18.75">
      <c r="A63" s="98"/>
      <c r="B63" s="99"/>
      <c r="C63" s="98"/>
      <c r="D63" s="98"/>
      <c r="E63" s="98"/>
      <c r="F63" s="98"/>
    </row>
    <row r="64" spans="1:6" ht="18.75">
      <c r="A64" s="98"/>
      <c r="B64" s="99"/>
      <c r="C64" s="98"/>
      <c r="D64" s="98"/>
      <c r="E64" s="98"/>
      <c r="F64" s="98"/>
    </row>
    <row r="65" spans="1:6" ht="18.75">
      <c r="A65" s="98"/>
      <c r="B65" s="99"/>
      <c r="C65" s="98"/>
      <c r="D65" s="98"/>
      <c r="E65" s="98"/>
      <c r="F65" s="98"/>
    </row>
    <row r="66" spans="1:6" ht="18.75">
      <c r="A66" s="98"/>
      <c r="B66" s="99"/>
      <c r="C66" s="98"/>
      <c r="D66" s="98"/>
      <c r="E66" s="98"/>
      <c r="F66" s="98"/>
    </row>
    <row r="67" spans="1:6" ht="18.75">
      <c r="A67" s="98"/>
      <c r="B67" s="99"/>
      <c r="C67" s="98"/>
      <c r="D67" s="98"/>
      <c r="E67" s="98"/>
      <c r="F67" s="98"/>
    </row>
    <row r="68" spans="1:6" ht="18.75">
      <c r="A68" s="98"/>
      <c r="B68" s="99"/>
      <c r="C68" s="98"/>
      <c r="D68" s="98"/>
      <c r="E68" s="98"/>
      <c r="F68" s="98"/>
    </row>
    <row r="69" spans="1:6" ht="18.75">
      <c r="A69" s="98"/>
      <c r="B69" s="99"/>
      <c r="C69" s="98"/>
      <c r="D69" s="98"/>
      <c r="E69" s="98"/>
      <c r="F69" s="98"/>
    </row>
    <row r="70" spans="1:6" ht="18.75">
      <c r="A70" s="98"/>
      <c r="B70" s="99"/>
      <c r="C70" s="98"/>
      <c r="D70" s="98"/>
      <c r="E70" s="98"/>
      <c r="F70" s="98"/>
    </row>
    <row r="71" spans="1:6" ht="18.75">
      <c r="A71" s="98"/>
      <c r="B71" s="99"/>
      <c r="C71" s="98"/>
      <c r="D71" s="98"/>
      <c r="E71" s="98"/>
      <c r="F71" s="98"/>
    </row>
    <row r="72" spans="1:6" ht="18.75">
      <c r="A72" s="98"/>
      <c r="B72" s="99"/>
      <c r="C72" s="98"/>
      <c r="D72" s="98"/>
      <c r="E72" s="98"/>
      <c r="F72" s="98"/>
    </row>
    <row r="73" spans="1:6" ht="18.75">
      <c r="A73" s="98"/>
      <c r="B73" s="99"/>
      <c r="C73" s="98"/>
      <c r="D73" s="98"/>
      <c r="E73" s="98"/>
      <c r="F73" s="98"/>
    </row>
    <row r="74" spans="1:6" ht="18.75">
      <c r="A74" s="98"/>
      <c r="B74" s="99"/>
      <c r="C74" s="98"/>
      <c r="D74" s="98"/>
      <c r="E74" s="98"/>
      <c r="F74" s="98"/>
    </row>
  </sheetData>
  <mergeCells count="18">
    <mergeCell ref="D27:H27"/>
    <mergeCell ref="D28:H28"/>
    <mergeCell ref="C3:C4"/>
    <mergeCell ref="A5:A8"/>
    <mergeCell ref="C5:C8"/>
    <mergeCell ref="A12:A14"/>
    <mergeCell ref="C12:C14"/>
    <mergeCell ref="A9:A11"/>
    <mergeCell ref="C9:C11"/>
    <mergeCell ref="A3:A4"/>
    <mergeCell ref="B3:B4"/>
    <mergeCell ref="A37:A41"/>
    <mergeCell ref="C37:C41"/>
    <mergeCell ref="A30:A36"/>
    <mergeCell ref="C30:C36"/>
    <mergeCell ref="A15:A21"/>
    <mergeCell ref="C15:C21"/>
    <mergeCell ref="C22:C2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C2:AE76"/>
  <sheetViews>
    <sheetView zoomScaleNormal="100" workbookViewId="0">
      <selection activeCell="H18" sqref="H18"/>
    </sheetView>
  </sheetViews>
  <sheetFormatPr defaultColWidth="9" defaultRowHeight="12.75"/>
  <cols>
    <col min="1" max="2" width="9" style="7"/>
    <col min="3" max="3" width="5.375" style="7" bestFit="1" customWidth="1"/>
    <col min="4" max="4" width="39.875" style="7" customWidth="1"/>
    <col min="5" max="5" width="15" style="7" bestFit="1" customWidth="1"/>
    <col min="6" max="6" width="12.125" style="7" customWidth="1"/>
    <col min="7" max="7" width="22" style="7" customWidth="1"/>
    <col min="8" max="8" width="11.25" style="7" bestFit="1" customWidth="1"/>
    <col min="9" max="10" width="9" style="7"/>
    <col min="11" max="11" width="83.125" style="7" customWidth="1"/>
    <col min="12" max="16384" width="9" style="7"/>
  </cols>
  <sheetData>
    <row r="2" spans="3:31" ht="14.25">
      <c r="C2" s="78" t="s">
        <v>118</v>
      </c>
      <c r="D2" s="78"/>
      <c r="E2" s="78"/>
      <c r="J2" s="123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</row>
    <row r="3" spans="3:31" ht="14.25">
      <c r="C3" s="251" t="s">
        <v>119</v>
      </c>
      <c r="D3" s="251"/>
      <c r="E3" s="251"/>
      <c r="F3" s="31"/>
      <c r="J3" s="120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</row>
    <row r="4" spans="3:31" ht="15" thickBot="1">
      <c r="C4" s="8"/>
      <c r="D4" s="9"/>
      <c r="E4" s="9"/>
      <c r="J4" s="135"/>
      <c r="K4" s="136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</row>
    <row r="5" spans="3:31" ht="21.75" customHeight="1" thickBot="1">
      <c r="C5" s="28" t="s">
        <v>61</v>
      </c>
      <c r="D5" s="29" t="s">
        <v>62</v>
      </c>
      <c r="E5" s="30" t="s">
        <v>63</v>
      </c>
      <c r="J5" s="151"/>
      <c r="K5" s="152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</row>
    <row r="6" spans="3:31" ht="14.25">
      <c r="C6" s="16">
        <v>1</v>
      </c>
      <c r="D6" s="46" t="s">
        <v>114</v>
      </c>
      <c r="E6" s="17">
        <v>1439500</v>
      </c>
      <c r="F6" s="49">
        <v>0.3</v>
      </c>
      <c r="G6" s="31">
        <f>E6*F6</f>
        <v>431850</v>
      </c>
      <c r="H6" s="70" t="s">
        <v>31</v>
      </c>
      <c r="J6" s="151"/>
      <c r="K6" s="152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</row>
    <row r="7" spans="3:31" ht="14.25">
      <c r="C7" s="16"/>
      <c r="D7" s="10"/>
      <c r="E7" s="15"/>
      <c r="F7" s="49">
        <v>0.3</v>
      </c>
      <c r="G7" s="31">
        <f>E6*F7</f>
        <v>431850</v>
      </c>
      <c r="H7" s="71" t="s">
        <v>64</v>
      </c>
      <c r="J7" s="151"/>
      <c r="K7" s="152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</row>
    <row r="8" spans="3:31" ht="14.25">
      <c r="C8" s="16"/>
      <c r="D8" s="10"/>
      <c r="E8" s="15"/>
      <c r="F8" s="49">
        <v>0.4</v>
      </c>
      <c r="G8" s="31">
        <f>E6*F8</f>
        <v>575800</v>
      </c>
      <c r="H8" s="71" t="s">
        <v>65</v>
      </c>
      <c r="J8" s="151"/>
      <c r="K8" s="152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</row>
    <row r="9" spans="3:31" ht="14.25">
      <c r="C9" s="14"/>
      <c r="D9" s="10"/>
      <c r="E9" s="15"/>
      <c r="J9" s="151"/>
      <c r="K9" s="152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</row>
    <row r="10" spans="3:31" ht="14.25">
      <c r="C10" s="14"/>
      <c r="D10" s="10"/>
      <c r="E10" s="15"/>
      <c r="J10" s="151"/>
      <c r="K10" s="152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</row>
    <row r="11" spans="3:31" ht="15" thickBot="1">
      <c r="C11" s="18"/>
      <c r="D11" s="19" t="s">
        <v>1</v>
      </c>
      <c r="E11" s="20">
        <f>SUM(E6:E10)</f>
        <v>1439500</v>
      </c>
      <c r="J11" s="151"/>
      <c r="K11" s="152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</row>
    <row r="12" spans="3:31" ht="15" thickBot="1">
      <c r="C12" s="18"/>
      <c r="D12" s="19" t="s">
        <v>66</v>
      </c>
      <c r="E12" s="20"/>
      <c r="G12" s="31"/>
      <c r="J12" s="151"/>
      <c r="K12" s="153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</row>
    <row r="13" spans="3:31" ht="15" thickBot="1">
      <c r="C13" s="18"/>
      <c r="D13" s="19" t="s">
        <v>10</v>
      </c>
      <c r="E13" s="20">
        <f>E11-E12</f>
        <v>1439500</v>
      </c>
      <c r="J13" s="151"/>
      <c r="K13" s="152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</row>
    <row r="14" spans="3:31" ht="14.25">
      <c r="C14" s="9"/>
      <c r="D14" s="8" t="s">
        <v>67</v>
      </c>
      <c r="E14" s="11"/>
      <c r="J14" s="151"/>
      <c r="K14" s="152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</row>
    <row r="15" spans="3:31" ht="14.25">
      <c r="G15" s="69"/>
      <c r="J15" s="151"/>
      <c r="K15" s="152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</row>
    <row r="16" spans="3:31" ht="14.25">
      <c r="J16" s="151"/>
      <c r="K16" s="152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</row>
    <row r="17" spans="4:31" ht="14.25">
      <c r="D17" s="7" t="s">
        <v>154</v>
      </c>
      <c r="J17" s="151"/>
      <c r="K17" s="152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</row>
    <row r="18" spans="4:31" ht="14.25">
      <c r="J18" s="151"/>
      <c r="K18" s="152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</row>
    <row r="19" spans="4:31" ht="14.25">
      <c r="E19" s="88"/>
      <c r="J19" s="151"/>
      <c r="K19" s="136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</row>
    <row r="20" spans="4:31" ht="14.25">
      <c r="E20" s="88"/>
      <c r="J20" s="151"/>
      <c r="K20" s="136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</row>
    <row r="21" spans="4:31" ht="14.25">
      <c r="E21" s="88"/>
      <c r="J21" s="151"/>
      <c r="K21" s="136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</row>
    <row r="22" spans="4:31" ht="14.25">
      <c r="E22" s="88"/>
      <c r="J22" s="151"/>
      <c r="K22" s="136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</row>
    <row r="23" spans="4:31" ht="14.25">
      <c r="E23" s="88"/>
      <c r="J23" s="137"/>
      <c r="K23" s="136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</row>
    <row r="24" spans="4:31" ht="14.25">
      <c r="E24" s="88"/>
      <c r="J24" s="137"/>
      <c r="K24" s="136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</row>
    <row r="25" spans="4:31" ht="14.25">
      <c r="J25" s="137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</row>
    <row r="26" spans="4:31" ht="14.25">
      <c r="J26" s="138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</row>
    <row r="27" spans="4:31" ht="14.25">
      <c r="J27" s="154"/>
      <c r="K27" s="15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</row>
    <row r="28" spans="4:31" ht="14.25">
      <c r="J28" s="136"/>
      <c r="K28" s="15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</row>
    <row r="29" spans="4:31" ht="14.25">
      <c r="J29" s="136"/>
      <c r="K29" s="15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</row>
    <row r="30" spans="4:31" ht="14.25">
      <c r="J30" s="136"/>
      <c r="K30" s="15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</row>
    <row r="31" spans="4:31" ht="14.25">
      <c r="J31" s="136"/>
      <c r="K31" s="15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</row>
    <row r="32" spans="4:31" ht="14.25">
      <c r="J32" s="136"/>
      <c r="K32" s="15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</row>
    <row r="33" spans="10:31" ht="14.25">
      <c r="J33" s="136"/>
      <c r="K33" s="15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</row>
    <row r="34" spans="10:31" ht="14.25">
      <c r="J34" s="136"/>
      <c r="K34" s="15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</row>
    <row r="35" spans="10:31" ht="14.25">
      <c r="J35" s="136"/>
      <c r="K35" s="15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</row>
    <row r="36" spans="10:31" ht="14.25">
      <c r="J36" s="136"/>
      <c r="K36" s="15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</row>
    <row r="37" spans="10:31" ht="14.25">
      <c r="J37" s="136"/>
      <c r="K37" s="15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</row>
    <row r="38" spans="10:31" ht="14.25">
      <c r="J38" s="136"/>
      <c r="K38" s="15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</row>
    <row r="39" spans="10:31" ht="14.25">
      <c r="J39" s="136"/>
      <c r="K39" s="15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</row>
    <row r="40" spans="10:31" ht="14.25">
      <c r="J40" s="139"/>
      <c r="K40" s="139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</row>
    <row r="41" spans="10:31" ht="14.25">
      <c r="J41" s="140"/>
      <c r="K41" s="140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</row>
    <row r="42" spans="10:31" ht="14.25">
      <c r="J42" s="145"/>
      <c r="K42" s="140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</row>
    <row r="43" spans="10:31" ht="14.25">
      <c r="J43" s="146"/>
      <c r="K43" s="149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</row>
    <row r="44" spans="10:31" ht="14.25">
      <c r="J44" s="148"/>
      <c r="K44" s="150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</row>
    <row r="45" spans="10:31" ht="14.25">
      <c r="J45" s="145"/>
      <c r="K45" s="140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</row>
    <row r="46" spans="10:31" ht="14.25">
      <c r="J46" s="146"/>
      <c r="K46" s="149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</row>
    <row r="47" spans="10:31" ht="14.25">
      <c r="J47" s="147"/>
      <c r="K47" s="149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</row>
    <row r="48" spans="10:31" ht="14.25">
      <c r="J48" s="148"/>
      <c r="K48" s="150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</row>
    <row r="49" spans="10:11" ht="12.75" hidden="1" customHeight="1">
      <c r="J49" s="144"/>
      <c r="K49" s="143"/>
    </row>
    <row r="50" spans="10:11" ht="12.75" hidden="1" customHeight="1">
      <c r="J50" s="141"/>
      <c r="K50" s="142"/>
    </row>
    <row r="51" spans="10:11" ht="12.75" hidden="1" customHeight="1">
      <c r="J51" s="141"/>
      <c r="K51" s="143"/>
    </row>
    <row r="52" spans="10:11" ht="12.75" hidden="1" customHeight="1">
      <c r="J52" s="144"/>
      <c r="K52" s="143"/>
    </row>
    <row r="53" spans="10:11" ht="12.75" hidden="1" customHeight="1">
      <c r="J53" s="144"/>
      <c r="K53" s="143"/>
    </row>
    <row r="54" spans="10:11" ht="12.75" hidden="1" customHeight="1">
      <c r="J54" s="144"/>
      <c r="K54" s="143"/>
    </row>
    <row r="55" spans="10:11" ht="12.75" hidden="1" customHeight="1">
      <c r="J55" s="144"/>
      <c r="K55" s="143"/>
    </row>
    <row r="56" spans="10:11" ht="12.75" hidden="1" customHeight="1">
      <c r="J56" s="144"/>
      <c r="K56" s="143"/>
    </row>
    <row r="57" spans="10:11" ht="241.5" hidden="1" customHeight="1">
      <c r="J57" s="144"/>
      <c r="K57" s="143"/>
    </row>
    <row r="58" spans="10:11" ht="12.75" hidden="1" customHeight="1">
      <c r="J58" s="144"/>
      <c r="K58" s="143"/>
    </row>
    <row r="59" spans="10:11" ht="12.75" hidden="1" customHeight="1">
      <c r="J59" s="144"/>
      <c r="K59" s="143"/>
    </row>
    <row r="60" spans="10:11" ht="12.75" hidden="1" customHeight="1">
      <c r="J60" s="144"/>
      <c r="K60" s="143"/>
    </row>
    <row r="61" spans="10:11" ht="12.75" hidden="1" customHeight="1">
      <c r="J61" s="141"/>
      <c r="K61" s="142"/>
    </row>
    <row r="62" spans="10:11" ht="12.75" hidden="1" customHeight="1">
      <c r="J62" s="141"/>
      <c r="K62" s="143"/>
    </row>
    <row r="63" spans="10:11" ht="12.75" hidden="1" customHeight="1">
      <c r="J63" s="144"/>
      <c r="K63" s="143"/>
    </row>
    <row r="64" spans="10:11" ht="12.75" hidden="1" customHeight="1">
      <c r="J64" s="144"/>
      <c r="K64" s="143"/>
    </row>
    <row r="65" spans="10:11" ht="12.75" hidden="1" customHeight="1">
      <c r="J65" s="144"/>
      <c r="K65" s="143"/>
    </row>
    <row r="66" spans="10:11" ht="12.75" hidden="1" customHeight="1">
      <c r="J66" s="144"/>
      <c r="K66" s="143"/>
    </row>
    <row r="67" spans="10:11">
      <c r="J67" s="145"/>
      <c r="K67" s="140"/>
    </row>
    <row r="68" spans="10:11">
      <c r="J68" s="146"/>
      <c r="K68" s="149"/>
    </row>
    <row r="69" spans="10:11">
      <c r="J69" s="147"/>
      <c r="K69" s="149"/>
    </row>
    <row r="70" spans="10:11">
      <c r="J70" s="147"/>
      <c r="K70" s="149"/>
    </row>
    <row r="71" spans="10:11">
      <c r="J71" s="147"/>
      <c r="K71" s="149"/>
    </row>
    <row r="72" spans="10:11">
      <c r="J72" s="147"/>
      <c r="K72" s="149"/>
    </row>
    <row r="73" spans="10:11">
      <c r="J73" s="147"/>
      <c r="K73" s="149"/>
    </row>
    <row r="74" spans="10:11">
      <c r="J74" s="147"/>
      <c r="K74" s="149"/>
    </row>
    <row r="75" spans="10:11">
      <c r="J75" s="148"/>
      <c r="K75" s="150"/>
    </row>
    <row r="76" spans="10:11" ht="15">
      <c r="J76" s="134"/>
      <c r="K76" s="134"/>
    </row>
  </sheetData>
  <mergeCells count="1">
    <mergeCell ref="C3:E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C04E6-3A4D-4C34-B37F-41C70A81F372}">
  <dimension ref="A1:Z25"/>
  <sheetViews>
    <sheetView showGridLines="0" zoomScaleNormal="100" workbookViewId="0">
      <selection activeCell="AA33" sqref="AA33"/>
    </sheetView>
  </sheetViews>
  <sheetFormatPr defaultColWidth="9" defaultRowHeight="10.5"/>
  <cols>
    <col min="1" max="1" width="2.875" style="35" customWidth="1"/>
    <col min="2" max="2" width="23.25" style="35" customWidth="1"/>
    <col min="3" max="3" width="2.875" style="35" customWidth="1"/>
    <col min="4" max="10" width="2.875" style="35" bestFit="1" customWidth="1"/>
    <col min="11" max="11" width="3.5" style="35" customWidth="1"/>
    <col min="12" max="12" width="3" style="35" customWidth="1"/>
    <col min="13" max="13" width="2.875" style="35" bestFit="1" customWidth="1"/>
    <col min="14" max="14" width="3.5" style="35" customWidth="1"/>
    <col min="15" max="15" width="2.875" style="35" customWidth="1"/>
    <col min="16" max="16" width="3" style="35" customWidth="1"/>
    <col min="17" max="19" width="2.875" style="35" bestFit="1" customWidth="1"/>
    <col min="20" max="20" width="2.75" style="35" customWidth="1"/>
    <col min="21" max="21" width="2.875" style="35" bestFit="1" customWidth="1"/>
    <col min="22" max="22" width="3.125" style="35" bestFit="1" customWidth="1"/>
    <col min="23" max="23" width="3.625" style="35" customWidth="1"/>
    <col min="24" max="24" width="3.25" style="35" customWidth="1"/>
    <col min="25" max="25" width="2.875" style="35" bestFit="1" customWidth="1"/>
    <col min="26" max="26" width="3.5" style="35" customWidth="1"/>
    <col min="27" max="27" width="3.625" style="35" bestFit="1" customWidth="1"/>
    <col min="28" max="16384" width="9" style="35"/>
  </cols>
  <sheetData>
    <row r="1" spans="1:26" ht="11.25" thickBot="1">
      <c r="C1" s="265">
        <v>46204</v>
      </c>
      <c r="D1" s="266"/>
      <c r="E1" s="266"/>
      <c r="F1" s="267"/>
      <c r="G1" s="265">
        <v>46235</v>
      </c>
      <c r="H1" s="266"/>
      <c r="I1" s="266"/>
      <c r="J1" s="267"/>
      <c r="K1" s="265">
        <v>46266</v>
      </c>
      <c r="L1" s="266"/>
      <c r="M1" s="266"/>
      <c r="N1" s="267"/>
      <c r="O1" s="265">
        <v>46296</v>
      </c>
      <c r="P1" s="266"/>
      <c r="Q1" s="266"/>
      <c r="R1" s="267"/>
      <c r="S1" s="265">
        <v>46327</v>
      </c>
      <c r="T1" s="266"/>
      <c r="U1" s="266"/>
      <c r="V1" s="267"/>
      <c r="W1" s="265">
        <v>46357</v>
      </c>
      <c r="X1" s="266"/>
      <c r="Y1" s="266"/>
      <c r="Z1" s="267"/>
    </row>
    <row r="2" spans="1:26" ht="11.25" thickBot="1">
      <c r="A2" s="51"/>
      <c r="B2" s="52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>
      <c r="B3" s="271" t="s">
        <v>68</v>
      </c>
      <c r="C3" s="268" t="s">
        <v>69</v>
      </c>
      <c r="D3" s="269"/>
      <c r="E3" s="269"/>
      <c r="F3" s="270"/>
      <c r="G3" s="268" t="s">
        <v>70</v>
      </c>
      <c r="H3" s="269"/>
      <c r="I3" s="269"/>
      <c r="J3" s="270"/>
      <c r="K3" s="268" t="s">
        <v>71</v>
      </c>
      <c r="L3" s="269"/>
      <c r="M3" s="269"/>
      <c r="N3" s="270"/>
      <c r="O3" s="268" t="s">
        <v>72</v>
      </c>
      <c r="P3" s="269"/>
      <c r="Q3" s="269"/>
      <c r="R3" s="270"/>
      <c r="S3" s="268" t="s">
        <v>73</v>
      </c>
      <c r="T3" s="269"/>
      <c r="U3" s="269"/>
      <c r="V3" s="270"/>
      <c r="W3" s="268" t="s">
        <v>74</v>
      </c>
      <c r="X3" s="269"/>
      <c r="Y3" s="269"/>
      <c r="Z3" s="270"/>
    </row>
    <row r="4" spans="1:26" ht="11.25" thickBot="1">
      <c r="B4" s="272"/>
      <c r="C4" s="168" t="s">
        <v>75</v>
      </c>
      <c r="D4" s="54" t="s">
        <v>76</v>
      </c>
      <c r="E4" s="54" t="s">
        <v>77</v>
      </c>
      <c r="F4" s="169" t="s">
        <v>78</v>
      </c>
      <c r="G4" s="168" t="s">
        <v>75</v>
      </c>
      <c r="H4" s="54" t="s">
        <v>76</v>
      </c>
      <c r="I4" s="54" t="s">
        <v>77</v>
      </c>
      <c r="J4" s="169" t="s">
        <v>78</v>
      </c>
      <c r="K4" s="168" t="s">
        <v>75</v>
      </c>
      <c r="L4" s="54" t="s">
        <v>76</v>
      </c>
      <c r="M4" s="54" t="s">
        <v>77</v>
      </c>
      <c r="N4" s="169" t="s">
        <v>78</v>
      </c>
      <c r="O4" s="168" t="s">
        <v>75</v>
      </c>
      <c r="P4" s="54" t="s">
        <v>76</v>
      </c>
      <c r="Q4" s="54" t="s">
        <v>77</v>
      </c>
      <c r="R4" s="169" t="s">
        <v>78</v>
      </c>
      <c r="S4" s="168" t="s">
        <v>75</v>
      </c>
      <c r="T4" s="54" t="s">
        <v>76</v>
      </c>
      <c r="U4" s="54" t="s">
        <v>77</v>
      </c>
      <c r="V4" s="169" t="s">
        <v>78</v>
      </c>
      <c r="W4" s="168" t="s">
        <v>75</v>
      </c>
      <c r="X4" s="54" t="s">
        <v>76</v>
      </c>
      <c r="Y4" s="54" t="s">
        <v>77</v>
      </c>
      <c r="Z4" s="169" t="s">
        <v>78</v>
      </c>
    </row>
    <row r="5" spans="1:26" ht="11.25" thickBot="1">
      <c r="B5" s="61" t="s">
        <v>141</v>
      </c>
      <c r="C5" s="210"/>
      <c r="D5" s="170"/>
      <c r="E5" s="170"/>
      <c r="F5" s="170"/>
      <c r="G5" s="171"/>
      <c r="H5" s="170"/>
      <c r="I5" s="170"/>
      <c r="J5" s="170"/>
      <c r="K5" s="171"/>
      <c r="L5" s="179"/>
      <c r="M5" s="180"/>
      <c r="N5" s="170"/>
      <c r="O5" s="171"/>
      <c r="P5" s="170"/>
      <c r="Q5" s="170"/>
      <c r="R5" s="181"/>
      <c r="S5" s="171"/>
      <c r="T5" s="170"/>
      <c r="U5" s="170"/>
      <c r="V5" s="181"/>
      <c r="W5" s="171"/>
      <c r="X5" s="170"/>
      <c r="Y5" s="170"/>
      <c r="Z5" s="181"/>
    </row>
    <row r="6" spans="1:26">
      <c r="B6" s="63" t="s">
        <v>28</v>
      </c>
      <c r="C6" s="177"/>
      <c r="D6" s="211"/>
      <c r="E6" s="211"/>
      <c r="F6" s="211"/>
      <c r="G6" s="212"/>
      <c r="H6" s="164"/>
      <c r="I6" s="164"/>
      <c r="J6" s="164"/>
      <c r="K6" s="177"/>
      <c r="L6" s="178"/>
      <c r="M6" s="165"/>
      <c r="N6" s="164"/>
      <c r="O6" s="177"/>
      <c r="P6" s="164"/>
      <c r="Q6" s="164"/>
      <c r="R6" s="182"/>
      <c r="S6" s="177"/>
      <c r="T6" s="164"/>
      <c r="U6" s="164"/>
      <c r="V6" s="182"/>
      <c r="W6" s="177"/>
      <c r="X6" s="164"/>
      <c r="Y6" s="164"/>
      <c r="Z6" s="182"/>
    </row>
    <row r="7" spans="1:26">
      <c r="B7" s="57" t="s">
        <v>79</v>
      </c>
      <c r="C7" s="174"/>
      <c r="D7" s="252"/>
      <c r="E7" s="257"/>
      <c r="F7" s="258"/>
      <c r="G7" s="213"/>
      <c r="H7" s="184"/>
      <c r="I7" s="185"/>
      <c r="J7" s="163"/>
      <c r="K7" s="166"/>
      <c r="L7" s="167"/>
      <c r="M7" s="185"/>
      <c r="N7" s="184"/>
      <c r="O7" s="183"/>
      <c r="P7" s="184"/>
      <c r="Q7" s="184"/>
      <c r="R7" s="163"/>
      <c r="S7" s="183"/>
      <c r="T7" s="184"/>
      <c r="U7" s="184"/>
      <c r="V7" s="163"/>
      <c r="W7" s="183"/>
      <c r="X7" s="184"/>
      <c r="Y7" s="184"/>
      <c r="Z7" s="163"/>
    </row>
    <row r="8" spans="1:26">
      <c r="B8" s="59" t="s">
        <v>80</v>
      </c>
      <c r="C8" s="175"/>
      <c r="D8" s="176"/>
      <c r="E8" s="176"/>
      <c r="F8" s="214"/>
      <c r="G8" s="215"/>
      <c r="H8" s="186"/>
      <c r="I8" s="186"/>
      <c r="J8" s="187"/>
      <c r="K8" s="161"/>
      <c r="L8" s="162"/>
      <c r="M8" s="162"/>
      <c r="N8" s="187"/>
      <c r="O8" s="162"/>
      <c r="P8" s="162"/>
      <c r="Q8" s="162"/>
      <c r="R8" s="187"/>
      <c r="S8" s="162"/>
      <c r="T8" s="162"/>
      <c r="U8" s="162"/>
      <c r="V8" s="187"/>
      <c r="W8" s="161"/>
      <c r="X8" s="162"/>
      <c r="Y8" s="162"/>
      <c r="Z8" s="187"/>
    </row>
    <row r="9" spans="1:26">
      <c r="B9" s="55" t="s">
        <v>31</v>
      </c>
      <c r="C9" s="173"/>
      <c r="D9" s="165"/>
      <c r="E9" s="165"/>
      <c r="F9" s="172"/>
      <c r="G9" s="188"/>
      <c r="H9" s="254"/>
      <c r="I9" s="255"/>
      <c r="J9" s="256"/>
      <c r="K9" s="216"/>
      <c r="L9" s="191"/>
      <c r="M9" s="191"/>
      <c r="N9" s="191"/>
      <c r="O9" s="192"/>
      <c r="P9" s="191"/>
      <c r="Q9" s="191"/>
      <c r="R9" s="191"/>
      <c r="S9" s="192"/>
      <c r="T9" s="191"/>
      <c r="U9" s="191"/>
      <c r="V9" s="191"/>
      <c r="W9" s="192"/>
      <c r="X9" s="191"/>
      <c r="Y9" s="191"/>
      <c r="Z9" s="193"/>
    </row>
    <row r="10" spans="1:26">
      <c r="B10" s="57" t="s">
        <v>81</v>
      </c>
      <c r="C10" s="58"/>
      <c r="D10" s="184"/>
      <c r="E10" s="184"/>
      <c r="F10" s="163"/>
      <c r="G10" s="183"/>
      <c r="H10" s="252"/>
      <c r="I10" s="257"/>
      <c r="J10" s="258"/>
      <c r="K10" s="183"/>
      <c r="L10" s="184"/>
      <c r="M10" s="184"/>
      <c r="N10" s="163"/>
      <c r="O10" s="183"/>
      <c r="P10" s="184"/>
      <c r="Q10" s="184"/>
      <c r="R10" s="163"/>
      <c r="S10" s="183"/>
      <c r="T10" s="184"/>
      <c r="U10" s="184"/>
      <c r="V10" s="163"/>
      <c r="W10" s="183"/>
      <c r="X10" s="184"/>
      <c r="Y10" s="184"/>
      <c r="Z10" s="163"/>
    </row>
    <row r="11" spans="1:26" ht="11.25" thickBot="1">
      <c r="B11" s="59" t="s">
        <v>82</v>
      </c>
      <c r="C11" s="60"/>
      <c r="D11" s="162"/>
      <c r="E11" s="162"/>
      <c r="F11" s="187"/>
      <c r="G11" s="161"/>
      <c r="H11" s="162"/>
      <c r="I11" s="162"/>
      <c r="J11" s="217"/>
      <c r="K11" s="215"/>
      <c r="L11" s="184"/>
      <c r="M11" s="184"/>
      <c r="N11" s="163"/>
      <c r="O11" s="161"/>
      <c r="P11" s="162"/>
      <c r="Q11" s="162"/>
      <c r="R11" s="187"/>
      <c r="S11" s="161"/>
      <c r="T11" s="162"/>
      <c r="U11" s="162"/>
      <c r="V11" s="187"/>
      <c r="W11" s="194"/>
      <c r="X11" s="195"/>
      <c r="Y11" s="195"/>
      <c r="Z11" s="196"/>
    </row>
    <row r="12" spans="1:26" ht="11.25" thickBot="1">
      <c r="B12" s="61" t="s">
        <v>83</v>
      </c>
      <c r="C12" s="62"/>
      <c r="D12" s="180"/>
      <c r="E12" s="180"/>
      <c r="F12" s="197"/>
      <c r="G12" s="198"/>
      <c r="H12" s="180"/>
      <c r="I12" s="180"/>
      <c r="J12" s="197"/>
      <c r="K12" s="218"/>
      <c r="L12" s="180"/>
      <c r="M12" s="180"/>
      <c r="N12" s="199"/>
      <c r="O12" s="198"/>
      <c r="P12" s="180"/>
      <c r="Q12" s="180"/>
      <c r="R12" s="197"/>
      <c r="S12" s="198"/>
      <c r="T12" s="180"/>
      <c r="U12" s="180"/>
      <c r="V12" s="197"/>
      <c r="W12" s="198"/>
      <c r="X12" s="180"/>
      <c r="Y12" s="180"/>
      <c r="Z12" s="197"/>
    </row>
    <row r="13" spans="1:26" ht="10.5" customHeight="1">
      <c r="B13" s="63" t="s">
        <v>84</v>
      </c>
      <c r="C13" s="56"/>
      <c r="D13" s="189"/>
      <c r="E13" s="189"/>
      <c r="F13" s="190"/>
      <c r="G13" s="188"/>
      <c r="H13" s="189"/>
      <c r="I13" s="189"/>
      <c r="J13" s="190"/>
      <c r="K13" s="200"/>
      <c r="L13" s="259"/>
      <c r="M13" s="260"/>
      <c r="N13" s="261"/>
      <c r="O13" s="212"/>
      <c r="P13" s="211"/>
      <c r="Q13" s="211"/>
      <c r="R13" s="219"/>
      <c r="S13" s="212"/>
      <c r="T13" s="164"/>
      <c r="U13" s="164"/>
      <c r="V13" s="182"/>
      <c r="W13" s="177"/>
      <c r="X13" s="164"/>
      <c r="Y13" s="164"/>
      <c r="Z13" s="182"/>
    </row>
    <row r="14" spans="1:26">
      <c r="B14" s="57" t="s">
        <v>85</v>
      </c>
      <c r="C14" s="58"/>
      <c r="D14" s="184"/>
      <c r="E14" s="184"/>
      <c r="F14" s="163"/>
      <c r="G14" s="183"/>
      <c r="H14" s="184"/>
      <c r="I14" s="184"/>
      <c r="J14" s="163"/>
      <c r="K14" s="183"/>
      <c r="L14" s="262"/>
      <c r="M14" s="263"/>
      <c r="N14" s="264"/>
      <c r="O14" s="220"/>
      <c r="P14" s="221"/>
      <c r="Q14" s="191"/>
      <c r="R14" s="193"/>
      <c r="S14" s="192"/>
      <c r="T14" s="191"/>
      <c r="U14" s="191"/>
      <c r="V14" s="193"/>
      <c r="W14" s="192"/>
      <c r="X14" s="191"/>
      <c r="Y14" s="191"/>
      <c r="Z14" s="193"/>
    </row>
    <row r="15" spans="1:26">
      <c r="B15" s="55" t="s">
        <v>86</v>
      </c>
      <c r="C15" s="56"/>
      <c r="D15" s="189"/>
      <c r="E15" s="189"/>
      <c r="F15" s="190"/>
      <c r="G15" s="188"/>
      <c r="H15" s="189"/>
      <c r="I15" s="189"/>
      <c r="J15" s="190"/>
      <c r="K15" s="188"/>
      <c r="L15" s="189"/>
      <c r="M15" s="189"/>
      <c r="N15" s="203"/>
      <c r="O15" s="192"/>
      <c r="P15" s="191"/>
      <c r="Q15" s="191"/>
      <c r="R15" s="193"/>
      <c r="S15" s="192"/>
      <c r="T15" s="191"/>
      <c r="U15" s="191"/>
      <c r="V15" s="193"/>
      <c r="W15" s="192"/>
      <c r="X15" s="191"/>
      <c r="Y15" s="191"/>
      <c r="Z15" s="193"/>
    </row>
    <row r="16" spans="1:26">
      <c r="B16" s="57" t="s">
        <v>87</v>
      </c>
      <c r="C16" s="58"/>
      <c r="D16" s="184"/>
      <c r="E16" s="184"/>
      <c r="F16" s="163"/>
      <c r="G16" s="183"/>
      <c r="H16" s="184"/>
      <c r="I16" s="184"/>
      <c r="J16" s="163"/>
      <c r="K16" s="183"/>
      <c r="L16" s="184"/>
      <c r="M16" s="184"/>
      <c r="N16" s="204"/>
      <c r="O16" s="205"/>
      <c r="P16" s="222"/>
      <c r="Q16" s="222"/>
      <c r="R16" s="207"/>
      <c r="S16" s="205"/>
      <c r="T16" s="184"/>
      <c r="U16" s="184"/>
      <c r="V16" s="163"/>
      <c r="W16" s="183"/>
      <c r="X16" s="184"/>
      <c r="Y16" s="184"/>
      <c r="Z16" s="163"/>
    </row>
    <row r="17" spans="2:26" ht="11.25" thickBot="1">
      <c r="B17" s="59" t="s">
        <v>88</v>
      </c>
      <c r="C17" s="60"/>
      <c r="D17" s="162"/>
      <c r="E17" s="162"/>
      <c r="F17" s="187"/>
      <c r="G17" s="161"/>
      <c r="H17" s="162"/>
      <c r="I17" s="162"/>
      <c r="J17" s="187"/>
      <c r="K17" s="194"/>
      <c r="L17" s="195"/>
      <c r="M17" s="195"/>
      <c r="N17" s="208"/>
      <c r="O17" s="205"/>
      <c r="P17" s="206"/>
      <c r="Q17" s="222"/>
      <c r="R17" s="223"/>
      <c r="S17" s="224"/>
      <c r="T17" s="162"/>
      <c r="U17" s="162"/>
      <c r="V17" s="187"/>
      <c r="W17" s="194"/>
      <c r="X17" s="195"/>
      <c r="Y17" s="195"/>
      <c r="Z17" s="196"/>
    </row>
    <row r="18" spans="2:26" ht="11.25" customHeight="1">
      <c r="B18" s="72" t="s">
        <v>65</v>
      </c>
      <c r="C18" s="73"/>
      <c r="D18" s="201"/>
      <c r="E18" s="201"/>
      <c r="F18" s="209"/>
      <c r="G18" s="200"/>
      <c r="H18" s="201"/>
      <c r="I18" s="201"/>
      <c r="J18" s="209"/>
      <c r="K18" s="200"/>
      <c r="L18" s="201"/>
      <c r="M18" s="201"/>
      <c r="N18" s="209"/>
      <c r="O18" s="200"/>
      <c r="P18" s="201"/>
      <c r="Q18" s="201"/>
      <c r="R18" s="209"/>
      <c r="S18" s="200"/>
      <c r="T18" s="259"/>
      <c r="U18" s="260"/>
      <c r="V18" s="261"/>
      <c r="W18" s="226"/>
      <c r="X18" s="202"/>
      <c r="Y18" s="202"/>
      <c r="Z18" s="225"/>
    </row>
    <row r="19" spans="2:26">
      <c r="B19" s="57" t="s">
        <v>89</v>
      </c>
      <c r="C19" s="58"/>
      <c r="D19" s="184"/>
      <c r="E19" s="184"/>
      <c r="F19" s="163"/>
      <c r="G19" s="183"/>
      <c r="H19" s="184"/>
      <c r="I19" s="184"/>
      <c r="J19" s="163"/>
      <c r="K19" s="183"/>
      <c r="L19" s="184"/>
      <c r="M19" s="184"/>
      <c r="N19" s="163"/>
      <c r="O19" s="183"/>
      <c r="P19" s="184"/>
      <c r="Q19" s="184"/>
      <c r="R19" s="163"/>
      <c r="S19" s="183"/>
      <c r="T19" s="252"/>
      <c r="U19" s="253"/>
      <c r="V19" s="163"/>
      <c r="W19" s="183"/>
      <c r="X19" s="184"/>
      <c r="Y19" s="184"/>
      <c r="Z19" s="163"/>
    </row>
    <row r="20" spans="2:26" ht="11.25" thickBot="1">
      <c r="B20" s="64" t="s">
        <v>90</v>
      </c>
      <c r="C20" s="65"/>
      <c r="D20" s="195"/>
      <c r="E20" s="195"/>
      <c r="F20" s="196"/>
      <c r="G20" s="194"/>
      <c r="H20" s="195"/>
      <c r="I20" s="195"/>
      <c r="J20" s="196"/>
      <c r="K20" s="194"/>
      <c r="L20" s="195"/>
      <c r="M20" s="195"/>
      <c r="N20" s="196"/>
      <c r="O20" s="194"/>
      <c r="P20" s="195"/>
      <c r="Q20" s="195"/>
      <c r="R20" s="196"/>
      <c r="S20" s="194"/>
      <c r="T20" s="195"/>
      <c r="U20" s="195"/>
      <c r="V20" s="227"/>
      <c r="W20" s="228"/>
      <c r="X20" s="195"/>
      <c r="Y20" s="195"/>
      <c r="Z20" s="196"/>
    </row>
    <row r="21" spans="2:26" ht="11.25" thickBot="1">
      <c r="B21" s="66" t="s">
        <v>91</v>
      </c>
      <c r="C21" s="65"/>
      <c r="D21" s="195"/>
      <c r="E21" s="195"/>
      <c r="F21" s="196"/>
      <c r="G21" s="194"/>
      <c r="H21" s="195"/>
      <c r="I21" s="195"/>
      <c r="J21" s="196"/>
      <c r="K21" s="194"/>
      <c r="L21" s="195"/>
      <c r="M21" s="195"/>
      <c r="N21" s="196"/>
      <c r="O21" s="194"/>
      <c r="P21" s="195"/>
      <c r="Q21" s="195"/>
      <c r="R21" s="196"/>
      <c r="S21" s="194"/>
      <c r="T21" s="195"/>
      <c r="U21" s="195"/>
      <c r="V21" s="196"/>
      <c r="W21" s="229"/>
      <c r="X21" s="195"/>
      <c r="Y21" s="195"/>
      <c r="Z21" s="196"/>
    </row>
    <row r="23" spans="2:26">
      <c r="K23" s="35">
        <v>70</v>
      </c>
      <c r="W23" s="35">
        <v>160</v>
      </c>
    </row>
    <row r="24" spans="2:26">
      <c r="K24" s="230">
        <v>0.5</v>
      </c>
      <c r="W24" s="67">
        <v>0.5</v>
      </c>
    </row>
    <row r="25" spans="2:26">
      <c r="K25" s="35" t="s">
        <v>92</v>
      </c>
      <c r="W25" s="35" t="s">
        <v>142</v>
      </c>
    </row>
  </sheetData>
  <mergeCells count="20">
    <mergeCell ref="W1:Z1"/>
    <mergeCell ref="S3:V3"/>
    <mergeCell ref="W3:Z3"/>
    <mergeCell ref="B3:B4"/>
    <mergeCell ref="C3:F3"/>
    <mergeCell ref="G3:J3"/>
    <mergeCell ref="K3:N3"/>
    <mergeCell ref="O3:R3"/>
    <mergeCell ref="C1:F1"/>
    <mergeCell ref="G1:J1"/>
    <mergeCell ref="K1:N1"/>
    <mergeCell ref="O1:R1"/>
    <mergeCell ref="S1:V1"/>
    <mergeCell ref="T19:U19"/>
    <mergeCell ref="H9:J9"/>
    <mergeCell ref="H10:J10"/>
    <mergeCell ref="D7:F7"/>
    <mergeCell ref="L13:N13"/>
    <mergeCell ref="T18:V18"/>
    <mergeCell ref="L14:N14"/>
  </mergeCells>
  <phoneticPr fontId="18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E30"/>
  <sheetViews>
    <sheetView zoomScale="115" zoomScaleNormal="115" workbookViewId="0">
      <selection activeCell="B27" sqref="B27"/>
    </sheetView>
  </sheetViews>
  <sheetFormatPr defaultColWidth="9" defaultRowHeight="10.5"/>
  <cols>
    <col min="1" max="1" width="9" style="35"/>
    <col min="2" max="2" width="90.75" style="35" customWidth="1"/>
    <col min="3" max="3" width="9" style="35"/>
    <col min="4" max="4" width="16.75" style="35" customWidth="1"/>
    <col min="5" max="5" width="19" style="35" customWidth="1"/>
    <col min="6" max="16384" width="9" style="35"/>
  </cols>
  <sheetData>
    <row r="1" spans="1:5" ht="21.75">
      <c r="A1" s="90" t="s">
        <v>121</v>
      </c>
    </row>
    <row r="2" spans="1:5" ht="21">
      <c r="A2" s="79" t="s">
        <v>93</v>
      </c>
      <c r="B2" s="79" t="s">
        <v>94</v>
      </c>
      <c r="C2" s="79" t="s">
        <v>100</v>
      </c>
    </row>
    <row r="3" spans="1:5" ht="21.75">
      <c r="A3" s="121">
        <v>1</v>
      </c>
      <c r="B3" s="122" t="s">
        <v>143</v>
      </c>
      <c r="C3" s="125" t="s">
        <v>101</v>
      </c>
      <c r="D3" s="80" t="s">
        <v>14</v>
      </c>
    </row>
    <row r="4" spans="1:5" ht="21.75">
      <c r="A4" s="121">
        <v>2</v>
      </c>
      <c r="B4" s="122" t="s">
        <v>144</v>
      </c>
      <c r="C4" s="125" t="s">
        <v>101</v>
      </c>
      <c r="D4" s="80" t="s">
        <v>14</v>
      </c>
    </row>
    <row r="5" spans="1:5" ht="21.75">
      <c r="A5" s="121">
        <v>3</v>
      </c>
      <c r="B5" s="122" t="s">
        <v>145</v>
      </c>
      <c r="C5" s="125" t="s">
        <v>101</v>
      </c>
      <c r="D5" s="80" t="s">
        <v>14</v>
      </c>
    </row>
    <row r="6" spans="1:5" ht="21.75">
      <c r="A6" s="121">
        <v>4</v>
      </c>
      <c r="B6" s="122" t="s">
        <v>146</v>
      </c>
      <c r="C6" s="125" t="s">
        <v>101</v>
      </c>
      <c r="D6" s="80" t="s">
        <v>14</v>
      </c>
    </row>
    <row r="7" spans="1:5" ht="21.75">
      <c r="A7" s="121">
        <v>5</v>
      </c>
      <c r="B7" s="122" t="s">
        <v>147</v>
      </c>
      <c r="C7" s="125" t="s">
        <v>101</v>
      </c>
      <c r="D7" s="80" t="s">
        <v>14</v>
      </c>
    </row>
    <row r="8" spans="1:5" ht="21.75">
      <c r="A8" s="121">
        <v>6</v>
      </c>
      <c r="B8" s="122" t="s">
        <v>148</v>
      </c>
      <c r="C8" s="125" t="s">
        <v>101</v>
      </c>
      <c r="D8" s="80" t="s">
        <v>14</v>
      </c>
    </row>
    <row r="9" spans="1:5" ht="21.75">
      <c r="A9" s="121">
        <v>7</v>
      </c>
      <c r="B9" s="122" t="s">
        <v>149</v>
      </c>
      <c r="C9" s="125" t="s">
        <v>101</v>
      </c>
      <c r="D9" s="80" t="s">
        <v>14</v>
      </c>
    </row>
    <row r="10" spans="1:5" ht="22.5" customHeight="1">
      <c r="A10" s="121">
        <v>8</v>
      </c>
      <c r="B10" s="122" t="s">
        <v>150</v>
      </c>
      <c r="C10" s="125" t="s">
        <v>101</v>
      </c>
      <c r="D10" s="80" t="s">
        <v>14</v>
      </c>
      <c r="E10" s="124"/>
    </row>
    <row r="11" spans="1:5" ht="21" customHeight="1">
      <c r="A11" s="121">
        <v>9</v>
      </c>
      <c r="B11" s="122" t="s">
        <v>151</v>
      </c>
      <c r="C11" s="125" t="s">
        <v>101</v>
      </c>
      <c r="D11" s="80" t="s">
        <v>14</v>
      </c>
    </row>
    <row r="12" spans="1:5" ht="21.75">
      <c r="A12" s="121">
        <v>10</v>
      </c>
      <c r="B12" s="122" t="s">
        <v>152</v>
      </c>
      <c r="C12" s="125" t="s">
        <v>101</v>
      </c>
      <c r="D12" s="80" t="s">
        <v>14</v>
      </c>
    </row>
    <row r="17" spans="1:2">
      <c r="A17" s="156" t="s">
        <v>122</v>
      </c>
      <c r="B17" s="157"/>
    </row>
    <row r="18" spans="1:2">
      <c r="A18" s="158"/>
      <c r="B18" s="159"/>
    </row>
    <row r="19" spans="1:2">
      <c r="A19" s="160">
        <v>1</v>
      </c>
      <c r="B19" s="159" t="s">
        <v>125</v>
      </c>
    </row>
    <row r="20" spans="1:2">
      <c r="A20" s="160">
        <v>2</v>
      </c>
      <c r="B20" s="159" t="s">
        <v>126</v>
      </c>
    </row>
    <row r="21" spans="1:2">
      <c r="A21" s="160">
        <v>3</v>
      </c>
      <c r="B21" s="159" t="s">
        <v>127</v>
      </c>
    </row>
    <row r="22" spans="1:2">
      <c r="A22" s="160">
        <v>4</v>
      </c>
      <c r="B22" s="159" t="s">
        <v>128</v>
      </c>
    </row>
    <row r="23" spans="1:2">
      <c r="A23" s="160">
        <v>5</v>
      </c>
      <c r="B23" s="159" t="s">
        <v>129</v>
      </c>
    </row>
    <row r="24" spans="1:2">
      <c r="A24" s="160">
        <v>6</v>
      </c>
      <c r="B24" s="159" t="s">
        <v>130</v>
      </c>
    </row>
    <row r="25" spans="1:2">
      <c r="A25" s="160">
        <v>7</v>
      </c>
      <c r="B25" s="159" t="s">
        <v>131</v>
      </c>
    </row>
    <row r="26" spans="1:2">
      <c r="A26" s="160">
        <v>8</v>
      </c>
      <c r="B26" s="159" t="s">
        <v>132</v>
      </c>
    </row>
    <row r="27" spans="1:2">
      <c r="A27" s="160">
        <v>9</v>
      </c>
      <c r="B27" s="159" t="s">
        <v>133</v>
      </c>
    </row>
    <row r="28" spans="1:2">
      <c r="A28" s="160">
        <v>10</v>
      </c>
      <c r="B28" s="159" t="s">
        <v>134</v>
      </c>
    </row>
    <row r="29" spans="1:2">
      <c r="A29" s="160">
        <v>11</v>
      </c>
      <c r="B29" s="159" t="s">
        <v>123</v>
      </c>
    </row>
    <row r="30" spans="1:2">
      <c r="A30" s="160">
        <v>12</v>
      </c>
      <c r="B30" s="159" t="s">
        <v>124</v>
      </c>
    </row>
  </sheetData>
  <phoneticPr fontId="1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53330AF424484386F0A03DE1C50FEE" ma:contentTypeVersion="3" ma:contentTypeDescription="Create a new document." ma:contentTypeScope="" ma:versionID="722d95d4363024040424463134520e7a">
  <xsd:schema xmlns:xsd="http://www.w3.org/2001/XMLSchema" xmlns:xs="http://www.w3.org/2001/XMLSchema" xmlns:p="http://schemas.microsoft.com/office/2006/metadata/properties" xmlns:ns2="0d60e298-e065-4f1a-805f-2baba955768a" targetNamespace="http://schemas.microsoft.com/office/2006/metadata/properties" ma:root="true" ma:fieldsID="eee0e4e90eab3d4101eac401d0ef5437" ns2:_="">
    <xsd:import namespace="0d60e298-e065-4f1a-805f-2baba9557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0e298-e065-4f1a-805f-2baba9557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C06EEB-DF34-43A7-B3F3-61F711DE0708}">
  <ds:schemaRefs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http://schemas.microsoft.com/sharepoint/v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E2676F6-D7FC-4FA6-A57C-77975F5BDC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3151A0-6B24-4C20-9AD3-5E4721C8B8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Total</vt:lpstr>
      <vt:lpstr>Digital_Manday</vt:lpstr>
      <vt:lpstr>Vendor Cost</vt:lpstr>
      <vt:lpstr>Project Timeline</vt:lpstr>
      <vt:lpstr>Scope of Work</vt:lpstr>
      <vt:lpstr>'Vendor Cost'!_Toc184826375</vt:lpstr>
      <vt:lpstr>'Vendor Cost'!_Toc184826376</vt:lpstr>
      <vt:lpstr>'Vendor Cost'!_Toc184826377</vt:lpstr>
    </vt:vector>
  </TitlesOfParts>
  <Manager/>
  <Company>PTTICT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Wannika Jipibhop</dc:creator>
  <cp:keywords/>
  <dc:description/>
  <cp:lastModifiedBy>Nantaporn Panglikhit</cp:lastModifiedBy>
  <cp:revision/>
  <dcterms:created xsi:type="dcterms:W3CDTF">2014-03-05T16:20:38Z</dcterms:created>
  <dcterms:modified xsi:type="dcterms:W3CDTF">2026-07-06T10:53:14Z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0x010100DB53330AF424484386F0A03DE1C50FEE</vt:lpwstr>
  </property>
</Properties>
</file>