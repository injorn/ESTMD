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Wannaporn\PTT_Digital\Project _PTTEP-iCMS\Enhancement\ENH 2026\Proposal\"/>
    </mc:Choice>
  </mc:AlternateContent>
  <xr:revisionPtr revIDLastSave="0" documentId="13_ncr:1_{76DC2EDA-1036-47AA-9753-B77D4E2B0183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Resource" sheetId="23" r:id="rId1"/>
    <sheet name="Total" sheetId="7" r:id="rId2"/>
    <sheet name="DGT_Manday" sheetId="8" r:id="rId3"/>
    <sheet name="Timeline" sheetId="22" r:id="rId4"/>
    <sheet name="Timeline 2 POT" sheetId="24" r:id="rId5"/>
  </sheets>
  <externalReferences>
    <externalReference r:id="rId6"/>
  </externalReferences>
  <definedNames>
    <definedName name="_xlnm._FilterDatabase" localSheetId="2" hidden="1">DGT_Manday!$A$4:$G$39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localSheetId="3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localSheetId="4" hidden="1">REPT(LOCAL_YEAR_FORMAT,4)&amp;LOCAL_DATE_SEPARATOR&amp;REPT(LOCAL_MONTH_FORMAT,2)&amp;LOCAL_DATE_SEPARATOR&amp;REPT(LOCAL_DAY_FORMAT,2)&amp;" "&amp;REPT(LOCAL_HOUR_FORMAT,2)&amp;LOCAL_TIME_SEPARATOR&amp;REPT(LOCAL_MINUTE_FORMAT,2)&amp;LOCAL_TIME_SEPARATOR&amp;REPT([0]!LOCAL_SECOND_FORMAT,2)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SECOND_FORMAT" hidden="1">" "</definedName>
    <definedName name="LstLevel">'[1]999_MSRP'!$A$3:$A$10</definedName>
    <definedName name="LstStaffs">'[1]999_Loaded Rate 2016-Q1'!$F$2:$F$468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2" i="23" l="1"/>
  <c r="L49" i="8"/>
  <c r="E45" i="8"/>
  <c r="D45" i="8"/>
  <c r="A1" i="24"/>
  <c r="A2" i="8"/>
  <c r="A2" i="24" s="1"/>
  <c r="F12" i="23"/>
  <c r="C29" i="7" l="1"/>
  <c r="D27" i="7"/>
  <c r="D26" i="7"/>
  <c r="D29" i="7" s="1"/>
  <c r="E48" i="8"/>
  <c r="F48" i="8"/>
  <c r="G48" i="8"/>
  <c r="H48" i="8"/>
  <c r="H44" i="8"/>
  <c r="F45" i="8"/>
  <c r="G45" i="8"/>
  <c r="H45" i="8"/>
  <c r="H40" i="8" l="1"/>
  <c r="H49" i="8" s="1"/>
  <c r="I6" i="23" l="1"/>
  <c r="I5" i="23"/>
  <c r="I4" i="23"/>
  <c r="I7" i="23" l="1"/>
  <c r="I45" i="8"/>
  <c r="C4" i="7" s="1"/>
  <c r="F44" i="8"/>
  <c r="G44" i="8"/>
  <c r="D44" i="8"/>
  <c r="E44" i="8"/>
  <c r="E40" i="8"/>
  <c r="E49" i="8" s="1"/>
  <c r="I44" i="8" l="1"/>
  <c r="A1" i="22"/>
  <c r="D40" i="8"/>
  <c r="C3" i="7" l="1"/>
  <c r="I46" i="8"/>
  <c r="C5" i="7"/>
  <c r="D48" i="8"/>
  <c r="G40" i="8"/>
  <c r="G49" i="8" s="1"/>
  <c r="F40" i="8"/>
  <c r="F49" i="8" l="1"/>
  <c r="I40" i="8"/>
  <c r="D49" i="8"/>
  <c r="I49" i="8" l="1"/>
  <c r="I50" i="8" s="1"/>
  <c r="A1" i="8"/>
  <c r="A2" i="22"/>
  <c r="H30" i="7" l="1"/>
  <c r="H31" i="7" s="1"/>
  <c r="C7" i="7"/>
  <c r="H32" i="7" l="1"/>
  <c r="H33" i="7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E507C41A-E1E6-4280-A77C-37D5607CEF81}">
      <text>
        <r>
          <rPr>
            <b/>
            <sz val="9"/>
            <color indexed="81"/>
            <rFont val="Tahoma"/>
            <family val="2"/>
          </rPr>
          <t>Pimsupak Tammalakkhana:</t>
        </r>
        <r>
          <rPr>
            <sz val="9"/>
            <color indexed="81"/>
            <rFont val="Tahoma"/>
            <family val="2"/>
          </rPr>
          <t xml:space="preserve">
ให้ใส่ Cost 
หาก PM ไม่ทราบให้ว่างไว้
</t>
        </r>
      </text>
    </comment>
    <comment ref="B17" authorId="0" shapeId="0" xr:uid="{137E1C1F-8510-4030-BDC6-BEBA0A3A8C30}">
      <text>
        <r>
          <rPr>
            <b/>
            <sz val="9"/>
            <color indexed="81"/>
            <rFont val="Tahoma"/>
            <family val="2"/>
          </rPr>
          <t>Pimsupak Tammalakkhana:</t>
        </r>
        <r>
          <rPr>
            <sz val="9"/>
            <color indexed="81"/>
            <rFont val="Tahoma"/>
            <family val="2"/>
          </rPr>
          <t xml:space="preserve">
ระบุค่าเดินทาง 
หาก Project ไหนต้องย่อยรายละเอียดการเดินทางแยก Sheet Declare มาอีกอัน</t>
        </r>
      </text>
    </comment>
  </commentList>
</comments>
</file>

<file path=xl/sharedStrings.xml><?xml version="1.0" encoding="utf-8"?>
<sst xmlns="http://schemas.openxmlformats.org/spreadsheetml/2006/main" count="327" uniqueCount="168">
  <si>
    <t>Digital Rev (BD Phase)</t>
  </si>
  <si>
    <t>Digital Rev (Development Phase)</t>
  </si>
  <si>
    <t>ค่าเบี้ยเลี้ยง/ค่าเดินทาง</t>
  </si>
  <si>
    <t>Vendor Cost + 10 %</t>
  </si>
  <si>
    <t>Total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</si>
  <si>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</si>
  <si>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</si>
  <si>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</si>
  <si>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</si>
  <si>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</si>
  <si>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</si>
  <si>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งวดการชำระเงิน PTT &gt;&gt; PTT Digital</t>
  </si>
  <si>
    <t>%</t>
  </si>
  <si>
    <t>จำนวนเงิน</t>
  </si>
  <si>
    <t>Cost Performance</t>
  </si>
  <si>
    <t>Digital Cost + Vendor</t>
  </si>
  <si>
    <t>Add Overhead</t>
  </si>
  <si>
    <t>งวดการชำระเงิน PTT Digital &gt;&gt; Vendor</t>
  </si>
  <si>
    <t>Margin</t>
  </si>
  <si>
    <t>% Margin</t>
  </si>
  <si>
    <t>Sr1</t>
  </si>
  <si>
    <t>Of1</t>
  </si>
  <si>
    <t>Phase</t>
  </si>
  <si>
    <t>Details</t>
  </si>
  <si>
    <t>Deliverables</t>
  </si>
  <si>
    <t>PM</t>
  </si>
  <si>
    <t>Business Development</t>
  </si>
  <si>
    <t>Proposal, TOR</t>
  </si>
  <si>
    <t>Kick-Off Meeting</t>
  </si>
  <si>
    <t>Create Project Plan, Other Plans and Integrate to Project Plan</t>
  </si>
  <si>
    <t>Requirement Development</t>
  </si>
  <si>
    <t>Software Development</t>
  </si>
  <si>
    <t>Final Preparation</t>
  </si>
  <si>
    <t>Prepare and setup Production Environment</t>
  </si>
  <si>
    <t>Project Closure</t>
  </si>
  <si>
    <t>Sign-Off GO Live</t>
  </si>
  <si>
    <t>Junior = 8,500 per day</t>
  </si>
  <si>
    <t xml:space="preserve"> </t>
  </si>
  <si>
    <t>Digital Rev</t>
  </si>
  <si>
    <t>Senior = 14,000 per day</t>
  </si>
  <si>
    <t>Rev/ Day</t>
  </si>
  <si>
    <t>Rev (BD Phase)</t>
  </si>
  <si>
    <t>Rev (Development Phase)</t>
  </si>
  <si>
    <t>Digital Cost</t>
  </si>
  <si>
    <t>Cost/ Day</t>
  </si>
  <si>
    <t>Cost (Development Phase)</t>
  </si>
  <si>
    <t>M1</t>
  </si>
  <si>
    <t>M3</t>
  </si>
  <si>
    <t>M4</t>
  </si>
  <si>
    <t>M5</t>
  </si>
  <si>
    <t>M6</t>
  </si>
  <si>
    <t>Name</t>
  </si>
  <si>
    <t>W1</t>
  </si>
  <si>
    <t>W2</t>
  </si>
  <si>
    <t>W3</t>
  </si>
  <si>
    <t>W4</t>
  </si>
  <si>
    <t>N/A</t>
  </si>
  <si>
    <t>Sign off Requirement &amp; Design Specification</t>
  </si>
  <si>
    <t>Prepare and setup Dev, SIT, UAT  Environment</t>
  </si>
  <si>
    <t xml:space="preserve">Gather Initial Requirements </t>
  </si>
  <si>
    <t>Project Management</t>
  </si>
  <si>
    <t>Confirm Requirement</t>
  </si>
  <si>
    <t>Sign-Off Requirement &amp; Design Specification</t>
  </si>
  <si>
    <t>Team Information</t>
  </si>
  <si>
    <t>Total Manday (Day)</t>
  </si>
  <si>
    <t>No.</t>
  </si>
  <si>
    <t>Type</t>
  </si>
  <si>
    <t>Role</t>
  </si>
  <si>
    <t>Level</t>
  </si>
  <si>
    <t>Planned (Day)</t>
  </si>
  <si>
    <t>Manday Rate (Baht)</t>
  </si>
  <si>
    <t>Senior Officer</t>
  </si>
  <si>
    <t>Outsource</t>
  </si>
  <si>
    <t>Officer</t>
  </si>
  <si>
    <t>Security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</si>
  <si>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</si>
  <si>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</si>
  <si>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</si>
  <si>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</si>
  <si>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</si>
  <si>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</si>
  <si>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</si>
  <si>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</si>
  <si>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DevOps Service</t>
  </si>
  <si>
    <t>หมายเหตุ   ถ้ามีประเภทค่าใช้จ่ายอื่นๆ เพิ่มเติมใน Project เพิ่ม Row ได้</t>
  </si>
  <si>
    <t>Wannaporn Jaemklam</t>
  </si>
  <si>
    <t>PM/BA/Tester</t>
  </si>
  <si>
    <t>Wannaporn
Jaemklam</t>
  </si>
  <si>
    <t>Developer</t>
  </si>
  <si>
    <t>Wissanu Tangtrongkijwong</t>
  </si>
  <si>
    <t>BA/Tester</t>
  </si>
  <si>
    <t>Niti
Wisatchanam</t>
  </si>
  <si>
    <t>Development</t>
  </si>
  <si>
    <t>Project Activity</t>
  </si>
  <si>
    <t>Project Preparation</t>
  </si>
  <si>
    <t xml:space="preserve">   - Kick Off Meeting</t>
  </si>
  <si>
    <t>Requirement + Design</t>
  </si>
  <si>
    <t xml:space="preserve">   - Development</t>
  </si>
  <si>
    <t>Testing</t>
  </si>
  <si>
    <t xml:space="preserve">   - User Acceptance Testing</t>
  </si>
  <si>
    <t>PM, BA, Tester, User</t>
  </si>
  <si>
    <t xml:space="preserve">   - Prepare Test Script</t>
  </si>
  <si>
    <t xml:space="preserve">   - Security Scan/ Source Code Review</t>
  </si>
  <si>
    <t xml:space="preserve">   - Production Installation &amp; Setting</t>
  </si>
  <si>
    <t>PM, Infra. Team</t>
  </si>
  <si>
    <t>PM, User</t>
  </si>
  <si>
    <t>Support After Go-live</t>
  </si>
  <si>
    <t xml:space="preserve">   - Support After Go-live</t>
  </si>
  <si>
    <t>PM, BA, Dev, User</t>
  </si>
  <si>
    <t>Dev</t>
  </si>
  <si>
    <t>BA, Tester</t>
  </si>
  <si>
    <t>BA, PM, Dev, User</t>
  </si>
  <si>
    <t>Review Requirment &amp; Design Spec</t>
  </si>
  <si>
    <t>Design</t>
  </si>
  <si>
    <t>Confirm Requirment &amp; Design Spec</t>
  </si>
  <si>
    <t>System Integration Test (SIT)</t>
  </si>
  <si>
    <t>User Acceptance Test (UAT)</t>
  </si>
  <si>
    <t>Perform Security Test</t>
  </si>
  <si>
    <t>Create Proposal</t>
  </si>
  <si>
    <t>Niti Wisatchanam</t>
  </si>
  <si>
    <t>งวดที่ 1 : Requirement &amp; Design</t>
  </si>
  <si>
    <t xml:space="preserve">   - Requirement &amp; Design Sign Off</t>
  </si>
  <si>
    <t xml:space="preserve">   - Go-Live / Go-Live Sign Off</t>
  </si>
  <si>
    <t>Development + Unit Test</t>
  </si>
  <si>
    <t>ENH-PTTEP-iCMS for Job Family Restructuring</t>
  </si>
  <si>
    <t xml:space="preserve">   - Prepare/Review Requirement &amp; Design</t>
  </si>
  <si>
    <t xml:space="preserve">   - Confirm Requirement &amp; Design</t>
  </si>
  <si>
    <t>System Preparation</t>
  </si>
  <si>
    <t>Bi-Weekly Update Progress (10*0.25)</t>
  </si>
  <si>
    <t>Create Test Scenario &amp; Test Script</t>
  </si>
  <si>
    <t>Get Requirement</t>
  </si>
  <si>
    <t>Go-Live Sign-Off</t>
  </si>
  <si>
    <t>Develop Deployment Plan &amp; QA Process</t>
  </si>
  <si>
    <t xml:space="preserve">M2 </t>
  </si>
  <si>
    <t>M7</t>
  </si>
  <si>
    <t xml:space="preserve">   - Update User Manual</t>
  </si>
  <si>
    <t xml:space="preserve">   - Integration Test and Unit Test</t>
  </si>
  <si>
    <t>ENH-PTTEP-iCMS 2026 Enhancement</t>
  </si>
  <si>
    <t>M1 (Mar)</t>
  </si>
  <si>
    <t>M2 (Apr)</t>
  </si>
  <si>
    <t>M3 (May)</t>
  </si>
  <si>
    <t>M4 (Jun)</t>
  </si>
  <si>
    <t>M5 (Jul)</t>
  </si>
  <si>
    <t>M6 (Aug)</t>
  </si>
  <si>
    <t>M7 (Sep)</t>
  </si>
  <si>
    <t>M8 (Oct)</t>
  </si>
  <si>
    <t>M9 (Nov)</t>
  </si>
  <si>
    <t>โครงการ ENH-PTTEP-iCMS 2026 Enhancement</t>
  </si>
  <si>
    <t>ระยะเวลาโครงการ 172 วัน</t>
  </si>
  <si>
    <t>งวดที่ 2 : Golive</t>
  </si>
  <si>
    <t>PPS_002 ดำเนินการปรับปรุงการจัดเก็บข้อมูล Model สำหรับ Common Competency</t>
  </si>
  <si>
    <t>PPS_003 ดำเนินการปรับปรุงการกำหนดค่า Mandatory และ Target Score สำหรับ Common Competency</t>
  </si>
  <si>
    <t>PPS_004 ดำเนินการปรับปรุงระบบให้รองรับการ Mapping ข้อมูล Evidence ของ Soft Skill ไปยัง Common Competency</t>
  </si>
  <si>
    <t>PPS_005 ดำเนินการปรับปรุงการแสดงผลบนหน้าจอ, Report และ Dashboard ภายในระบบ เพื่อรองรับการประเมินด้วย Model Common Competency</t>
  </si>
  <si>
    <t>PPS_006 ดำเนินการปรับปรุงสิทธิ์สำหรับ Technical Reviewer โดยกำหนดให้ไม่สามารถดำเนินการประเมินเอกสารในส่วนของ Common Competency ของพนักงานได้</t>
  </si>
  <si>
    <t>PPS_007 ดำเนินการปรับปรุงสิทธิ์สำหรับ Technical Reviewer โดยกำหนดให้ไม่สามารถวางแผน ICDP ให้กับพนักงานได้ ทั้งในส่วนของ Common Competency และ Technical Competency</t>
  </si>
  <si>
    <t>PPS_008 ดำเนินการปรับปรุงคู่มือการใช้งาน ให้สอดคล้องกับรูปแบบการประเมินปัจจุบัน</t>
  </si>
  <si>
    <t>PPS_001 ดำเนินการปรับปรุงการแสดงผลข้อมูลในระบบ โดยเปลี่ยนการแสดงผลจาก Major เป็น Discipline-Based JCP และจาก Minor เป็น Job-Based JCP ในทุกส่วนที่มีการแสดงข้อมูล
-  16 Menu สำหรับพนักงาน
- 2 Menu สำหรับ Admin
- 13 Report
- 1 Dashboard</t>
  </si>
  <si>
    <t xml:space="preserve">      Menu ที่ต้องปรับปรุงมีดังนี้
   - Self Assessment – Staff (2.5,3)
   - Salf Assessment – Summary (0, 0.5)
   - ICDP – Staff (1,2)
   - Add Unplanned ICDP (1,0)
   - Self Assessment – Export Excel (0.5,2)
   - Salf Assessment - Export ICDP (0.5,2)
   - RP015 Technical &amp; Soft Skill Calibration Report (For Employee) (0.5,2)
   - RP008 Individual Proficiency Report (GG &amp; PE Only) (1,0.5)
   - Review Assessment &amp; Plan ICDP (0.5,1)
   - Review Assessment &amp; Plan ICDP – Multiple Review (1,5)
   - Track Your Team Progress ICDP (0.5,1)</t>
  </si>
  <si>
    <t xml:space="preserve">      Menu สำหรับ Admin ที่ต้องปรับปรุงมีดังนี้
   - Import JFM Calibration (1,0)
   - Import Panel Assessment (1,0)</t>
  </si>
  <si>
    <t xml:space="preserve">      Report สำหรับ Admin ที่ต้องปรับปรุงมีดังนี้
   - RP012 Promotion Candidate Shortlist Report (1,0.5)
   - RP012 Promotion Candidate Shortlist Report (New) (1,0.5)
   - RP015 Technical &amp; Soft Skill Calibration Report (For Admin) (0.5,3)
   - RP015 Technical &amp; Soft Skill Calibration Report (SA) (1,3)
   - RP016 Competency Inventory Report (1,0.5)
   - RP018 ICDP Report (1,1)</t>
  </si>
  <si>
    <t xml:space="preserve">      Dashboard ที่ต้องปรับปรุงมีดังนี้
   - Top 10 of Gap Ranking Competency (2,0.5)</t>
  </si>
  <si>
    <t>Sr. Developer</t>
  </si>
  <si>
    <t>Project Monitoring (23*0.125)</t>
  </si>
  <si>
    <t>Production Deployment (Go-Live)</t>
  </si>
  <si>
    <t>Support After Go-Live</t>
  </si>
  <si>
    <t>Thanadol Lerdsakcharoenkul</t>
  </si>
  <si>
    <t>IT Security Engineer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</si>
</sst>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฿&quot;* #,##0.00_-;\-&quot;฿&quot;* #,##0.00_-;_-&quot;฿&quot;* &quot;-&quot;??_-;_-@_-"/>
    <numFmt numFmtId="43" formatCode="_-* #,##0.00_-;\-* #,##0.00_-;_-* &quot;-&quot;??_-;_-@_-"/>
    <numFmt numFmtId="164" formatCode="&quot;฿&quot;#,##0.00"/>
    <numFmt numFmtId="165" formatCode="_-[$฿-41E]* #,##0.00_-;\-[$฿-41E]* #,##0.00_-;_-[$฿-41E]* &quot;-&quot;??_-;_-@_-"/>
    <numFmt numFmtId="166" formatCode="0.00%;[Red]\-0.00%"/>
    <numFmt numFmtId="167" formatCode="_(* #,##0.00_);_(* \(#,##0.00\);_(* &quot;-&quot;??_);_(@_)"/>
    <numFmt numFmtId="168" formatCode="_(* #,##0_);_(* \(#,##0\);_(* &quot;-&quot;??_);_(@_)"/>
    <numFmt numFmtId="169" formatCode="_(* #,##0.0_);_(* \(#,##0.0\);_(* &quot;-&quot;??_);_(@_)"/>
    <numFmt numFmtId="170" formatCode="_(* #,##0.0_);_(* \(#,##0.0\);_(* &quot;-&quot;?_);_(@_)"/>
    <numFmt numFmtId="171" formatCode="B1mmm\-yy"/>
  </numFmts>
  <fonts count="43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0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sz val="8"/>
      <name val="Calibri"/>
      <family val="2"/>
      <charset val="222"/>
      <scheme val="minor"/>
    </font>
    <font>
      <sz val="11"/>
      <color theme="1"/>
      <name val="Calibri"/>
      <family val="2"/>
    </font>
    <font>
      <b/>
      <sz val="14"/>
      <color theme="1"/>
      <name val="Calibri Light"/>
      <family val="2"/>
      <scheme val="major"/>
    </font>
    <font>
      <b/>
      <sz val="14"/>
      <color rgb="FFFF0000"/>
      <name val="Calibri Light"/>
      <family val="2"/>
      <scheme val="major"/>
    </font>
    <font>
      <sz val="10"/>
      <color rgb="FFFF0000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8"/>
      <color rgb="FF000000"/>
      <name val="Browallia New"/>
      <family val="2"/>
    </font>
    <font>
      <sz val="10"/>
      <color rgb="FF000000"/>
      <name val="Arial"/>
      <family val="2"/>
    </font>
    <font>
      <b/>
      <sz val="9"/>
      <color theme="0"/>
      <name val="Tahoma"/>
      <family val="2"/>
    </font>
    <font>
      <sz val="10"/>
      <color rgb="FFFF0000"/>
      <name val="Calibri"/>
      <family val="2"/>
      <charset val="222"/>
      <scheme val="minor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b/>
      <sz val="14"/>
      <color rgb="FF00B050"/>
      <name val="Arial"/>
      <family val="2"/>
    </font>
    <font>
      <b/>
      <sz val="10"/>
      <color rgb="FF00B050"/>
      <name val="Arial"/>
      <family val="2"/>
    </font>
    <font>
      <b/>
      <sz val="14"/>
      <color theme="9" tint="0.39997558519241921"/>
      <name val="Arial"/>
      <family val="2"/>
    </font>
    <font>
      <b/>
      <sz val="14"/>
      <color theme="4" tint="0.39997558519241921"/>
      <name val="Arial"/>
      <family val="2"/>
    </font>
    <font>
      <b/>
      <sz val="10"/>
      <color theme="4" tint="0.3999755851924192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69D8FF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8FC7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rgb="FFDEBDFF"/>
        <bgColor indexed="64"/>
      </patternFill>
    </fill>
    <fill>
      <patternFill patternType="solid">
        <fgColor rgb="FF0070C0"/>
        <bgColor indexed="64"/>
      </patternFill>
    </fill>
  </fills>
  <borders count="8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1" fillId="0" borderId="0"/>
    <xf numFmtId="9" fontId="1" fillId="0" borderId="0" applyFont="0" applyFill="0" applyBorder="0" applyAlignment="0" applyProtection="0"/>
    <xf numFmtId="0" fontId="16" fillId="0" borderId="0"/>
    <xf numFmtId="0" fontId="11" fillId="0" borderId="0"/>
    <xf numFmtId="0" fontId="23" fillId="0" borderId="0"/>
    <xf numFmtId="167" fontId="11" fillId="0" borderId="0" applyFont="0" applyFill="0" applyBorder="0" applyAlignment="0" applyProtection="0"/>
  </cellStyleXfs>
  <cellXfs count="425">
    <xf numFmtId="0" fontId="0" fillId="0" borderId="0" xfId="0"/>
    <xf numFmtId="164" fontId="0" fillId="0" borderId="0" xfId="0" applyNumberFormat="1"/>
    <xf numFmtId="164" fontId="7" fillId="7" borderId="15" xfId="0" applyNumberFormat="1" applyFont="1" applyFill="1" applyBorder="1"/>
    <xf numFmtId="164" fontId="7" fillId="7" borderId="5" xfId="0" applyNumberFormat="1" applyFont="1" applyFill="1" applyBorder="1"/>
    <xf numFmtId="164" fontId="8" fillId="7" borderId="7" xfId="0" applyNumberFormat="1" applyFont="1" applyFill="1" applyBorder="1"/>
    <xf numFmtId="164" fontId="9" fillId="7" borderId="17" xfId="0" applyNumberFormat="1" applyFont="1" applyFill="1" applyBorder="1"/>
    <xf numFmtId="164" fontId="3" fillId="3" borderId="18" xfId="0" applyNumberFormat="1" applyFont="1" applyFill="1" applyBorder="1"/>
    <xf numFmtId="164" fontId="10" fillId="9" borderId="20" xfId="0" applyNumberFormat="1" applyFont="1" applyFill="1" applyBorder="1" applyAlignment="1">
      <alignment horizontal="left" indent="1"/>
    </xf>
    <xf numFmtId="164" fontId="4" fillId="9" borderId="16" xfId="0" applyNumberFormat="1" applyFont="1" applyFill="1" applyBorder="1" applyAlignment="1">
      <alignment horizontal="right" vertical="center"/>
    </xf>
    <xf numFmtId="164" fontId="10" fillId="9" borderId="22" xfId="0" applyNumberFormat="1" applyFont="1" applyFill="1" applyBorder="1" applyAlignment="1">
      <alignment horizontal="left" indent="1"/>
    </xf>
    <xf numFmtId="164" fontId="4" fillId="9" borderId="23" xfId="0" applyNumberFormat="1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 indent="3"/>
    </xf>
    <xf numFmtId="164" fontId="5" fillId="0" borderId="21" xfId="0" applyNumberFormat="1" applyFont="1" applyBorder="1"/>
    <xf numFmtId="0" fontId="14" fillId="0" borderId="22" xfId="0" applyFont="1" applyBorder="1" applyAlignment="1">
      <alignment horizontal="left" vertical="center" indent="3"/>
    </xf>
    <xf numFmtId="9" fontId="5" fillId="0" borderId="23" xfId="0" applyNumberFormat="1" applyFont="1" applyBorder="1"/>
    <xf numFmtId="164" fontId="5" fillId="0" borderId="28" xfId="0" applyNumberFormat="1" applyFont="1" applyBorder="1"/>
    <xf numFmtId="0" fontId="3" fillId="12" borderId="25" xfId="0" applyFont="1" applyFill="1" applyBorder="1" applyAlignment="1">
      <alignment horizontal="center"/>
    </xf>
    <xf numFmtId="1" fontId="3" fillId="12" borderId="13" xfId="0" applyNumberFormat="1" applyFont="1" applyFill="1" applyBorder="1" applyAlignment="1">
      <alignment horizontal="center"/>
    </xf>
    <xf numFmtId="0" fontId="3" fillId="12" borderId="14" xfId="0" applyFont="1" applyFill="1" applyBorder="1" applyAlignment="1">
      <alignment horizontal="center"/>
    </xf>
    <xf numFmtId="164" fontId="3" fillId="0" borderId="24" xfId="0" applyNumberFormat="1" applyFont="1" applyBorder="1"/>
    <xf numFmtId="165" fontId="7" fillId="7" borderId="11" xfId="0" applyNumberFormat="1" applyFont="1" applyFill="1" applyBorder="1"/>
    <xf numFmtId="165" fontId="7" fillId="7" borderId="3" xfId="0" applyNumberFormat="1" applyFont="1" applyFill="1" applyBorder="1"/>
    <xf numFmtId="165" fontId="8" fillId="7" borderId="6" xfId="0" applyNumberFormat="1" applyFont="1" applyFill="1" applyBorder="1"/>
    <xf numFmtId="165" fontId="9" fillId="7" borderId="17" xfId="0" applyNumberFormat="1" applyFont="1" applyFill="1" applyBorder="1"/>
    <xf numFmtId="0" fontId="3" fillId="12" borderId="31" xfId="0" applyFont="1" applyFill="1" applyBorder="1" applyAlignment="1">
      <alignment horizontal="center"/>
    </xf>
    <xf numFmtId="0" fontId="0" fillId="0" borderId="16" xfId="0" applyBorder="1"/>
    <xf numFmtId="0" fontId="0" fillId="0" borderId="32" xfId="0" applyBorder="1"/>
    <xf numFmtId="164" fontId="12" fillId="7" borderId="7" xfId="0" applyNumberFormat="1" applyFont="1" applyFill="1" applyBorder="1"/>
    <xf numFmtId="166" fontId="12" fillId="7" borderId="6" xfId="4" applyNumberFormat="1" applyFont="1" applyFill="1" applyBorder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/>
    <xf numFmtId="0" fontId="19" fillId="0" borderId="0" xfId="0" applyFont="1"/>
    <xf numFmtId="164" fontId="2" fillId="3" borderId="19" xfId="0" applyNumberFormat="1" applyFont="1" applyFill="1" applyBorder="1" applyAlignment="1">
      <alignment horizontal="right" vertical="center"/>
    </xf>
    <xf numFmtId="164" fontId="2" fillId="3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20" fillId="8" borderId="11" xfId="0" applyFont="1" applyFill="1" applyBorder="1" applyAlignment="1">
      <alignment horizontal="center" vertical="center" wrapText="1"/>
    </xf>
    <xf numFmtId="0" fontId="2" fillId="0" borderId="1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5" borderId="12" xfId="0" applyFont="1" applyFill="1" applyBorder="1" applyAlignment="1">
      <alignment vertical="center" wrapText="1"/>
    </xf>
    <xf numFmtId="0" fontId="2" fillId="5" borderId="6" xfId="0" applyFont="1" applyFill="1" applyBorder="1" applyAlignment="1">
      <alignment vertical="center" wrapText="1"/>
    </xf>
    <xf numFmtId="0" fontId="20" fillId="4" borderId="10" xfId="0" applyFont="1" applyFill="1" applyBorder="1" applyAlignment="1">
      <alignment vertical="center" wrapText="1"/>
    </xf>
    <xf numFmtId="0" fontId="20" fillId="4" borderId="6" xfId="0" applyFont="1" applyFill="1" applyBorder="1" applyAlignment="1">
      <alignment vertical="center" wrapText="1"/>
    </xf>
    <xf numFmtId="0" fontId="20" fillId="4" borderId="6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right"/>
    </xf>
    <xf numFmtId="0" fontId="6" fillId="6" borderId="29" xfId="0" applyFont="1" applyFill="1" applyBorder="1" applyAlignment="1">
      <alignment horizontal="center"/>
    </xf>
    <xf numFmtId="0" fontId="3" fillId="0" borderId="9" xfId="0" applyFont="1" applyBorder="1"/>
    <xf numFmtId="164" fontId="21" fillId="11" borderId="30" xfId="0" applyNumberFormat="1" applyFont="1" applyFill="1" applyBorder="1" applyAlignment="1">
      <alignment horizontal="right" vertical="center"/>
    </xf>
    <xf numFmtId="164" fontId="21" fillId="11" borderId="1" xfId="0" applyNumberFormat="1" applyFont="1" applyFill="1" applyBorder="1" applyAlignment="1">
      <alignment horizontal="right" vertical="center"/>
    </xf>
    <xf numFmtId="164" fontId="21" fillId="11" borderId="29" xfId="0" applyNumberFormat="1" applyFont="1" applyFill="1" applyBorder="1"/>
    <xf numFmtId="0" fontId="2" fillId="0" borderId="0" xfId="0" applyFont="1" applyAlignment="1">
      <alignment horizontal="center" vertical="center"/>
    </xf>
    <xf numFmtId="165" fontId="0" fillId="0" borderId="0" xfId="0" applyNumberFormat="1"/>
    <xf numFmtId="0" fontId="5" fillId="0" borderId="26" xfId="0" applyFont="1" applyBorder="1"/>
    <xf numFmtId="9" fontId="5" fillId="0" borderId="27" xfId="4" applyFont="1" applyBorder="1"/>
    <xf numFmtId="9" fontId="5" fillId="0" borderId="16" xfId="4" applyFont="1" applyBorder="1"/>
    <xf numFmtId="9" fontId="5" fillId="0" borderId="33" xfId="4" applyFont="1" applyBorder="1"/>
    <xf numFmtId="0" fontId="22" fillId="2" borderId="0" xfId="7" applyFont="1" applyFill="1"/>
    <xf numFmtId="0" fontId="17" fillId="2" borderId="0" xfId="0" applyFont="1" applyFill="1" applyAlignment="1">
      <alignment horizontal="left"/>
    </xf>
    <xf numFmtId="0" fontId="0" fillId="2" borderId="0" xfId="0" applyFill="1"/>
    <xf numFmtId="0" fontId="5" fillId="2" borderId="0" xfId="0" applyFont="1" applyFill="1"/>
    <xf numFmtId="0" fontId="18" fillId="2" borderId="0" xfId="0" applyFont="1" applyFill="1" applyAlignment="1">
      <alignment horizontal="left"/>
    </xf>
    <xf numFmtId="0" fontId="4" fillId="5" borderId="12" xfId="0" applyFont="1" applyFill="1" applyBorder="1" applyAlignment="1">
      <alignment vertical="center" wrapText="1"/>
    </xf>
    <xf numFmtId="0" fontId="4" fillId="5" borderId="6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4" fillId="8" borderId="6" xfId="0" applyFont="1" applyFill="1" applyBorder="1" applyAlignment="1">
      <alignment horizontal="center" vertical="center" wrapText="1"/>
    </xf>
    <xf numFmtId="0" fontId="24" fillId="8" borderId="10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48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center" vertical="center" wrapText="1"/>
    </xf>
    <xf numFmtId="0" fontId="4" fillId="2" borderId="49" xfId="0" applyFont="1" applyFill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5" borderId="47" xfId="0" applyFont="1" applyFill="1" applyBorder="1" applyAlignment="1">
      <alignment horizontal="center" vertical="center" wrapText="1"/>
    </xf>
    <xf numFmtId="0" fontId="4" fillId="5" borderId="48" xfId="0" applyFont="1" applyFill="1" applyBorder="1" applyAlignment="1">
      <alignment horizontal="center" vertical="center" wrapText="1"/>
    </xf>
    <xf numFmtId="0" fontId="25" fillId="0" borderId="26" xfId="0" applyFont="1" applyBorder="1"/>
    <xf numFmtId="9" fontId="25" fillId="0" borderId="33" xfId="4" applyFont="1" applyBorder="1"/>
    <xf numFmtId="164" fontId="25" fillId="0" borderId="28" xfId="0" applyNumberFormat="1" applyFont="1" applyBorder="1"/>
    <xf numFmtId="168" fontId="26" fillId="10" borderId="0" xfId="8" applyNumberFormat="1" applyFont="1" applyFill="1" applyBorder="1" applyAlignment="1">
      <alignment horizontal="center" vertical="center"/>
    </xf>
    <xf numFmtId="0" fontId="27" fillId="0" borderId="0" xfId="6" applyFont="1"/>
    <xf numFmtId="0" fontId="26" fillId="14" borderId="22" xfId="6" applyFont="1" applyFill="1" applyBorder="1" applyAlignment="1">
      <alignment horizontal="center" vertical="center"/>
    </xf>
    <xf numFmtId="0" fontId="26" fillId="14" borderId="41" xfId="6" applyFont="1" applyFill="1" applyBorder="1" applyAlignment="1">
      <alignment horizontal="center" vertical="center"/>
    </xf>
    <xf numFmtId="0" fontId="26" fillId="14" borderId="23" xfId="6" applyFont="1" applyFill="1" applyBorder="1" applyAlignment="1">
      <alignment horizontal="center" vertical="center"/>
    </xf>
    <xf numFmtId="1" fontId="26" fillId="10" borderId="41" xfId="8" applyNumberFormat="1" applyFont="1" applyFill="1" applyBorder="1" applyAlignment="1">
      <alignment horizontal="center" vertical="center" wrapText="1"/>
    </xf>
    <xf numFmtId="4" fontId="26" fillId="10" borderId="33" xfId="8" applyNumberFormat="1" applyFont="1" applyFill="1" applyBorder="1" applyAlignment="1">
      <alignment horizontal="center" vertical="center" wrapText="1"/>
    </xf>
    <xf numFmtId="4" fontId="26" fillId="10" borderId="0" xfId="8" applyNumberFormat="1" applyFont="1" applyFill="1" applyBorder="1" applyAlignment="1">
      <alignment horizontal="center" vertical="center" wrapText="1"/>
    </xf>
    <xf numFmtId="0" fontId="27" fillId="0" borderId="52" xfId="6" applyFont="1" applyBorder="1" applyAlignment="1">
      <alignment horizontal="center"/>
    </xf>
    <xf numFmtId="0" fontId="27" fillId="0" borderId="53" xfId="6" applyFont="1" applyBorder="1" applyAlignment="1">
      <alignment horizontal="left"/>
    </xf>
    <xf numFmtId="0" fontId="27" fillId="0" borderId="54" xfId="6" applyFont="1" applyBorder="1" applyAlignment="1">
      <alignment horizontal="center"/>
    </xf>
    <xf numFmtId="0" fontId="27" fillId="0" borderId="55" xfId="6" applyFont="1" applyBorder="1" applyAlignment="1">
      <alignment horizontal="center"/>
    </xf>
    <xf numFmtId="4" fontId="27" fillId="0" borderId="56" xfId="8" applyNumberFormat="1" applyFont="1" applyBorder="1" applyAlignment="1">
      <alignment horizontal="right"/>
    </xf>
    <xf numFmtId="4" fontId="27" fillId="11" borderId="0" xfId="8" applyNumberFormat="1" applyFont="1" applyFill="1" applyBorder="1"/>
    <xf numFmtId="0" fontId="28" fillId="0" borderId="0" xfId="6" applyFont="1"/>
    <xf numFmtId="0" fontId="27" fillId="0" borderId="57" xfId="6" applyFont="1" applyBorder="1" applyAlignment="1">
      <alignment horizontal="left"/>
    </xf>
    <xf numFmtId="0" fontId="27" fillId="0" borderId="58" xfId="6" applyFont="1" applyBorder="1" applyAlignment="1">
      <alignment horizontal="center"/>
    </xf>
    <xf numFmtId="4" fontId="27" fillId="0" borderId="59" xfId="8" applyNumberFormat="1" applyFont="1" applyBorder="1"/>
    <xf numFmtId="4" fontId="27" fillId="0" borderId="0" xfId="8" applyNumberFormat="1" applyFont="1" applyBorder="1"/>
    <xf numFmtId="0" fontId="27" fillId="0" borderId="60" xfId="6" applyFont="1" applyBorder="1" applyAlignment="1">
      <alignment horizontal="center"/>
    </xf>
    <xf numFmtId="0" fontId="27" fillId="0" borderId="61" xfId="6" applyFont="1" applyBorder="1"/>
    <xf numFmtId="0" fontId="27" fillId="0" borderId="62" xfId="6" applyFont="1" applyBorder="1"/>
    <xf numFmtId="0" fontId="29" fillId="0" borderId="63" xfId="6" applyFont="1" applyBorder="1"/>
    <xf numFmtId="1" fontId="27" fillId="0" borderId="62" xfId="8" applyNumberFormat="1" applyFont="1" applyBorder="1"/>
    <xf numFmtId="4" fontId="27" fillId="0" borderId="64" xfId="8" applyNumberFormat="1" applyFont="1" applyBorder="1"/>
    <xf numFmtId="168" fontId="26" fillId="10" borderId="16" xfId="8" applyNumberFormat="1" applyFont="1" applyFill="1" applyBorder="1" applyAlignment="1">
      <alignment vertical="center" wrapText="1"/>
    </xf>
    <xf numFmtId="168" fontId="27" fillId="0" borderId="0" xfId="6" applyNumberFormat="1" applyFont="1"/>
    <xf numFmtId="0" fontId="27" fillId="0" borderId="16" xfId="6" applyFont="1" applyBorder="1" applyAlignment="1">
      <alignment horizontal="center"/>
    </xf>
    <xf numFmtId="0" fontId="27" fillId="0" borderId="16" xfId="6" applyFont="1" applyBorder="1"/>
    <xf numFmtId="169" fontId="27" fillId="15" borderId="16" xfId="8" quotePrefix="1" applyNumberFormat="1" applyFont="1" applyFill="1" applyBorder="1"/>
    <xf numFmtId="4" fontId="27" fillId="0" borderId="0" xfId="6" applyNumberFormat="1" applyFont="1"/>
    <xf numFmtId="170" fontId="27" fillId="0" borderId="0" xfId="6" applyNumberFormat="1" applyFont="1"/>
    <xf numFmtId="0" fontId="30" fillId="0" borderId="0" xfId="6" applyFont="1"/>
    <xf numFmtId="4" fontId="31" fillId="0" borderId="0" xfId="6" applyNumberFormat="1" applyFont="1"/>
    <xf numFmtId="168" fontId="27" fillId="15" borderId="16" xfId="8" quotePrefix="1" applyNumberFormat="1" applyFont="1" applyFill="1" applyBorder="1"/>
    <xf numFmtId="1" fontId="27" fillId="0" borderId="0" xfId="6" applyNumberFormat="1" applyFont="1"/>
    <xf numFmtId="0" fontId="27" fillId="0" borderId="0" xfId="6" applyFont="1" applyAlignment="1">
      <alignment horizontal="center"/>
    </xf>
    <xf numFmtId="4" fontId="30" fillId="0" borderId="0" xfId="6" applyNumberFormat="1" applyFont="1"/>
    <xf numFmtId="4" fontId="31" fillId="0" borderId="45" xfId="6" applyNumberFormat="1" applyFont="1" applyBorder="1"/>
    <xf numFmtId="0" fontId="25" fillId="0" borderId="0" xfId="0" applyFont="1"/>
    <xf numFmtId="0" fontId="4" fillId="16" borderId="12" xfId="0" applyFont="1" applyFill="1" applyBorder="1" applyAlignment="1">
      <alignment vertical="center" wrapText="1"/>
    </xf>
    <xf numFmtId="0" fontId="4" fillId="16" borderId="48" xfId="0" applyFont="1" applyFill="1" applyBorder="1" applyAlignment="1">
      <alignment horizontal="center" vertical="center" wrapText="1"/>
    </xf>
    <xf numFmtId="0" fontId="3" fillId="0" borderId="36" xfId="0" applyFont="1" applyBorder="1"/>
    <xf numFmtId="0" fontId="2" fillId="0" borderId="66" xfId="0" applyFont="1" applyBorder="1"/>
    <xf numFmtId="0" fontId="2" fillId="0" borderId="1" xfId="0" applyFont="1" applyBorder="1"/>
    <xf numFmtId="0" fontId="2" fillId="0" borderId="72" xfId="0" applyFont="1" applyBorder="1"/>
    <xf numFmtId="0" fontId="3" fillId="0" borderId="35" xfId="0" applyFont="1" applyBorder="1"/>
    <xf numFmtId="0" fontId="36" fillId="21" borderId="44" xfId="0" applyFont="1" applyFill="1" applyBorder="1"/>
    <xf numFmtId="0" fontId="37" fillId="21" borderId="46" xfId="0" applyFont="1" applyFill="1" applyBorder="1"/>
    <xf numFmtId="0" fontId="36" fillId="0" borderId="66" xfId="0" applyFont="1" applyBorder="1"/>
    <xf numFmtId="0" fontId="37" fillId="2" borderId="38" xfId="0" applyFont="1" applyFill="1" applyBorder="1"/>
    <xf numFmtId="0" fontId="36" fillId="2" borderId="2" xfId="0" applyFont="1" applyFill="1" applyBorder="1"/>
    <xf numFmtId="0" fontId="37" fillId="2" borderId="67" xfId="0" applyFont="1" applyFill="1" applyBorder="1"/>
    <xf numFmtId="0" fontId="36" fillId="2" borderId="37" xfId="0" applyFont="1" applyFill="1" applyBorder="1"/>
    <xf numFmtId="0" fontId="36" fillId="2" borderId="66" xfId="0" applyFont="1" applyFill="1" applyBorder="1"/>
    <xf numFmtId="0" fontId="36" fillId="22" borderId="70" xfId="0" applyFont="1" applyFill="1" applyBorder="1"/>
    <xf numFmtId="0" fontId="37" fillId="22" borderId="69" xfId="0" applyFont="1" applyFill="1" applyBorder="1"/>
    <xf numFmtId="0" fontId="37" fillId="22" borderId="34" xfId="0" applyFont="1" applyFill="1" applyBorder="1"/>
    <xf numFmtId="0" fontId="36" fillId="22" borderId="4" xfId="0" applyFont="1" applyFill="1" applyBorder="1"/>
    <xf numFmtId="0" fontId="36" fillId="0" borderId="68" xfId="0" applyFont="1" applyBorder="1"/>
    <xf numFmtId="0" fontId="37" fillId="2" borderId="69" xfId="0" applyFont="1" applyFill="1" applyBorder="1"/>
    <xf numFmtId="0" fontId="36" fillId="2" borderId="70" xfId="0" applyFont="1" applyFill="1" applyBorder="1"/>
    <xf numFmtId="0" fontId="37" fillId="2" borderId="71" xfId="0" applyFont="1" applyFill="1" applyBorder="1"/>
    <xf numFmtId="0" fontId="36" fillId="2" borderId="40" xfId="0" applyFont="1" applyFill="1" applyBorder="1"/>
    <xf numFmtId="0" fontId="36" fillId="2" borderId="68" xfId="0" applyFont="1" applyFill="1" applyBorder="1"/>
    <xf numFmtId="0" fontId="3" fillId="0" borderId="66" xfId="0" applyFont="1" applyBorder="1"/>
    <xf numFmtId="0" fontId="36" fillId="23" borderId="66" xfId="0" applyFont="1" applyFill="1" applyBorder="1"/>
    <xf numFmtId="0" fontId="37" fillId="23" borderId="38" xfId="0" applyFont="1" applyFill="1" applyBorder="1"/>
    <xf numFmtId="0" fontId="36" fillId="23" borderId="2" xfId="0" applyFont="1" applyFill="1" applyBorder="1"/>
    <xf numFmtId="0" fontId="37" fillId="23" borderId="67" xfId="0" applyFont="1" applyFill="1" applyBorder="1"/>
    <xf numFmtId="0" fontId="2" fillId="0" borderId="68" xfId="0" applyFont="1" applyBorder="1"/>
    <xf numFmtId="0" fontId="36" fillId="2" borderId="76" xfId="0" applyFont="1" applyFill="1" applyBorder="1"/>
    <xf numFmtId="0" fontId="37" fillId="2" borderId="34" xfId="0" applyFont="1" applyFill="1" applyBorder="1"/>
    <xf numFmtId="0" fontId="36" fillId="24" borderId="4" xfId="0" applyFont="1" applyFill="1" applyBorder="1"/>
    <xf numFmtId="0" fontId="37" fillId="24" borderId="34" xfId="0" applyFont="1" applyFill="1" applyBorder="1"/>
    <xf numFmtId="0" fontId="37" fillId="24" borderId="77" xfId="0" applyFont="1" applyFill="1" applyBorder="1"/>
    <xf numFmtId="0" fontId="36" fillId="24" borderId="76" xfId="0" applyFont="1" applyFill="1" applyBorder="1"/>
    <xf numFmtId="0" fontId="36" fillId="2" borderId="4" xfId="0" applyFont="1" applyFill="1" applyBorder="1"/>
    <xf numFmtId="0" fontId="37" fillId="2" borderId="77" xfId="0" applyFont="1" applyFill="1" applyBorder="1"/>
    <xf numFmtId="0" fontId="36" fillId="0" borderId="4" xfId="0" applyFont="1" applyBorder="1"/>
    <xf numFmtId="0" fontId="3" fillId="0" borderId="78" xfId="0" applyFont="1" applyBorder="1"/>
    <xf numFmtId="0" fontId="36" fillId="0" borderId="2" xfId="0" applyFont="1" applyBorder="1"/>
    <xf numFmtId="0" fontId="36" fillId="25" borderId="66" xfId="0" applyFont="1" applyFill="1" applyBorder="1"/>
    <xf numFmtId="0" fontId="36" fillId="25" borderId="38" xfId="0" applyFont="1" applyFill="1" applyBorder="1"/>
    <xf numFmtId="0" fontId="36" fillId="25" borderId="2" xfId="0" applyFont="1" applyFill="1" applyBorder="1"/>
    <xf numFmtId="0" fontId="36" fillId="25" borderId="67" xfId="0" applyFont="1" applyFill="1" applyBorder="1"/>
    <xf numFmtId="0" fontId="36" fillId="25" borderId="37" xfId="0" applyFont="1" applyFill="1" applyBorder="1"/>
    <xf numFmtId="0" fontId="2" fillId="0" borderId="76" xfId="0" applyFont="1" applyBorder="1"/>
    <xf numFmtId="0" fontId="36" fillId="2" borderId="42" xfId="0" applyFont="1" applyFill="1" applyBorder="1"/>
    <xf numFmtId="0" fontId="36" fillId="26" borderId="4" xfId="0" applyFont="1" applyFill="1" applyBorder="1"/>
    <xf numFmtId="0" fontId="36" fillId="2" borderId="34" xfId="0" applyFont="1" applyFill="1" applyBorder="1"/>
    <xf numFmtId="0" fontId="37" fillId="26" borderId="34" xfId="0" applyFont="1" applyFill="1" applyBorder="1"/>
    <xf numFmtId="0" fontId="36" fillId="26" borderId="42" xfId="0" applyFont="1" applyFill="1" applyBorder="1"/>
    <xf numFmtId="0" fontId="37" fillId="26" borderId="77" xfId="0" applyFont="1" applyFill="1" applyBorder="1"/>
    <xf numFmtId="0" fontId="36" fillId="2" borderId="72" xfId="0" applyFont="1" applyFill="1" applyBorder="1"/>
    <xf numFmtId="0" fontId="37" fillId="2" borderId="73" xfId="0" applyFont="1" applyFill="1" applyBorder="1"/>
    <xf numFmtId="0" fontId="36" fillId="2" borderId="74" xfId="0" applyFont="1" applyFill="1" applyBorder="1"/>
    <xf numFmtId="0" fontId="37" fillId="2" borderId="75" xfId="0" applyFont="1" applyFill="1" applyBorder="1"/>
    <xf numFmtId="0" fontId="37" fillId="2" borderId="37" xfId="0" applyFont="1" applyFill="1" applyBorder="1"/>
    <xf numFmtId="0" fontId="36" fillId="2" borderId="78" xfId="0" applyFont="1" applyFill="1" applyBorder="1"/>
    <xf numFmtId="0" fontId="37" fillId="2" borderId="46" xfId="0" applyFont="1" applyFill="1" applyBorder="1"/>
    <xf numFmtId="0" fontId="36" fillId="2" borderId="44" xfId="0" applyFont="1" applyFill="1" applyBorder="1"/>
    <xf numFmtId="0" fontId="36" fillId="2" borderId="45" xfId="0" applyFont="1" applyFill="1" applyBorder="1"/>
    <xf numFmtId="0" fontId="37" fillId="2" borderId="45" xfId="0" applyFont="1" applyFill="1" applyBorder="1"/>
    <xf numFmtId="0" fontId="37" fillId="2" borderId="79" xfId="0" applyFont="1" applyFill="1" applyBorder="1"/>
    <xf numFmtId="0" fontId="37" fillId="2" borderId="80" xfId="0" applyFont="1" applyFill="1" applyBorder="1"/>
    <xf numFmtId="0" fontId="36" fillId="2" borderId="81" xfId="0" applyFont="1" applyFill="1" applyBorder="1"/>
    <xf numFmtId="0" fontId="36" fillId="2" borderId="65" xfId="0" applyFont="1" applyFill="1" applyBorder="1"/>
    <xf numFmtId="0" fontId="37" fillId="2" borderId="6" xfId="0" applyFont="1" applyFill="1" applyBorder="1"/>
    <xf numFmtId="0" fontId="37" fillId="2" borderId="2" xfId="0" applyFont="1" applyFill="1" applyBorder="1"/>
    <xf numFmtId="0" fontId="36" fillId="27" borderId="2" xfId="0" applyFont="1" applyFill="1" applyBorder="1"/>
    <xf numFmtId="0" fontId="37" fillId="27" borderId="37" xfId="0" applyFont="1" applyFill="1" applyBorder="1"/>
    <xf numFmtId="0" fontId="37" fillId="2" borderId="44" xfId="0" applyFont="1" applyFill="1" applyBorder="1"/>
    <xf numFmtId="0" fontId="2" fillId="0" borderId="76" xfId="0" applyFont="1" applyBorder="1" applyAlignment="1">
      <alignment wrapText="1"/>
    </xf>
    <xf numFmtId="0" fontId="37" fillId="2" borderId="4" xfId="0" applyFont="1" applyFill="1" applyBorder="1"/>
    <xf numFmtId="0" fontId="36" fillId="2" borderId="77" xfId="0" applyFont="1" applyFill="1" applyBorder="1"/>
    <xf numFmtId="0" fontId="36" fillId="28" borderId="42" xfId="0" applyFont="1" applyFill="1" applyBorder="1"/>
    <xf numFmtId="0" fontId="36" fillId="2" borderId="73" xfId="0" applyFont="1" applyFill="1" applyBorder="1"/>
    <xf numFmtId="0" fontId="37" fillId="2" borderId="74" xfId="0" applyFont="1" applyFill="1" applyBorder="1"/>
    <xf numFmtId="0" fontId="36" fillId="2" borderId="75" xfId="0" applyFont="1" applyFill="1" applyBorder="1"/>
    <xf numFmtId="0" fontId="37" fillId="2" borderId="72" xfId="0" applyFont="1" applyFill="1" applyBorder="1"/>
    <xf numFmtId="0" fontId="36" fillId="2" borderId="43" xfId="0" applyFont="1" applyFill="1" applyBorder="1"/>
    <xf numFmtId="0" fontId="37" fillId="29" borderId="38" xfId="0" applyFont="1" applyFill="1" applyBorder="1"/>
    <xf numFmtId="0" fontId="37" fillId="29" borderId="37" xfId="0" applyFont="1" applyFill="1" applyBorder="1"/>
    <xf numFmtId="0" fontId="37" fillId="29" borderId="67" xfId="0" applyFont="1" applyFill="1" applyBorder="1"/>
    <xf numFmtId="0" fontId="37" fillId="2" borderId="43" xfId="0" applyFont="1" applyFill="1" applyBorder="1"/>
    <xf numFmtId="0" fontId="36" fillId="0" borderId="44" xfId="0" applyFont="1" applyBorder="1"/>
    <xf numFmtId="0" fontId="38" fillId="2" borderId="37" xfId="0" applyFont="1" applyFill="1" applyBorder="1"/>
    <xf numFmtId="0" fontId="39" fillId="2" borderId="38" xfId="0" applyFont="1" applyFill="1" applyBorder="1"/>
    <xf numFmtId="0" fontId="36" fillId="26" borderId="44" xfId="0" applyFont="1" applyFill="1" applyBorder="1" applyAlignment="1">
      <alignment horizontal="center"/>
    </xf>
    <xf numFmtId="0" fontId="36" fillId="26" borderId="46" xfId="0" applyFont="1" applyFill="1" applyBorder="1" applyAlignment="1">
      <alignment horizontal="center"/>
    </xf>
    <xf numFmtId="0" fontId="36" fillId="26" borderId="79" xfId="0" applyFont="1" applyFill="1" applyBorder="1" applyAlignment="1">
      <alignment horizontal="center"/>
    </xf>
    <xf numFmtId="0" fontId="36" fillId="2" borderId="46" xfId="0" applyFont="1" applyFill="1" applyBorder="1"/>
    <xf numFmtId="0" fontId="36" fillId="2" borderId="79" xfId="0" applyFont="1" applyFill="1" applyBorder="1"/>
    <xf numFmtId="0" fontId="40" fillId="26" borderId="76" xfId="0" applyFont="1" applyFill="1" applyBorder="1"/>
    <xf numFmtId="0" fontId="40" fillId="26" borderId="34" xfId="0" applyFont="1" applyFill="1" applyBorder="1"/>
    <xf numFmtId="0" fontId="40" fillId="26" borderId="4" xfId="0" applyFont="1" applyFill="1" applyBorder="1"/>
    <xf numFmtId="0" fontId="40" fillId="2" borderId="4" xfId="0" applyFont="1" applyFill="1" applyBorder="1"/>
    <xf numFmtId="0" fontId="40" fillId="2" borderId="34" xfId="0" applyFont="1" applyFill="1" applyBorder="1"/>
    <xf numFmtId="0" fontId="37" fillId="2" borderId="0" xfId="0" applyFont="1" applyFill="1"/>
    <xf numFmtId="0" fontId="37" fillId="2" borderId="66" xfId="0" applyFont="1" applyFill="1" applyBorder="1"/>
    <xf numFmtId="0" fontId="37" fillId="2" borderId="78" xfId="0" applyFont="1" applyFill="1" applyBorder="1"/>
    <xf numFmtId="0" fontId="36" fillId="28" borderId="44" xfId="0" applyFont="1" applyFill="1" applyBorder="1"/>
    <xf numFmtId="0" fontId="37" fillId="28" borderId="46" xfId="0" applyFont="1" applyFill="1" applyBorder="1"/>
    <xf numFmtId="0" fontId="37" fillId="29" borderId="2" xfId="0" applyFont="1" applyFill="1" applyBorder="1"/>
    <xf numFmtId="0" fontId="37" fillId="30" borderId="43" xfId="0" applyFont="1" applyFill="1" applyBorder="1"/>
    <xf numFmtId="0" fontId="37" fillId="30" borderId="73" xfId="0" applyFont="1" applyFill="1" applyBorder="1"/>
    <xf numFmtId="0" fontId="36" fillId="30" borderId="81" xfId="0" applyFont="1" applyFill="1" applyBorder="1"/>
    <xf numFmtId="0" fontId="37" fillId="28" borderId="0" xfId="0" applyFont="1" applyFill="1"/>
    <xf numFmtId="0" fontId="36" fillId="28" borderId="82" xfId="0" applyFont="1" applyFill="1" applyBorder="1"/>
    <xf numFmtId="0" fontId="37" fillId="30" borderId="75" xfId="0" applyFont="1" applyFill="1" applyBorder="1"/>
    <xf numFmtId="0" fontId="37" fillId="30" borderId="80" xfId="0" applyFont="1" applyFill="1" applyBorder="1"/>
    <xf numFmtId="0" fontId="36" fillId="29" borderId="2" xfId="0" applyFont="1" applyFill="1" applyBorder="1"/>
    <xf numFmtId="0" fontId="36" fillId="30" borderId="74" xfId="0" applyFont="1" applyFill="1" applyBorder="1"/>
    <xf numFmtId="0" fontId="2" fillId="5" borderId="83" xfId="0" applyFont="1" applyFill="1" applyBorder="1" applyAlignment="1">
      <alignment vertical="center" wrapText="1"/>
    </xf>
    <xf numFmtId="0" fontId="2" fillId="5" borderId="84" xfId="0" applyFont="1" applyFill="1" applyBorder="1" applyAlignment="1">
      <alignment vertical="center" wrapText="1"/>
    </xf>
    <xf numFmtId="0" fontId="2" fillId="5" borderId="10" xfId="0" applyFont="1" applyFill="1" applyBorder="1" applyAlignment="1">
      <alignment vertical="center" wrapText="1"/>
    </xf>
    <xf numFmtId="0" fontId="27" fillId="0" borderId="57" xfId="6" applyFont="1" applyBorder="1" applyAlignment="1">
      <alignment horizontal="left" wrapText="1"/>
    </xf>
    <xf numFmtId="0" fontId="5" fillId="0" borderId="20" xfId="0" applyFont="1" applyBorder="1"/>
    <xf numFmtId="0" fontId="36" fillId="22" borderId="76" xfId="0" applyFont="1" applyFill="1" applyBorder="1"/>
    <xf numFmtId="0" fontId="36" fillId="2" borderId="2" xfId="0" applyFont="1" applyFill="1" applyBorder="1" applyAlignment="1">
      <alignment horizontal="center"/>
    </xf>
    <xf numFmtId="0" fontId="36" fillId="2" borderId="38" xfId="0" applyFont="1" applyFill="1" applyBorder="1" applyAlignment="1">
      <alignment horizontal="center"/>
    </xf>
    <xf numFmtId="0" fontId="36" fillId="2" borderId="67" xfId="0" applyFont="1" applyFill="1" applyBorder="1" applyAlignment="1">
      <alignment horizontal="center"/>
    </xf>
    <xf numFmtId="0" fontId="36" fillId="2" borderId="66" xfId="0" applyFont="1" applyFill="1" applyBorder="1" applyAlignment="1">
      <alignment horizontal="center"/>
    </xf>
    <xf numFmtId="0" fontId="36" fillId="2" borderId="72" xfId="0" applyFont="1" applyFill="1" applyBorder="1" applyAlignment="1">
      <alignment horizontal="center"/>
    </xf>
    <xf numFmtId="0" fontId="36" fillId="2" borderId="73" xfId="0" applyFont="1" applyFill="1" applyBorder="1" applyAlignment="1">
      <alignment horizontal="center"/>
    </xf>
    <xf numFmtId="0" fontId="36" fillId="2" borderId="74" xfId="0" applyFont="1" applyFill="1" applyBorder="1" applyAlignment="1">
      <alignment horizontal="center"/>
    </xf>
    <xf numFmtId="0" fontId="36" fillId="2" borderId="75" xfId="0" applyFont="1" applyFill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6" fillId="0" borderId="76" xfId="0" applyFont="1" applyBorder="1" applyAlignment="1">
      <alignment horizontal="center"/>
    </xf>
    <xf numFmtId="0" fontId="36" fillId="2" borderId="4" xfId="0" applyFont="1" applyFill="1" applyBorder="1" applyAlignment="1">
      <alignment horizontal="center"/>
    </xf>
    <xf numFmtId="0" fontId="36" fillId="2" borderId="3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36" fillId="21" borderId="2" xfId="0" applyFont="1" applyFill="1" applyBorder="1" applyAlignment="1">
      <alignment horizontal="center"/>
    </xf>
    <xf numFmtId="0" fontId="37" fillId="22" borderId="71" xfId="0" applyFont="1" applyFill="1" applyBorder="1"/>
    <xf numFmtId="0" fontId="36" fillId="15" borderId="76" xfId="0" applyFont="1" applyFill="1" applyBorder="1"/>
    <xf numFmtId="0" fontId="37" fillId="15" borderId="69" xfId="0" applyFont="1" applyFill="1" applyBorder="1"/>
    <xf numFmtId="0" fontId="36" fillId="15" borderId="70" xfId="0" applyFont="1" applyFill="1" applyBorder="1"/>
    <xf numFmtId="0" fontId="37" fillId="15" borderId="34" xfId="0" applyFont="1" applyFill="1" applyBorder="1"/>
    <xf numFmtId="0" fontId="10" fillId="0" borderId="66" xfId="0" applyFont="1" applyBorder="1"/>
    <xf numFmtId="0" fontId="37" fillId="27" borderId="38" xfId="0" applyFont="1" applyFill="1" applyBorder="1"/>
    <xf numFmtId="0" fontId="36" fillId="29" borderId="66" xfId="0" applyFont="1" applyFill="1" applyBorder="1"/>
    <xf numFmtId="0" fontId="36" fillId="30" borderId="72" xfId="0" applyFont="1" applyFill="1" applyBorder="1"/>
    <xf numFmtId="164" fontId="2" fillId="0" borderId="0" xfId="0" applyNumberFormat="1" applyFont="1"/>
    <xf numFmtId="0" fontId="37" fillId="28" borderId="4" xfId="0" applyFont="1" applyFill="1" applyBorder="1"/>
    <xf numFmtId="0" fontId="38" fillId="2" borderId="2" xfId="0" applyFont="1" applyFill="1" applyBorder="1" applyAlignment="1">
      <alignment horizontal="center"/>
    </xf>
    <xf numFmtId="0" fontId="38" fillId="2" borderId="38" xfId="0" applyFont="1" applyFill="1" applyBorder="1" applyAlignment="1">
      <alignment horizontal="center"/>
    </xf>
    <xf numFmtId="0" fontId="37" fillId="25" borderId="38" xfId="0" applyFont="1" applyFill="1" applyBorder="1"/>
    <xf numFmtId="0" fontId="37" fillId="25" borderId="67" xfId="0" applyFont="1" applyFill="1" applyBorder="1"/>
    <xf numFmtId="0" fontId="36" fillId="26" borderId="44" xfId="0" applyFont="1" applyFill="1" applyBorder="1"/>
    <xf numFmtId="0" fontId="36" fillId="26" borderId="46" xfId="0" applyFont="1" applyFill="1" applyBorder="1"/>
    <xf numFmtId="0" fontId="36" fillId="26" borderId="79" xfId="0" applyFont="1" applyFill="1" applyBorder="1"/>
    <xf numFmtId="0" fontId="36" fillId="2" borderId="44" xfId="0" applyFont="1" applyFill="1" applyBorder="1" applyAlignment="1">
      <alignment horizontal="center"/>
    </xf>
    <xf numFmtId="0" fontId="36" fillId="2" borderId="46" xfId="0" applyFont="1" applyFill="1" applyBorder="1" applyAlignment="1">
      <alignment horizontal="center"/>
    </xf>
    <xf numFmtId="0" fontId="36" fillId="2" borderId="79" xfId="0" applyFont="1" applyFill="1" applyBorder="1" applyAlignment="1">
      <alignment horizontal="center"/>
    </xf>
    <xf numFmtId="0" fontId="40" fillId="2" borderId="76" xfId="0" applyFont="1" applyFill="1" applyBorder="1"/>
    <xf numFmtId="0" fontId="36" fillId="31" borderId="2" xfId="0" applyFont="1" applyFill="1" applyBorder="1"/>
    <xf numFmtId="0" fontId="37" fillId="31" borderId="38" xfId="0" applyFont="1" applyFill="1" applyBorder="1"/>
    <xf numFmtId="0" fontId="37" fillId="31" borderId="67" xfId="0" applyFont="1" applyFill="1" applyBorder="1"/>
    <xf numFmtId="0" fontId="36" fillId="31" borderId="66" xfId="0" applyFont="1" applyFill="1" applyBorder="1"/>
    <xf numFmtId="0" fontId="36" fillId="26" borderId="78" xfId="0" applyFont="1" applyFill="1" applyBorder="1"/>
    <xf numFmtId="0" fontId="36" fillId="27" borderId="44" xfId="0" applyFont="1" applyFill="1" applyBorder="1"/>
    <xf numFmtId="0" fontId="37" fillId="27" borderId="46" xfId="0" applyFont="1" applyFill="1" applyBorder="1"/>
    <xf numFmtId="0" fontId="37" fillId="27" borderId="45" xfId="0" applyFont="1" applyFill="1" applyBorder="1"/>
    <xf numFmtId="0" fontId="37" fillId="27" borderId="78" xfId="0" applyFont="1" applyFill="1" applyBorder="1"/>
    <xf numFmtId="0" fontId="37" fillId="28" borderId="78" xfId="0" applyFont="1" applyFill="1" applyBorder="1"/>
    <xf numFmtId="0" fontId="37" fillId="28" borderId="45" xfId="0" applyFont="1" applyFill="1" applyBorder="1"/>
    <xf numFmtId="0" fontId="36" fillId="2" borderId="43" xfId="0" applyFont="1" applyFill="1" applyBorder="1" applyAlignment="1">
      <alignment horizontal="center"/>
    </xf>
    <xf numFmtId="0" fontId="41" fillId="24" borderId="4" xfId="0" applyFont="1" applyFill="1" applyBorder="1"/>
    <xf numFmtId="0" fontId="42" fillId="24" borderId="34" xfId="0" applyFont="1" applyFill="1" applyBorder="1"/>
    <xf numFmtId="0" fontId="42" fillId="24" borderId="77" xfId="0" applyFont="1" applyFill="1" applyBorder="1"/>
    <xf numFmtId="0" fontId="36" fillId="21" borderId="45" xfId="0" applyFont="1" applyFill="1" applyBorder="1"/>
    <xf numFmtId="0" fontId="36" fillId="22" borderId="42" xfId="0" applyFont="1" applyFill="1" applyBorder="1"/>
    <xf numFmtId="0" fontId="36" fillId="15" borderId="42" xfId="0" applyFont="1" applyFill="1" applyBorder="1"/>
    <xf numFmtId="0" fontId="36" fillId="2" borderId="37" xfId="0" applyFont="1" applyFill="1" applyBorder="1" applyAlignment="1">
      <alignment horizontal="center"/>
    </xf>
    <xf numFmtId="0" fontId="36" fillId="0" borderId="37" xfId="0" applyFont="1" applyBorder="1"/>
    <xf numFmtId="0" fontId="37" fillId="21" borderId="79" xfId="0" applyFont="1" applyFill="1" applyBorder="1"/>
    <xf numFmtId="0" fontId="37" fillId="22" borderId="77" xfId="0" applyFont="1" applyFill="1" applyBorder="1"/>
    <xf numFmtId="0" fontId="37" fillId="15" borderId="77" xfId="0" applyFont="1" applyFill="1" applyBorder="1"/>
    <xf numFmtId="0" fontId="36" fillId="31" borderId="37" xfId="0" applyFont="1" applyFill="1" applyBorder="1"/>
    <xf numFmtId="0" fontId="36" fillId="24" borderId="42" xfId="0" applyFont="1" applyFill="1" applyBorder="1"/>
    <xf numFmtId="0" fontId="36" fillId="21" borderId="78" xfId="0" applyFont="1" applyFill="1" applyBorder="1"/>
    <xf numFmtId="0" fontId="36" fillId="21" borderId="38" xfId="0" applyFont="1" applyFill="1" applyBorder="1" applyAlignment="1">
      <alignment horizontal="center"/>
    </xf>
    <xf numFmtId="0" fontId="36" fillId="0" borderId="78" xfId="0" applyFont="1" applyBorder="1"/>
    <xf numFmtId="0" fontId="36" fillId="0" borderId="76" xfId="0" applyFont="1" applyBorder="1"/>
    <xf numFmtId="0" fontId="36" fillId="0" borderId="40" xfId="0" applyFont="1" applyBorder="1"/>
    <xf numFmtId="0" fontId="36" fillId="0" borderId="42" xfId="0" applyFont="1" applyBorder="1" applyAlignment="1">
      <alignment horizontal="center"/>
    </xf>
    <xf numFmtId="0" fontId="39" fillId="2" borderId="67" xfId="0" applyFont="1" applyFill="1" applyBorder="1"/>
    <xf numFmtId="0" fontId="36" fillId="26" borderId="45" xfId="0" applyFont="1" applyFill="1" applyBorder="1"/>
    <xf numFmtId="0" fontId="40" fillId="2" borderId="42" xfId="0" applyFont="1" applyFill="1" applyBorder="1"/>
    <xf numFmtId="0" fontId="41" fillId="24" borderId="76" xfId="0" applyFont="1" applyFill="1" applyBorder="1"/>
    <xf numFmtId="0" fontId="38" fillId="2" borderId="66" xfId="0" applyFont="1" applyFill="1" applyBorder="1" applyAlignment="1">
      <alignment horizontal="center"/>
    </xf>
    <xf numFmtId="0" fontId="36" fillId="2" borderId="78" xfId="0" applyFont="1" applyFill="1" applyBorder="1" applyAlignment="1">
      <alignment horizontal="center"/>
    </xf>
    <xf numFmtId="0" fontId="40" fillId="2" borderId="77" xfId="0" applyFont="1" applyFill="1" applyBorder="1"/>
    <xf numFmtId="0" fontId="0" fillId="2" borderId="77" xfId="0" applyFill="1" applyBorder="1" applyAlignment="1">
      <alignment horizontal="center"/>
    </xf>
    <xf numFmtId="0" fontId="36" fillId="26" borderId="76" xfId="0" applyFont="1" applyFill="1" applyBorder="1"/>
    <xf numFmtId="0" fontId="36" fillId="2" borderId="7" xfId="0" applyFont="1" applyFill="1" applyBorder="1"/>
    <xf numFmtId="0" fontId="36" fillId="2" borderId="42" xfId="0" applyFont="1" applyFill="1" applyBorder="1" applyAlignment="1">
      <alignment horizontal="center"/>
    </xf>
    <xf numFmtId="0" fontId="37" fillId="27" borderId="79" xfId="0" applyFont="1" applyFill="1" applyBorder="1"/>
    <xf numFmtId="0" fontId="37" fillId="28" borderId="79" xfId="0" applyFont="1" applyFill="1" applyBorder="1"/>
    <xf numFmtId="0" fontId="36" fillId="29" borderId="37" xfId="0" applyFont="1" applyFill="1" applyBorder="1"/>
    <xf numFmtId="0" fontId="36" fillId="30" borderId="43" xfId="0" applyFont="1" applyFill="1" applyBorder="1"/>
    <xf numFmtId="0" fontId="36" fillId="27" borderId="78" xfId="0" applyFont="1" applyFill="1" applyBorder="1"/>
    <xf numFmtId="0" fontId="36" fillId="28" borderId="78" xfId="0" applyFont="1" applyFill="1" applyBorder="1"/>
    <xf numFmtId="0" fontId="36" fillId="2" borderId="76" xfId="0" applyFont="1" applyFill="1" applyBorder="1" applyAlignment="1">
      <alignment horizontal="center"/>
    </xf>
    <xf numFmtId="0" fontId="37" fillId="28" borderId="73" xfId="0" applyFont="1" applyFill="1" applyBorder="1"/>
    <xf numFmtId="0" fontId="37" fillId="29" borderId="66" xfId="0" applyFont="1" applyFill="1" applyBorder="1"/>
    <xf numFmtId="0" fontId="36" fillId="30" borderId="7" xfId="0" applyFont="1" applyFill="1" applyBorder="1"/>
    <xf numFmtId="0" fontId="36" fillId="27" borderId="66" xfId="0" applyFont="1" applyFill="1" applyBorder="1"/>
    <xf numFmtId="0" fontId="36" fillId="28" borderId="76" xfId="0" applyFont="1" applyFill="1" applyBorder="1" applyAlignment="1">
      <alignment horizontal="center"/>
    </xf>
    <xf numFmtId="0" fontId="36" fillId="28" borderId="34" xfId="0" applyFont="1" applyFill="1" applyBorder="1" applyAlignment="1">
      <alignment horizontal="center"/>
    </xf>
    <xf numFmtId="0" fontId="36" fillId="28" borderId="72" xfId="0" applyFont="1" applyFill="1" applyBorder="1"/>
    <xf numFmtId="0" fontId="36" fillId="28" borderId="43" xfId="0" applyFont="1" applyFill="1" applyBorder="1"/>
    <xf numFmtId="0" fontId="3" fillId="5" borderId="8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85" xfId="0" applyFont="1" applyBorder="1" applyAlignment="1">
      <alignment horizontal="center" vertical="center" wrapText="1"/>
    </xf>
    <xf numFmtId="0" fontId="4" fillId="2" borderId="50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4" fillId="2" borderId="85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horizontal="left" vertical="center" wrapText="1"/>
    </xf>
    <xf numFmtId="0" fontId="3" fillId="5" borderId="9" xfId="0" applyFont="1" applyFill="1" applyBorder="1" applyAlignment="1">
      <alignment horizontal="left" vertical="center" wrapText="1"/>
    </xf>
    <xf numFmtId="0" fontId="3" fillId="5" borderId="10" xfId="0" applyFont="1" applyFill="1" applyBorder="1" applyAlignment="1">
      <alignment horizontal="left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3" fillId="5" borderId="8" xfId="0" applyFont="1" applyFill="1" applyBorder="1" applyAlignment="1">
      <alignment vertical="center" wrapText="1"/>
    </xf>
    <xf numFmtId="0" fontId="3" fillId="5" borderId="9" xfId="0" applyFont="1" applyFill="1" applyBorder="1" applyAlignment="1">
      <alignment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3" fillId="0" borderId="0" xfId="3" applyFont="1" applyAlignment="1">
      <alignment horizontal="left" wrapText="1"/>
    </xf>
    <xf numFmtId="0" fontId="3" fillId="0" borderId="0" xfId="3" applyFont="1" applyAlignment="1">
      <alignment horizontal="left"/>
    </xf>
    <xf numFmtId="0" fontId="20" fillId="8" borderId="8" xfId="0" applyFont="1" applyFill="1" applyBorder="1" applyAlignment="1">
      <alignment vertical="center" wrapText="1"/>
    </xf>
    <xf numFmtId="0" fontId="20" fillId="8" borderId="10" xfId="0" applyFont="1" applyFill="1" applyBorder="1" applyAlignment="1">
      <alignment vertical="center" wrapText="1"/>
    </xf>
    <xf numFmtId="0" fontId="20" fillId="8" borderId="8" xfId="0" applyFont="1" applyFill="1" applyBorder="1" applyAlignment="1">
      <alignment horizontal="center" vertical="center" wrapText="1"/>
    </xf>
    <xf numFmtId="0" fontId="20" fillId="8" borderId="10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3" fillId="0" borderId="10" xfId="0" applyFont="1" applyBorder="1" applyAlignment="1">
      <alignment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3" fillId="5" borderId="10" xfId="0" applyFont="1" applyFill="1" applyBorder="1" applyAlignment="1">
      <alignment vertical="center" wrapText="1"/>
    </xf>
    <xf numFmtId="0" fontId="26" fillId="14" borderId="0" xfId="6" applyFont="1" applyFill="1" applyAlignment="1">
      <alignment horizontal="center" vertical="center"/>
    </xf>
    <xf numFmtId="168" fontId="26" fillId="10" borderId="15" xfId="8" applyNumberFormat="1" applyFont="1" applyFill="1" applyBorder="1" applyAlignment="1">
      <alignment horizontal="center" vertical="center" wrapText="1"/>
    </xf>
    <xf numFmtId="168" fontId="26" fillId="10" borderId="51" xfId="8" applyNumberFormat="1" applyFont="1" applyFill="1" applyBorder="1" applyAlignment="1">
      <alignment horizontal="center" vertical="center"/>
    </xf>
    <xf numFmtId="168" fontId="26" fillId="10" borderId="5" xfId="8" applyNumberFormat="1" applyFont="1" applyFill="1" applyBorder="1" applyAlignment="1">
      <alignment horizontal="center" vertical="center"/>
    </xf>
    <xf numFmtId="168" fontId="26" fillId="10" borderId="0" xfId="8" applyNumberFormat="1" applyFont="1" applyFill="1" applyBorder="1" applyAlignment="1">
      <alignment horizontal="center" vertical="center"/>
    </xf>
    <xf numFmtId="0" fontId="26" fillId="14" borderId="4" xfId="6" applyFont="1" applyFill="1" applyBorder="1" applyAlignment="1">
      <alignment horizontal="center" vertical="center"/>
    </xf>
    <xf numFmtId="0" fontId="26" fillId="14" borderId="34" xfId="6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/>
    </xf>
    <xf numFmtId="0" fontId="38" fillId="2" borderId="38" xfId="0" applyFont="1" applyFill="1" applyBorder="1" applyAlignment="1">
      <alignment horizontal="center"/>
    </xf>
    <xf numFmtId="0" fontId="38" fillId="2" borderId="67" xfId="0" applyFont="1" applyFill="1" applyBorder="1" applyAlignment="1">
      <alignment horizontal="center"/>
    </xf>
    <xf numFmtId="0" fontId="36" fillId="0" borderId="4" xfId="0" applyFont="1" applyBorder="1" applyAlignment="1">
      <alignment horizontal="center"/>
    </xf>
    <xf numFmtId="0" fontId="36" fillId="0" borderId="34" xfId="0" applyFont="1" applyBorder="1" applyAlignment="1">
      <alignment horizontal="center"/>
    </xf>
    <xf numFmtId="0" fontId="36" fillId="2" borderId="4" xfId="0" applyFont="1" applyFill="1" applyBorder="1" applyAlignment="1">
      <alignment horizontal="center"/>
    </xf>
    <xf numFmtId="0" fontId="36" fillId="2" borderId="77" xfId="0" applyFont="1" applyFill="1" applyBorder="1" applyAlignment="1">
      <alignment horizontal="center"/>
    </xf>
    <xf numFmtId="0" fontId="36" fillId="2" borderId="74" xfId="0" applyFont="1" applyFill="1" applyBorder="1" applyAlignment="1">
      <alignment horizontal="center"/>
    </xf>
    <xf numFmtId="0" fontId="36" fillId="2" borderId="73" xfId="0" applyFont="1" applyFill="1" applyBorder="1" applyAlignment="1">
      <alignment horizontal="center"/>
    </xf>
    <xf numFmtId="0" fontId="36" fillId="2" borderId="2" xfId="0" applyFont="1" applyFill="1" applyBorder="1" applyAlignment="1">
      <alignment horizontal="center"/>
    </xf>
    <xf numFmtId="0" fontId="36" fillId="2" borderId="38" xfId="0" applyFont="1" applyFill="1" applyBorder="1" applyAlignment="1">
      <alignment horizontal="center"/>
    </xf>
    <xf numFmtId="0" fontId="34" fillId="17" borderId="65" xfId="0" applyFont="1" applyFill="1" applyBorder="1" applyAlignment="1">
      <alignment horizontal="center"/>
    </xf>
    <xf numFmtId="0" fontId="36" fillId="2" borderId="34" xfId="0" applyFont="1" applyFill="1" applyBorder="1" applyAlignment="1">
      <alignment horizontal="center"/>
    </xf>
    <xf numFmtId="0" fontId="36" fillId="2" borderId="75" xfId="0" applyFont="1" applyFill="1" applyBorder="1" applyAlignment="1">
      <alignment horizontal="center"/>
    </xf>
    <xf numFmtId="0" fontId="36" fillId="2" borderId="72" xfId="0" applyFont="1" applyFill="1" applyBorder="1" applyAlignment="1">
      <alignment horizontal="center"/>
    </xf>
    <xf numFmtId="0" fontId="36" fillId="2" borderId="67" xfId="0" applyFont="1" applyFill="1" applyBorder="1" applyAlignment="1">
      <alignment horizontal="center"/>
    </xf>
    <xf numFmtId="0" fontId="36" fillId="2" borderId="66" xfId="0" applyFont="1" applyFill="1" applyBorder="1" applyAlignment="1">
      <alignment horizontal="center"/>
    </xf>
    <xf numFmtId="0" fontId="35" fillId="18" borderId="70" xfId="0" applyFont="1" applyFill="1" applyBorder="1" applyAlignment="1">
      <alignment horizontal="center" vertical="top"/>
    </xf>
    <xf numFmtId="0" fontId="35" fillId="18" borderId="71" xfId="0" applyFont="1" applyFill="1" applyBorder="1" applyAlignment="1">
      <alignment horizontal="center" vertical="top"/>
    </xf>
    <xf numFmtId="0" fontId="35" fillId="18" borderId="69" xfId="0" applyFont="1" applyFill="1" applyBorder="1" applyAlignment="1">
      <alignment horizontal="center" vertical="top"/>
    </xf>
    <xf numFmtId="0" fontId="35" fillId="18" borderId="40" xfId="0" applyFont="1" applyFill="1" applyBorder="1" applyAlignment="1">
      <alignment horizontal="center" vertical="top"/>
    </xf>
    <xf numFmtId="171" fontId="35" fillId="13" borderId="66" xfId="0" applyNumberFormat="1" applyFont="1" applyFill="1" applyBorder="1" applyAlignment="1">
      <alignment horizontal="center" vertical="top"/>
    </xf>
    <xf numFmtId="0" fontId="35" fillId="13" borderId="37" xfId="0" applyFont="1" applyFill="1" applyBorder="1" applyAlignment="1">
      <alignment horizontal="center" vertical="top"/>
    </xf>
    <xf numFmtId="0" fontId="35" fillId="13" borderId="67" xfId="0" applyFont="1" applyFill="1" applyBorder="1" applyAlignment="1">
      <alignment horizontal="center" vertical="top"/>
    </xf>
    <xf numFmtId="0" fontId="36" fillId="28" borderId="4" xfId="0" applyFont="1" applyFill="1" applyBorder="1" applyAlignment="1">
      <alignment horizontal="center"/>
    </xf>
    <xf numFmtId="0" fontId="36" fillId="28" borderId="34" xfId="0" applyFont="1" applyFill="1" applyBorder="1" applyAlignment="1">
      <alignment horizontal="center"/>
    </xf>
    <xf numFmtId="0" fontId="36" fillId="21" borderId="2" xfId="0" applyFont="1" applyFill="1" applyBorder="1" applyAlignment="1">
      <alignment horizontal="center"/>
    </xf>
    <xf numFmtId="0" fontId="36" fillId="21" borderId="67" xfId="0" applyFont="1" applyFill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38" xfId="0" applyFont="1" applyBorder="1" applyAlignment="1">
      <alignment horizontal="center"/>
    </xf>
    <xf numFmtId="0" fontId="36" fillId="0" borderId="74" xfId="0" applyFont="1" applyBorder="1" applyAlignment="1">
      <alignment horizontal="center"/>
    </xf>
    <xf numFmtId="0" fontId="36" fillId="0" borderId="73" xfId="0" applyFont="1" applyBorder="1" applyAlignment="1">
      <alignment horizontal="center"/>
    </xf>
    <xf numFmtId="0" fontId="36" fillId="2" borderId="43" xfId="0" applyFont="1" applyFill="1" applyBorder="1" applyAlignment="1">
      <alignment horizontal="center"/>
    </xf>
    <xf numFmtId="0" fontId="36" fillId="0" borderId="76" xfId="0" applyFont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34" xfId="0" applyFill="1" applyBorder="1" applyAlignment="1">
      <alignment horizontal="center"/>
    </xf>
    <xf numFmtId="0" fontId="37" fillId="0" borderId="76" xfId="0" applyFont="1" applyBorder="1" applyAlignment="1">
      <alignment horizontal="center"/>
    </xf>
    <xf numFmtId="0" fontId="37" fillId="0" borderId="34" xfId="0" applyFont="1" applyBorder="1" applyAlignment="1">
      <alignment horizontal="center"/>
    </xf>
    <xf numFmtId="0" fontId="36" fillId="0" borderId="67" xfId="0" applyFont="1" applyBorder="1" applyAlignment="1">
      <alignment horizontal="center"/>
    </xf>
    <xf numFmtId="0" fontId="36" fillId="20" borderId="72" xfId="0" applyFont="1" applyFill="1" applyBorder="1" applyAlignment="1">
      <alignment horizontal="center"/>
    </xf>
    <xf numFmtId="0" fontId="36" fillId="20" borderId="73" xfId="0" applyFont="1" applyFill="1" applyBorder="1" applyAlignment="1">
      <alignment horizontal="center"/>
    </xf>
    <xf numFmtId="0" fontId="36" fillId="19" borderId="66" xfId="0" applyFont="1" applyFill="1" applyBorder="1" applyAlignment="1">
      <alignment horizontal="center"/>
    </xf>
    <xf numFmtId="0" fontId="36" fillId="19" borderId="38" xfId="0" applyFont="1" applyFill="1" applyBorder="1" applyAlignment="1">
      <alignment horizontal="center"/>
    </xf>
    <xf numFmtId="0" fontId="35" fillId="13" borderId="36" xfId="0" applyFont="1" applyFill="1" applyBorder="1" applyAlignment="1">
      <alignment horizontal="center" vertical="center"/>
    </xf>
    <xf numFmtId="0" fontId="35" fillId="13" borderId="39" xfId="0" applyFont="1" applyFill="1" applyBorder="1" applyAlignment="1">
      <alignment horizontal="center" vertical="center"/>
    </xf>
    <xf numFmtId="0" fontId="35" fillId="18" borderId="68" xfId="0" applyFont="1" applyFill="1" applyBorder="1" applyAlignment="1">
      <alignment horizontal="center" vertical="top"/>
    </xf>
    <xf numFmtId="0" fontId="36" fillId="20" borderId="43" xfId="0" applyFont="1" applyFill="1" applyBorder="1" applyAlignment="1">
      <alignment horizontal="center"/>
    </xf>
    <xf numFmtId="0" fontId="36" fillId="0" borderId="72" xfId="0" applyFont="1" applyBorder="1" applyAlignment="1">
      <alignment horizontal="center"/>
    </xf>
    <xf numFmtId="0" fontId="36" fillId="0" borderId="75" xfId="0" applyFont="1" applyBorder="1" applyAlignment="1">
      <alignment horizontal="center"/>
    </xf>
    <xf numFmtId="0" fontId="36" fillId="19" borderId="37" xfId="0" applyFont="1" applyFill="1" applyBorder="1" applyAlignment="1">
      <alignment horizontal="center"/>
    </xf>
    <xf numFmtId="0" fontId="36" fillId="0" borderId="66" xfId="0" applyFont="1" applyBorder="1" applyAlignment="1">
      <alignment horizontal="center"/>
    </xf>
    <xf numFmtId="0" fontId="36" fillId="28" borderId="74" xfId="0" applyFont="1" applyFill="1" applyBorder="1" applyAlignment="1">
      <alignment horizontal="center"/>
    </xf>
    <xf numFmtId="0" fontId="36" fillId="28" borderId="43" xfId="0" applyFont="1" applyFill="1" applyBorder="1" applyAlignment="1">
      <alignment horizontal="center"/>
    </xf>
    <xf numFmtId="0" fontId="38" fillId="25" borderId="2" xfId="0" applyFont="1" applyFill="1" applyBorder="1" applyAlignment="1">
      <alignment horizontal="center"/>
    </xf>
    <xf numFmtId="0" fontId="38" fillId="25" borderId="38" xfId="0" applyFont="1" applyFill="1" applyBorder="1" applyAlignment="1">
      <alignment horizontal="center"/>
    </xf>
    <xf numFmtId="0" fontId="38" fillId="25" borderId="67" xfId="0" applyFont="1" applyFill="1" applyBorder="1" applyAlignment="1">
      <alignment horizontal="center"/>
    </xf>
    <xf numFmtId="0" fontId="4" fillId="0" borderId="48" xfId="0" applyFont="1" applyFill="1" applyBorder="1" applyAlignment="1">
      <alignment horizontal="center" vertical="center" wrapText="1"/>
    </xf>
    <xf numFmtId="0" fontId="4" fillId="0" borderId="47" xfId="0" applyFont="1" applyFill="1" applyBorder="1" applyAlignment="1">
      <alignment horizontal="center" vertical="center" wrapText="1"/>
    </xf>
  </cellXfs>
  <cellStyles count="9">
    <cellStyle name="Comma 2" xfId="1" xr:uid="{00000000-0005-0000-0000-000000000000}"/>
    <cellStyle name="Comma 3" xfId="8" xr:uid="{2261677D-4A45-486C-A4BD-74E836FEA603}"/>
    <cellStyle name="Currency 2" xfId="2" xr:uid="{00000000-0005-0000-0000-000001000000}"/>
    <cellStyle name="Normal" xfId="0" builtinId="0"/>
    <cellStyle name="Normal 2" xfId="3" xr:uid="{00000000-0005-0000-0000-000003000000}"/>
    <cellStyle name="Normal 3" xfId="7" xr:uid="{0ED45E35-F894-436F-A8C0-28E5A14B6098}"/>
    <cellStyle name="Normal 3 2" xfId="6" xr:uid="{63F98EDC-1322-4651-9AA2-FAACE4EA8124}"/>
    <cellStyle name="Normal 4" xfId="5" xr:uid="{BFB9F75A-B24F-4F78-B63F-97FFD8FD4FC5}"/>
    <cellStyle name="Percent" xfId="4" builtinId="5"/>
  </cellStyles>
  <dxfs count="0"/>
  <tableStyles count="0" defaultTableStyle="TableStyleMedium2" defaultPivotStyle="PivotStyleLight16"/>
  <colors>
    <mruColors>
      <color rgb="FFDEBDFF"/>
      <color rgb="FFCC00FF"/>
      <color rgb="FFFF8FC7"/>
      <color rgb="FFFF3399"/>
      <color rgb="FFAFEAFF"/>
      <color rgb="FFFFFF99"/>
      <color rgb="FFFFFFCC"/>
      <color rgb="FFFFFF66"/>
      <color rgb="FFFFA3FF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Total!$B$1</c:f>
          <c:strCache>
            <c:ptCount val="1"/>
            <c:pt idx="0">
              <c:v>โครงการ ENH-PTTEP-iCMS 2026 Enhancement</c:v>
            </c:pt>
          </c:strCache>
        </c:strRef>
      </c:tx>
      <c:layout>
        <c:manualLayout>
          <c:xMode val="edge"/>
          <c:yMode val="edge"/>
          <c:x val="0.19617668939754054"/>
          <c:y val="3.50268950648814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B4E-422E-B04F-10A357B1BDE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B4E-422E-B04F-10A357B1BDE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B4E-422E-B04F-10A357B1BDE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591-4910-A387-4E10D968D02D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B4E-422E-B04F-10A357B1BDED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Total!$B$3:$B$6</c:f>
              <c:strCache>
                <c:ptCount val="4"/>
                <c:pt idx="0">
                  <c:v>Digital Rev (BD Phase)</c:v>
                </c:pt>
                <c:pt idx="1">
                  <c:v>Digital Rev (Development Phase)</c:v>
                </c:pt>
                <c:pt idx="2">
                  <c:v>ค่าเบี้ยเลี้ยง/ค่าเดินทาง</c:v>
                </c:pt>
                <c:pt idx="3">
                  <c:v>Vendor Cost + 10 %</c:v>
                </c:pt>
              </c:strCache>
            </c:strRef>
          </c:cat>
          <c:val>
            <c:numRef>
              <c:f>Total!$C$3:$C$6</c:f>
              <c:numCache>
                <c:formatCode>_-[$฿-41E]* #,##0.00_-;\-[$฿-41E]* #,##0.00_-;_-[$฿-41E]* "-"??_-;_-@_-</c:formatCode>
                <c:ptCount val="4"/>
                <c:pt idx="0">
                  <c:v>21000</c:v>
                </c:pt>
                <c:pt idx="1">
                  <c:v>1159000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B4E-422E-B04F-10A357B1BDED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631824</xdr:colOff>
      <xdr:row>0</xdr:row>
      <xdr:rowOff>165326</xdr:rowOff>
    </xdr:from>
    <xdr:to>
      <xdr:col>12</xdr:col>
      <xdr:colOff>13607</xdr:colOff>
      <xdr:row>22</xdr:row>
      <xdr:rowOff>68036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52219</xdr:colOff>
      <xdr:row>12</xdr:row>
      <xdr:rowOff>67235</xdr:rowOff>
    </xdr:from>
    <xdr:to>
      <xdr:col>11</xdr:col>
      <xdr:colOff>33736</xdr:colOff>
      <xdr:row>13</xdr:row>
      <xdr:rowOff>33399</xdr:rowOff>
    </xdr:to>
    <xdr:sp macro="" textlink="">
      <xdr:nvSpPr>
        <xdr:cNvPr id="4" name="5-Point Star 11">
          <a:extLst>
            <a:ext uri="{FF2B5EF4-FFF2-40B4-BE49-F238E27FC236}">
              <a16:creationId xmlns:a16="http://schemas.microsoft.com/office/drawing/2014/main" id="{2835C948-E679-4563-8E88-D3C38325DA59}"/>
            </a:ext>
          </a:extLst>
        </xdr:cNvPr>
        <xdr:cNvSpPr/>
      </xdr:nvSpPr>
      <xdr:spPr>
        <a:xfrm>
          <a:off x="4090147" y="2754742"/>
          <a:ext cx="289566" cy="212693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52219</xdr:colOff>
      <xdr:row>12</xdr:row>
      <xdr:rowOff>67235</xdr:rowOff>
    </xdr:from>
    <xdr:to>
      <xdr:col>11</xdr:col>
      <xdr:colOff>33736</xdr:colOff>
      <xdr:row>13</xdr:row>
      <xdr:rowOff>33399</xdr:rowOff>
    </xdr:to>
    <xdr:sp macro="" textlink="">
      <xdr:nvSpPr>
        <xdr:cNvPr id="6" name="5-Point Star 11">
          <a:extLst>
            <a:ext uri="{FF2B5EF4-FFF2-40B4-BE49-F238E27FC236}">
              <a16:creationId xmlns:a16="http://schemas.microsoft.com/office/drawing/2014/main" id="{EC80AB03-C173-450D-84F0-A7FB8F19450E}"/>
            </a:ext>
          </a:extLst>
        </xdr:cNvPr>
        <xdr:cNvSpPr/>
      </xdr:nvSpPr>
      <xdr:spPr>
        <a:xfrm>
          <a:off x="4090147" y="2754742"/>
          <a:ext cx="289566" cy="212693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47</xdr:col>
      <xdr:colOff>21623</xdr:colOff>
      <xdr:row>23</xdr:row>
      <xdr:rowOff>63500</xdr:rowOff>
    </xdr:from>
    <xdr:to>
      <xdr:col>48</xdr:col>
      <xdr:colOff>146686</xdr:colOff>
      <xdr:row>24</xdr:row>
      <xdr:rowOff>31568</xdr:rowOff>
    </xdr:to>
    <xdr:sp macro="" textlink="">
      <xdr:nvSpPr>
        <xdr:cNvPr id="17" name="5-Point Star 11">
          <a:extLst>
            <a:ext uri="{FF2B5EF4-FFF2-40B4-BE49-F238E27FC236}">
              <a16:creationId xmlns:a16="http://schemas.microsoft.com/office/drawing/2014/main" id="{CCE247D2-BF69-453C-BF94-4AE833376775}"/>
            </a:ext>
          </a:extLst>
        </xdr:cNvPr>
        <xdr:cNvSpPr/>
      </xdr:nvSpPr>
      <xdr:spPr>
        <a:xfrm>
          <a:off x="10017270" y="11381441"/>
          <a:ext cx="281945" cy="214598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41</xdr:col>
      <xdr:colOff>42129</xdr:colOff>
      <xdr:row>21</xdr:row>
      <xdr:rowOff>31788</xdr:rowOff>
    </xdr:from>
    <xdr:to>
      <xdr:col>43</xdr:col>
      <xdr:colOff>10310</xdr:colOff>
      <xdr:row>21</xdr:row>
      <xdr:rowOff>240671</xdr:rowOff>
    </xdr:to>
    <xdr:sp macro="" textlink="">
      <xdr:nvSpPr>
        <xdr:cNvPr id="2" name="5-Point Star 11">
          <a:extLst>
            <a:ext uri="{FF2B5EF4-FFF2-40B4-BE49-F238E27FC236}">
              <a16:creationId xmlns:a16="http://schemas.microsoft.com/office/drawing/2014/main" id="{AB15A1C9-316C-49F6-B8B2-2D3B152E5BB1}"/>
            </a:ext>
          </a:extLst>
        </xdr:cNvPr>
        <xdr:cNvSpPr/>
      </xdr:nvSpPr>
      <xdr:spPr>
        <a:xfrm>
          <a:off x="8921334" y="5154333"/>
          <a:ext cx="272981" cy="214598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9</xdr:col>
      <xdr:colOff>52219</xdr:colOff>
      <xdr:row>11</xdr:row>
      <xdr:rowOff>67235</xdr:rowOff>
    </xdr:from>
    <xdr:to>
      <xdr:col>11</xdr:col>
      <xdr:colOff>33736</xdr:colOff>
      <xdr:row>12</xdr:row>
      <xdr:rowOff>33399</xdr:rowOff>
    </xdr:to>
    <xdr:sp macro="" textlink="">
      <xdr:nvSpPr>
        <xdr:cNvPr id="3" name="5-Point Star 11">
          <a:extLst>
            <a:ext uri="{FF2B5EF4-FFF2-40B4-BE49-F238E27FC236}">
              <a16:creationId xmlns:a16="http://schemas.microsoft.com/office/drawing/2014/main" id="{1994C06E-98F2-45F9-A90D-0DADFB1379F8}"/>
            </a:ext>
          </a:extLst>
        </xdr:cNvPr>
        <xdr:cNvSpPr/>
      </xdr:nvSpPr>
      <xdr:spPr>
        <a:xfrm>
          <a:off x="4056529" y="2637080"/>
          <a:ext cx="280602" cy="213814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59</xdr:col>
      <xdr:colOff>17812</xdr:colOff>
      <xdr:row>41</xdr:row>
      <xdr:rowOff>41088</xdr:rowOff>
    </xdr:from>
    <xdr:to>
      <xdr:col>60</xdr:col>
      <xdr:colOff>144780</xdr:colOff>
      <xdr:row>42</xdr:row>
      <xdr:rowOff>11062</xdr:rowOff>
    </xdr:to>
    <xdr:sp macro="" textlink="">
      <xdr:nvSpPr>
        <xdr:cNvPr id="28" name="5-Point Star 11">
          <a:extLst>
            <a:ext uri="{FF2B5EF4-FFF2-40B4-BE49-F238E27FC236}">
              <a16:creationId xmlns:a16="http://schemas.microsoft.com/office/drawing/2014/main" id="{4ED00597-8CFD-4BB7-8B54-49FB68D24BE7}"/>
            </a:ext>
          </a:extLst>
        </xdr:cNvPr>
        <xdr:cNvSpPr/>
      </xdr:nvSpPr>
      <xdr:spPr>
        <a:xfrm>
          <a:off x="11896047" y="10372912"/>
          <a:ext cx="283851" cy="216503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52219</xdr:colOff>
      <xdr:row>30</xdr:row>
      <xdr:rowOff>67235</xdr:rowOff>
    </xdr:from>
    <xdr:to>
      <xdr:col>23</xdr:col>
      <xdr:colOff>33736</xdr:colOff>
      <xdr:row>31</xdr:row>
      <xdr:rowOff>33399</xdr:rowOff>
    </xdr:to>
    <xdr:sp macro="" textlink="">
      <xdr:nvSpPr>
        <xdr:cNvPr id="29" name="5-Point Star 11">
          <a:extLst>
            <a:ext uri="{FF2B5EF4-FFF2-40B4-BE49-F238E27FC236}">
              <a16:creationId xmlns:a16="http://schemas.microsoft.com/office/drawing/2014/main" id="{6192447E-D383-4149-8E3D-D7670E327DFA}"/>
            </a:ext>
          </a:extLst>
        </xdr:cNvPr>
        <xdr:cNvSpPr/>
      </xdr:nvSpPr>
      <xdr:spPr>
        <a:xfrm>
          <a:off x="5345205" y="7662918"/>
          <a:ext cx="289567" cy="212694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  <xdr:twoCellAnchor>
    <xdr:from>
      <xdr:col>21</xdr:col>
      <xdr:colOff>52219</xdr:colOff>
      <xdr:row>30</xdr:row>
      <xdr:rowOff>67235</xdr:rowOff>
    </xdr:from>
    <xdr:to>
      <xdr:col>23</xdr:col>
      <xdr:colOff>33736</xdr:colOff>
      <xdr:row>31</xdr:row>
      <xdr:rowOff>33399</xdr:rowOff>
    </xdr:to>
    <xdr:sp macro="" textlink="">
      <xdr:nvSpPr>
        <xdr:cNvPr id="30" name="5-Point Star 11">
          <a:extLst>
            <a:ext uri="{FF2B5EF4-FFF2-40B4-BE49-F238E27FC236}">
              <a16:creationId xmlns:a16="http://schemas.microsoft.com/office/drawing/2014/main" id="{0AF70CC0-FD15-4117-AF25-1C647E48236F}"/>
            </a:ext>
          </a:extLst>
        </xdr:cNvPr>
        <xdr:cNvSpPr/>
      </xdr:nvSpPr>
      <xdr:spPr>
        <a:xfrm>
          <a:off x="5345205" y="7662918"/>
          <a:ext cx="289567" cy="212694"/>
        </a:xfrm>
        <a:prstGeom prst="star5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neenuch.w.PTTICT/Desktop/TMS_Lube_Resource_and_Cost_Template_V0_0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MS Lube Bulk &amp; Surprise Check"/>
      <sheetName val="TMS Lulk Bulk&amp;Surprise Check(2)"/>
      <sheetName val="Template for Other service (2)"/>
      <sheetName val="Template for Other service"/>
      <sheetName val="999_MSRP"/>
      <sheetName val="999_Loaded Rate 2016-Q1"/>
    </sheetNames>
    <sheetDataSet>
      <sheetData sheetId="0"/>
      <sheetData sheetId="1"/>
      <sheetData sheetId="2"/>
      <sheetData sheetId="3"/>
      <sheetData sheetId="4">
        <row r="3">
          <cell r="A3" t="str">
            <v>VP</v>
          </cell>
        </row>
        <row r="4">
          <cell r="A4" t="str">
            <v>Sr.Manager</v>
          </cell>
        </row>
        <row r="5">
          <cell r="A5" t="str">
            <v>Manager</v>
          </cell>
        </row>
        <row r="6">
          <cell r="A6" t="str">
            <v>Sr.Officer</v>
          </cell>
        </row>
        <row r="7">
          <cell r="A7" t="str">
            <v>Officer</v>
          </cell>
        </row>
        <row r="8">
          <cell r="A8" t="str">
            <v>Associate Officer/Programmer</v>
          </cell>
        </row>
        <row r="9">
          <cell r="A9" t="str">
            <v>Zyen ABAPER</v>
          </cell>
        </row>
        <row r="10">
          <cell r="A10" t="str">
            <v>Zyen ABAPER (NM)</v>
          </cell>
        </row>
      </sheetData>
      <sheetData sheetId="5">
        <row r="2">
          <cell r="F2" t="str">
            <v>adisak.n</v>
          </cell>
        </row>
        <row r="3">
          <cell r="F3" t="str">
            <v>akachai.y</v>
          </cell>
        </row>
        <row r="4">
          <cell r="F4" t="str">
            <v>akarachai.a</v>
          </cell>
        </row>
        <row r="5">
          <cell r="F5" t="str">
            <v>akkaphon.n</v>
          </cell>
        </row>
        <row r="6">
          <cell r="F6" t="str">
            <v>aleena.t</v>
          </cell>
        </row>
        <row r="7">
          <cell r="F7" t="str">
            <v>amornsak.p</v>
          </cell>
        </row>
        <row r="8">
          <cell r="F8" t="str">
            <v>anake.p</v>
          </cell>
        </row>
        <row r="9">
          <cell r="F9" t="str">
            <v>anawin.e</v>
          </cell>
        </row>
        <row r="10">
          <cell r="F10" t="str">
            <v>annop.r</v>
          </cell>
        </row>
        <row r="11">
          <cell r="F11" t="str">
            <v>anocha.u</v>
          </cell>
        </row>
        <row r="12">
          <cell r="F12" t="str">
            <v>anucha.c</v>
          </cell>
        </row>
        <row r="13">
          <cell r="F13" t="str">
            <v>anuchit.c</v>
          </cell>
        </row>
        <row r="14">
          <cell r="F14" t="str">
            <v>anut.c</v>
          </cell>
        </row>
        <row r="15">
          <cell r="F15" t="str">
            <v>aphichat.n</v>
          </cell>
        </row>
        <row r="16">
          <cell r="F16" t="str">
            <v>apichaluck.c</v>
          </cell>
        </row>
        <row r="17">
          <cell r="F17" t="str">
            <v>apichat.m</v>
          </cell>
        </row>
        <row r="18">
          <cell r="F18" t="str">
            <v>apinun.b</v>
          </cell>
        </row>
        <row r="19">
          <cell r="F19" t="str">
            <v>apiwat.b</v>
          </cell>
        </row>
        <row r="20">
          <cell r="F20" t="str">
            <v>arisa.p</v>
          </cell>
        </row>
        <row r="21">
          <cell r="F21" t="str">
            <v>ariya.k</v>
          </cell>
        </row>
        <row r="22">
          <cell r="F22" t="str">
            <v>arunrote.k</v>
          </cell>
        </row>
        <row r="23">
          <cell r="F23" t="str">
            <v>arunya.c</v>
          </cell>
        </row>
        <row r="24">
          <cell r="F24" t="str">
            <v>atawee.y</v>
          </cell>
        </row>
        <row r="25">
          <cell r="F25" t="str">
            <v>athita.a</v>
          </cell>
        </row>
        <row r="26">
          <cell r="F26" t="str">
            <v>attayoot.p</v>
          </cell>
        </row>
        <row r="27">
          <cell r="F27" t="str">
            <v>benjaluk.y</v>
          </cell>
        </row>
        <row r="28">
          <cell r="F28" t="str">
            <v>benjo.j</v>
          </cell>
        </row>
        <row r="29">
          <cell r="F29" t="str">
            <v>benyapa.a</v>
          </cell>
        </row>
        <row r="30">
          <cell r="F30" t="str">
            <v>bongkoch.r</v>
          </cell>
        </row>
        <row r="31">
          <cell r="F31" t="str">
            <v>boonrueng.t</v>
          </cell>
        </row>
        <row r="32">
          <cell r="F32" t="str">
            <v>boonsomsak.p</v>
          </cell>
        </row>
        <row r="33">
          <cell r="F33" t="str">
            <v>boonsong.l</v>
          </cell>
        </row>
        <row r="34">
          <cell r="F34" t="str">
            <v>boonyapat.p</v>
          </cell>
        </row>
        <row r="35">
          <cell r="F35" t="str">
            <v>borvonwan.p</v>
          </cell>
        </row>
        <row r="36">
          <cell r="F36" t="str">
            <v>buchaya.r</v>
          </cell>
        </row>
        <row r="37">
          <cell r="F37" t="str">
            <v>burin.y</v>
          </cell>
        </row>
        <row r="38">
          <cell r="F38" t="str">
            <v>busakorn.i</v>
          </cell>
        </row>
        <row r="39">
          <cell r="F39" t="str">
            <v>chaiwut.c</v>
          </cell>
        </row>
        <row r="40">
          <cell r="F40" t="str">
            <v>chaiyapol.w</v>
          </cell>
        </row>
        <row r="41">
          <cell r="F41" t="str">
            <v>chaiyapurk.j</v>
          </cell>
        </row>
        <row r="42">
          <cell r="F42" t="str">
            <v>chanatip.s</v>
          </cell>
        </row>
        <row r="43">
          <cell r="F43" t="str">
            <v>chanin.m</v>
          </cell>
        </row>
        <row r="44">
          <cell r="F44" t="str">
            <v>channarongwet.s</v>
          </cell>
        </row>
        <row r="45">
          <cell r="F45" t="str">
            <v>chanprapa.t</v>
          </cell>
        </row>
        <row r="46">
          <cell r="F46" t="str">
            <v>charoen.n</v>
          </cell>
        </row>
        <row r="47">
          <cell r="F47" t="str">
            <v>chatchai.w</v>
          </cell>
        </row>
        <row r="48">
          <cell r="F48" t="str">
            <v>chatchanun.k</v>
          </cell>
        </row>
        <row r="49">
          <cell r="F49" t="str">
            <v>chatchapon.p</v>
          </cell>
        </row>
        <row r="50">
          <cell r="F50" t="str">
            <v>chatlada.t</v>
          </cell>
        </row>
        <row r="51">
          <cell r="F51" t="str">
            <v>chattrabhorn.m</v>
          </cell>
        </row>
        <row r="52">
          <cell r="F52" t="str">
            <v>chawalita.l</v>
          </cell>
        </row>
        <row r="53">
          <cell r="F53" t="str">
            <v>chawanat.c</v>
          </cell>
        </row>
        <row r="54">
          <cell r="F54" t="str">
            <v>chayamon.d</v>
          </cell>
        </row>
        <row r="55">
          <cell r="F55" t="str">
            <v>chedsada.r</v>
          </cell>
        </row>
        <row r="56">
          <cell r="F56" t="str">
            <v>chintana.t</v>
          </cell>
        </row>
        <row r="57">
          <cell r="F57" t="str">
            <v>chokchai.p</v>
          </cell>
        </row>
        <row r="58">
          <cell r="F58" t="str">
            <v>cholticha.t</v>
          </cell>
        </row>
        <row r="59">
          <cell r="F59" t="str">
            <v>chompoonuch.p</v>
          </cell>
        </row>
        <row r="60">
          <cell r="F60" t="str">
            <v>chompunuch.r</v>
          </cell>
        </row>
        <row r="61">
          <cell r="F61" t="str">
            <v>choochai.p</v>
          </cell>
        </row>
        <row r="62">
          <cell r="F62" t="str">
            <v>chotiros.k</v>
          </cell>
        </row>
        <row r="63">
          <cell r="F63" t="str">
            <v>chutinathorn.t</v>
          </cell>
        </row>
        <row r="64">
          <cell r="F64" t="str">
            <v>deena.u</v>
          </cell>
        </row>
        <row r="65">
          <cell r="F65" t="str">
            <v>denchart.p</v>
          </cell>
        </row>
        <row r="66">
          <cell r="F66" t="str">
            <v>duangjaichanok.d</v>
          </cell>
        </row>
        <row r="67">
          <cell r="F67" t="str">
            <v>eakarach.t</v>
          </cell>
        </row>
        <row r="68">
          <cell r="F68" t="str">
            <v>eakchai.j</v>
          </cell>
        </row>
        <row r="69">
          <cell r="F69" t="str">
            <v>eakong.a</v>
          </cell>
        </row>
        <row r="70">
          <cell r="F70" t="str">
            <v>ekaraj.p</v>
          </cell>
        </row>
        <row r="71">
          <cell r="F71" t="str">
            <v>ekkaluk.w</v>
          </cell>
        </row>
        <row r="72">
          <cell r="F72" t="str">
            <v>ekkapong.k</v>
          </cell>
        </row>
        <row r="73">
          <cell r="F73" t="str">
            <v>ekkarat.m</v>
          </cell>
        </row>
        <row r="74">
          <cell r="F74" t="str">
            <v>gedsarin.k</v>
          </cell>
        </row>
        <row r="75">
          <cell r="F75" t="str">
            <v>gitisak.p</v>
          </cell>
        </row>
        <row r="76">
          <cell r="F76" t="str">
            <v>haemwaan.s</v>
          </cell>
        </row>
        <row r="77">
          <cell r="F77" t="str">
            <v>isaraporn.t</v>
          </cell>
        </row>
        <row r="78">
          <cell r="F78" t="str">
            <v>issara.s</v>
          </cell>
        </row>
        <row r="79">
          <cell r="F79" t="str">
            <v>itsariya.s</v>
          </cell>
        </row>
        <row r="80">
          <cell r="F80" t="str">
            <v>ittipat.t</v>
          </cell>
        </row>
        <row r="81">
          <cell r="F81" t="str">
            <v>ittipol.p</v>
          </cell>
        </row>
        <row r="82">
          <cell r="F82" t="str">
            <v>ittipol.w</v>
          </cell>
        </row>
        <row r="83">
          <cell r="F83" t="str">
            <v>jakkrit.p</v>
          </cell>
        </row>
        <row r="84">
          <cell r="F84" t="str">
            <v>jakraphan.k</v>
          </cell>
        </row>
        <row r="85">
          <cell r="F85" t="str">
            <v>jariya.p</v>
          </cell>
        </row>
        <row r="86">
          <cell r="F86" t="str">
            <v>jaroonpong.s</v>
          </cell>
        </row>
        <row r="87">
          <cell r="F87" t="str">
            <v>jeeranat.m</v>
          </cell>
        </row>
        <row r="88">
          <cell r="F88" t="str">
            <v>jettana.m</v>
          </cell>
        </row>
        <row r="89">
          <cell r="F89" t="str">
            <v>jirapat.s</v>
          </cell>
        </row>
        <row r="90">
          <cell r="F90" t="str">
            <v>jirasak.t</v>
          </cell>
        </row>
        <row r="91">
          <cell r="F91" t="str">
            <v>jirat.t</v>
          </cell>
        </row>
        <row r="92">
          <cell r="F92" t="str">
            <v>jirawan.s</v>
          </cell>
        </row>
        <row r="93">
          <cell r="F93" t="str">
            <v>jittapol.j</v>
          </cell>
        </row>
        <row r="94">
          <cell r="F94" t="str">
            <v>jomkhwan.w</v>
          </cell>
        </row>
        <row r="95">
          <cell r="F95" t="str">
            <v>jugkrit.n</v>
          </cell>
        </row>
        <row r="96">
          <cell r="F96" t="str">
            <v>jurairat.d</v>
          </cell>
        </row>
        <row r="97">
          <cell r="F97" t="str">
            <v>jutarmart.k</v>
          </cell>
        </row>
        <row r="98">
          <cell r="F98" t="str">
            <v>kajohn.s</v>
          </cell>
        </row>
        <row r="99">
          <cell r="F99" t="str">
            <v>kamolchai.a</v>
          </cell>
        </row>
        <row r="100">
          <cell r="F100" t="str">
            <v>kamolwan.p</v>
          </cell>
        </row>
        <row r="101">
          <cell r="F101" t="str">
            <v>kamonporn.s</v>
          </cell>
        </row>
        <row r="102">
          <cell r="F102" t="str">
            <v>kanlaya.r</v>
          </cell>
        </row>
        <row r="103">
          <cell r="F103" t="str">
            <v>kanungnit.s</v>
          </cell>
        </row>
        <row r="104">
          <cell r="F104" t="str">
            <v>kanyaporn.s</v>
          </cell>
        </row>
        <row r="105">
          <cell r="F105" t="str">
            <v>kasamaporn.s</v>
          </cell>
        </row>
        <row r="106">
          <cell r="F106" t="str">
            <v>kavisara.a</v>
          </cell>
        </row>
        <row r="107">
          <cell r="F107" t="str">
            <v>kawin.s</v>
          </cell>
        </row>
        <row r="108">
          <cell r="F108" t="str">
            <v>keerati.k</v>
          </cell>
        </row>
        <row r="109">
          <cell r="F109" t="str">
            <v>keng.t</v>
          </cell>
        </row>
        <row r="110">
          <cell r="F110" t="str">
            <v>ketkaew.s</v>
          </cell>
        </row>
        <row r="111">
          <cell r="F111" t="str">
            <v>khemarath.c</v>
          </cell>
        </row>
        <row r="112">
          <cell r="F112" t="str">
            <v>khuanruthai.b</v>
          </cell>
        </row>
        <row r="113">
          <cell r="F113" t="str">
            <v>khwanhatai.s</v>
          </cell>
        </row>
        <row r="114">
          <cell r="F114" t="str">
            <v>kiattisak.b</v>
          </cell>
        </row>
        <row r="115">
          <cell r="F115" t="str">
            <v>kiattisak.c</v>
          </cell>
        </row>
        <row r="116">
          <cell r="F116" t="str">
            <v>kingkaew.h</v>
          </cell>
        </row>
        <row r="117">
          <cell r="F117" t="str">
            <v>kitipat.n</v>
          </cell>
        </row>
        <row r="118">
          <cell r="F118" t="str">
            <v>kitsanapat.v</v>
          </cell>
        </row>
        <row r="119">
          <cell r="F119" t="str">
            <v>kittiphong.k</v>
          </cell>
        </row>
        <row r="120">
          <cell r="F120" t="str">
            <v>kittisak.c</v>
          </cell>
        </row>
        <row r="121">
          <cell r="F121" t="str">
            <v>kittituch.o</v>
          </cell>
        </row>
        <row r="122">
          <cell r="F122" t="str">
            <v>komol.k</v>
          </cell>
        </row>
        <row r="123">
          <cell r="F123" t="str">
            <v>kongsak.p</v>
          </cell>
        </row>
        <row r="124">
          <cell r="F124" t="str">
            <v>koonthida.w</v>
          </cell>
        </row>
        <row r="125">
          <cell r="F125" t="str">
            <v>kornvipa.l</v>
          </cell>
        </row>
        <row r="126">
          <cell r="F126" t="str">
            <v>kosin.p</v>
          </cell>
        </row>
        <row r="127">
          <cell r="F127" t="str">
            <v>kraisorn.k</v>
          </cell>
        </row>
        <row r="128">
          <cell r="F128" t="str">
            <v>kriangsak.p</v>
          </cell>
        </row>
        <row r="129">
          <cell r="F129" t="str">
            <v>krisada.j</v>
          </cell>
        </row>
        <row r="130">
          <cell r="F130" t="str">
            <v>krissada.p</v>
          </cell>
        </row>
        <row r="131">
          <cell r="F131" t="str">
            <v>kritsada.k</v>
          </cell>
        </row>
        <row r="132">
          <cell r="F132" t="str">
            <v>krittiya.m</v>
          </cell>
        </row>
        <row r="133">
          <cell r="F133" t="str">
            <v>kuerkool.k</v>
          </cell>
        </row>
        <row r="134">
          <cell r="F134" t="str">
            <v>laddawan.r</v>
          </cell>
        </row>
        <row r="135">
          <cell r="F135" t="str">
            <v>lalida.n</v>
          </cell>
        </row>
        <row r="136">
          <cell r="F136" t="str">
            <v>lalita.r</v>
          </cell>
        </row>
        <row r="137">
          <cell r="F137" t="str">
            <v>lavitra.p</v>
          </cell>
        </row>
        <row r="138">
          <cell r="F138" t="str">
            <v>mananya.s</v>
          </cell>
        </row>
        <row r="139">
          <cell r="F139" t="str">
            <v>manasanan.c</v>
          </cell>
        </row>
        <row r="140">
          <cell r="F140" t="str">
            <v>maneenuch.w</v>
          </cell>
        </row>
        <row r="141">
          <cell r="F141" t="str">
            <v>manida.p</v>
          </cell>
        </row>
        <row r="142">
          <cell r="F142" t="str">
            <v>manimeth.p</v>
          </cell>
        </row>
        <row r="143">
          <cell r="F143" t="str">
            <v>manisa.c</v>
          </cell>
        </row>
        <row r="144">
          <cell r="F144" t="str">
            <v>manussavee.p</v>
          </cell>
        </row>
        <row r="145">
          <cell r="F145" t="str">
            <v>marasri.h</v>
          </cell>
        </row>
        <row r="146">
          <cell r="F146" t="str">
            <v>marutpong.s</v>
          </cell>
        </row>
        <row r="147">
          <cell r="F147" t="str">
            <v>millibhu.r</v>
          </cell>
        </row>
        <row r="148">
          <cell r="F148" t="str">
            <v>montakan.w</v>
          </cell>
        </row>
        <row r="149">
          <cell r="F149" t="str">
            <v>montree.s</v>
          </cell>
        </row>
        <row r="150">
          <cell r="F150" t="str">
            <v>montri.s</v>
          </cell>
        </row>
        <row r="151">
          <cell r="F151" t="str">
            <v>nalatthawan.w</v>
          </cell>
        </row>
        <row r="152">
          <cell r="F152" t="str">
            <v>nalinee.l</v>
          </cell>
        </row>
        <row r="153">
          <cell r="F153" t="str">
            <v>naovarat.l</v>
          </cell>
        </row>
        <row r="154">
          <cell r="F154" t="str">
            <v>napaluck.s</v>
          </cell>
        </row>
        <row r="155">
          <cell r="F155" t="str">
            <v>napat.t</v>
          </cell>
        </row>
        <row r="156">
          <cell r="F156" t="str">
            <v>napawan.r</v>
          </cell>
        </row>
        <row r="157">
          <cell r="F157" t="str">
            <v>napitch.t</v>
          </cell>
        </row>
        <row r="158">
          <cell r="F158" t="str">
            <v>narin.p</v>
          </cell>
        </row>
        <row r="159">
          <cell r="F159" t="str">
            <v>narinrat.n</v>
          </cell>
        </row>
        <row r="160">
          <cell r="F160" t="str">
            <v>narisara.c</v>
          </cell>
        </row>
        <row r="161">
          <cell r="F161" t="str">
            <v>narong.sr</v>
          </cell>
        </row>
        <row r="162">
          <cell r="F162" t="str">
            <v>nathacha.ta</v>
          </cell>
        </row>
        <row r="163">
          <cell r="F163" t="str">
            <v>natpol.j</v>
          </cell>
        </row>
        <row r="164">
          <cell r="F164" t="str">
            <v>nattaphon.s</v>
          </cell>
        </row>
        <row r="165">
          <cell r="F165" t="str">
            <v>nattapoom.y</v>
          </cell>
        </row>
        <row r="166">
          <cell r="F166" t="str">
            <v>nattavit.k</v>
          </cell>
        </row>
        <row r="167">
          <cell r="F167" t="str">
            <v>nattawan.t</v>
          </cell>
        </row>
        <row r="168">
          <cell r="F168" t="str">
            <v>nattawut.s</v>
          </cell>
        </row>
        <row r="169">
          <cell r="F169" t="str">
            <v>nattechint.s</v>
          </cell>
        </row>
        <row r="170">
          <cell r="F170" t="str">
            <v>natthapaak.p</v>
          </cell>
        </row>
        <row r="171">
          <cell r="F171" t="str">
            <v>navapon.w</v>
          </cell>
        </row>
        <row r="172">
          <cell r="F172" t="str">
            <v>nawapat.w</v>
          </cell>
        </row>
        <row r="173">
          <cell r="F173" t="str">
            <v>nichakorn.k</v>
          </cell>
        </row>
        <row r="174">
          <cell r="F174" t="str">
            <v>nipoon.s</v>
          </cell>
        </row>
        <row r="175">
          <cell r="F175" t="str">
            <v>niramol.r</v>
          </cell>
        </row>
        <row r="176">
          <cell r="F176" t="str">
            <v>niran.m</v>
          </cell>
        </row>
        <row r="177">
          <cell r="F177" t="str">
            <v>nirat.s</v>
          </cell>
        </row>
        <row r="178">
          <cell r="F178" t="str">
            <v>nithi.b</v>
          </cell>
        </row>
        <row r="179">
          <cell r="F179" t="str">
            <v>nivit.p</v>
          </cell>
        </row>
        <row r="180">
          <cell r="F180" t="str">
            <v>nongnoot.w</v>
          </cell>
        </row>
        <row r="181">
          <cell r="F181" t="str">
            <v>nonthachai.s</v>
          </cell>
        </row>
        <row r="182">
          <cell r="F182" t="str">
            <v>nopadol.s</v>
          </cell>
        </row>
        <row r="183">
          <cell r="F183" t="str">
            <v>noppachai.t</v>
          </cell>
        </row>
        <row r="184">
          <cell r="F184" t="str">
            <v>noppadon.p</v>
          </cell>
        </row>
        <row r="185">
          <cell r="F185" t="str">
            <v>noppong.s</v>
          </cell>
        </row>
        <row r="186">
          <cell r="F186" t="str">
            <v>nopporn.w</v>
          </cell>
        </row>
        <row r="187">
          <cell r="F187" t="str">
            <v>norapatra.s</v>
          </cell>
        </row>
        <row r="188">
          <cell r="F188" t="str">
            <v>nuthargorn.j</v>
          </cell>
        </row>
        <row r="189">
          <cell r="F189" t="str">
            <v>nuttakorn.c</v>
          </cell>
        </row>
        <row r="190">
          <cell r="F190" t="str">
            <v>nuttapon.a</v>
          </cell>
        </row>
        <row r="191">
          <cell r="F191" t="str">
            <v>nuttapong.s</v>
          </cell>
        </row>
        <row r="192">
          <cell r="F192" t="str">
            <v>nuttawan.p</v>
          </cell>
        </row>
        <row r="193">
          <cell r="F193" t="str">
            <v>onthipa.t</v>
          </cell>
        </row>
        <row r="194">
          <cell r="F194" t="str">
            <v>onuma.p</v>
          </cell>
        </row>
        <row r="195">
          <cell r="F195" t="str">
            <v>padet.t</v>
          </cell>
        </row>
        <row r="196">
          <cell r="F196" t="str">
            <v>pairat.m</v>
          </cell>
        </row>
        <row r="197">
          <cell r="F197" t="str">
            <v>paisal.s</v>
          </cell>
        </row>
        <row r="198">
          <cell r="F198" t="str">
            <v>paitoon.p</v>
          </cell>
        </row>
        <row r="199">
          <cell r="F199" t="str">
            <v>paitoon.s</v>
          </cell>
        </row>
        <row r="200">
          <cell r="F200" t="str">
            <v>pakit.k</v>
          </cell>
        </row>
        <row r="201">
          <cell r="F201" t="str">
            <v>pakornkiat.c</v>
          </cell>
        </row>
        <row r="202">
          <cell r="F202" t="str">
            <v>pakpoom.l</v>
          </cell>
        </row>
        <row r="203">
          <cell r="F203" t="str">
            <v>palangchana.s</v>
          </cell>
        </row>
        <row r="204">
          <cell r="F204" t="str">
            <v>paleerat.s</v>
          </cell>
        </row>
        <row r="205">
          <cell r="F205" t="str">
            <v>palida.p</v>
          </cell>
        </row>
        <row r="206">
          <cell r="F206" t="str">
            <v>panipak.p</v>
          </cell>
        </row>
        <row r="207">
          <cell r="F207" t="str">
            <v>panita.y</v>
          </cell>
        </row>
        <row r="208">
          <cell r="F208" t="str">
            <v>panumars.t</v>
          </cell>
        </row>
        <row r="209">
          <cell r="F209" t="str">
            <v>panupun.s</v>
          </cell>
        </row>
        <row r="210">
          <cell r="F210" t="str">
            <v>papat.j</v>
          </cell>
        </row>
        <row r="211">
          <cell r="F211" t="str">
            <v>paralee.l</v>
          </cell>
        </row>
        <row r="212">
          <cell r="F212" t="str">
            <v>parida.k</v>
          </cell>
        </row>
        <row r="213">
          <cell r="F213" t="str">
            <v>parinda.r</v>
          </cell>
        </row>
        <row r="214">
          <cell r="F214" t="str">
            <v>parnrada.p</v>
          </cell>
        </row>
        <row r="215">
          <cell r="F215" t="str">
            <v>pasuchart.s</v>
          </cell>
        </row>
        <row r="216">
          <cell r="F216" t="str">
            <v>patarawut.c</v>
          </cell>
        </row>
        <row r="217">
          <cell r="F217" t="str">
            <v>patcharee.p</v>
          </cell>
        </row>
        <row r="218">
          <cell r="F218" t="str">
            <v>patcharin.v</v>
          </cell>
        </row>
        <row r="219">
          <cell r="F219" t="str">
            <v>patcharopas.l</v>
          </cell>
        </row>
        <row r="220">
          <cell r="F220" t="str">
            <v>pathcharnee.c</v>
          </cell>
        </row>
        <row r="221">
          <cell r="F221" t="str">
            <v>pattamawadee.c</v>
          </cell>
        </row>
        <row r="222">
          <cell r="F222" t="str">
            <v>pattanachat.k</v>
          </cell>
        </row>
        <row r="223">
          <cell r="F223" t="str">
            <v>pattaraporn.t</v>
          </cell>
        </row>
        <row r="224">
          <cell r="F224" t="str">
            <v>pattharin.u</v>
          </cell>
        </row>
        <row r="225">
          <cell r="F225" t="str">
            <v>paveena.p</v>
          </cell>
        </row>
        <row r="226">
          <cell r="F226" t="str">
            <v>pawida.s</v>
          </cell>
        </row>
        <row r="227">
          <cell r="F227" t="str">
            <v>pawinee.k</v>
          </cell>
        </row>
        <row r="228">
          <cell r="F228" t="str">
            <v>pawitra.n</v>
          </cell>
        </row>
        <row r="229">
          <cell r="F229" t="str">
            <v>perapong.s</v>
          </cell>
        </row>
        <row r="230">
          <cell r="F230" t="str">
            <v>permporn.h</v>
          </cell>
        </row>
        <row r="231">
          <cell r="F231" t="str">
            <v>phaiphan.t</v>
          </cell>
        </row>
        <row r="232">
          <cell r="F232" t="str">
            <v>phairuch.c</v>
          </cell>
        </row>
        <row r="233">
          <cell r="F233" t="str">
            <v>phamorn.v</v>
          </cell>
        </row>
        <row r="234">
          <cell r="F234" t="str">
            <v>pharkphoom.c</v>
          </cell>
        </row>
        <row r="235">
          <cell r="F235" t="str">
            <v>phatarapa.b</v>
          </cell>
        </row>
        <row r="236">
          <cell r="F236" t="str">
            <v>phattrawat.p</v>
          </cell>
        </row>
        <row r="237">
          <cell r="F237" t="str">
            <v>phongrawee.t</v>
          </cell>
        </row>
        <row r="238">
          <cell r="F238" t="str">
            <v>phonphan.c</v>
          </cell>
        </row>
        <row r="239">
          <cell r="F239" t="str">
            <v>pichet.s</v>
          </cell>
        </row>
        <row r="240">
          <cell r="F240" t="str">
            <v>pilaiwan.p</v>
          </cell>
        </row>
        <row r="241">
          <cell r="F241" t="str">
            <v>pimjai.d</v>
          </cell>
        </row>
        <row r="242">
          <cell r="F242" t="str">
            <v>pinanong.j</v>
          </cell>
        </row>
        <row r="243">
          <cell r="F243" t="str">
            <v>pinit.r</v>
          </cell>
        </row>
        <row r="244">
          <cell r="F244" t="str">
            <v>piroj.s</v>
          </cell>
        </row>
        <row r="245">
          <cell r="F245" t="str">
            <v>pitak.k</v>
          </cell>
        </row>
        <row r="246">
          <cell r="F246" t="str">
            <v>pitsamorn.i</v>
          </cell>
        </row>
        <row r="247">
          <cell r="F247" t="str">
            <v>piyadara.r</v>
          </cell>
        </row>
        <row r="248">
          <cell r="F248" t="str">
            <v>pol.c</v>
          </cell>
        </row>
        <row r="249">
          <cell r="F249" t="str">
            <v>polchet.a</v>
          </cell>
        </row>
        <row r="250">
          <cell r="F250" t="str">
            <v>pongpat.t</v>
          </cell>
        </row>
        <row r="251">
          <cell r="F251" t="str">
            <v>pongpisut.n</v>
          </cell>
        </row>
        <row r="252">
          <cell r="F252" t="str">
            <v>pongsakorn.k</v>
          </cell>
        </row>
        <row r="253">
          <cell r="F253" t="str">
            <v>pongsaporn.n</v>
          </cell>
        </row>
        <row r="254">
          <cell r="F254" t="str">
            <v>pongsiri.n</v>
          </cell>
        </row>
        <row r="255">
          <cell r="F255" t="str">
            <v>poonpitsuda.a</v>
          </cell>
        </row>
        <row r="256">
          <cell r="F256" t="str">
            <v>pornchai.k</v>
          </cell>
        </row>
        <row r="257">
          <cell r="F257" t="str">
            <v>pornchai.p</v>
          </cell>
        </row>
        <row r="258">
          <cell r="F258" t="str">
            <v>pornchai.t</v>
          </cell>
        </row>
        <row r="259">
          <cell r="F259" t="str">
            <v>pornpimon.k</v>
          </cell>
        </row>
        <row r="260">
          <cell r="F260" t="str">
            <v>pornrudee.j</v>
          </cell>
        </row>
        <row r="261">
          <cell r="F261" t="str">
            <v>porntip.s</v>
          </cell>
        </row>
        <row r="262">
          <cell r="F262" t="str">
            <v>porpailin.p</v>
          </cell>
        </row>
        <row r="263">
          <cell r="F263" t="str">
            <v>prachaya.p</v>
          </cell>
        </row>
        <row r="264">
          <cell r="F264" t="str">
            <v>praewpailin.r</v>
          </cell>
        </row>
        <row r="265">
          <cell r="F265" t="str">
            <v>praewpan.k</v>
          </cell>
        </row>
        <row r="266">
          <cell r="F266" t="str">
            <v>praewpran.j</v>
          </cell>
        </row>
        <row r="267">
          <cell r="F267" t="str">
            <v>prajuab.v</v>
          </cell>
        </row>
        <row r="268">
          <cell r="F268" t="str">
            <v>pramote.w</v>
          </cell>
        </row>
        <row r="269">
          <cell r="F269" t="str">
            <v>prapas.b</v>
          </cell>
        </row>
        <row r="270">
          <cell r="F270" t="str">
            <v>prapon.k</v>
          </cell>
        </row>
        <row r="271">
          <cell r="F271" t="str">
            <v>prasong.lu</v>
          </cell>
        </row>
        <row r="272">
          <cell r="F272" t="str">
            <v>prateep.w</v>
          </cell>
        </row>
        <row r="273">
          <cell r="F273" t="str">
            <v>prichaya.c</v>
          </cell>
        </row>
        <row r="274">
          <cell r="F274" t="str">
            <v>prissana.p</v>
          </cell>
        </row>
        <row r="275">
          <cell r="F275" t="str">
            <v>punnit.m</v>
          </cell>
        </row>
        <row r="276">
          <cell r="F276" t="str">
            <v>punyanan.p</v>
          </cell>
        </row>
        <row r="277">
          <cell r="F277" t="str">
            <v>puttipong.s</v>
          </cell>
        </row>
        <row r="278">
          <cell r="F278" t="str">
            <v>rachin.i</v>
          </cell>
        </row>
        <row r="279">
          <cell r="F279" t="str">
            <v>rangrath.k</v>
          </cell>
        </row>
        <row r="280">
          <cell r="F280" t="str">
            <v>ratchadaporn.y</v>
          </cell>
        </row>
        <row r="281">
          <cell r="F281" t="str">
            <v>ratchanee.l</v>
          </cell>
        </row>
        <row r="282">
          <cell r="F282" t="str">
            <v>ratchaneekorn.s</v>
          </cell>
        </row>
        <row r="283">
          <cell r="F283" t="str">
            <v>ratchaneekorn.v</v>
          </cell>
        </row>
        <row r="284">
          <cell r="F284" t="str">
            <v>ratchatawan.w</v>
          </cell>
        </row>
        <row r="285">
          <cell r="F285" t="str">
            <v>ravivat.d</v>
          </cell>
        </row>
        <row r="286">
          <cell r="F286" t="str">
            <v>rerai.n</v>
          </cell>
        </row>
        <row r="287">
          <cell r="F287" t="str">
            <v>rerngwutt.l</v>
          </cell>
        </row>
        <row r="288">
          <cell r="F288" t="str">
            <v>rewat.p</v>
          </cell>
        </row>
        <row r="289">
          <cell r="F289" t="str">
            <v>rittirong.w</v>
          </cell>
        </row>
        <row r="290">
          <cell r="F290" t="str">
            <v>roongkiat.k</v>
          </cell>
        </row>
        <row r="291">
          <cell r="F291" t="str">
            <v>rosarin.t</v>
          </cell>
        </row>
        <row r="292">
          <cell r="F292" t="str">
            <v>rujiras.t</v>
          </cell>
        </row>
        <row r="293">
          <cell r="F293" t="str">
            <v>rujirawat.a</v>
          </cell>
        </row>
        <row r="294">
          <cell r="F294" t="str">
            <v>rungsima.r</v>
          </cell>
        </row>
        <row r="295">
          <cell r="F295" t="str">
            <v>ruttanachai.a</v>
          </cell>
        </row>
        <row r="296">
          <cell r="F296" t="str">
            <v>sakol.k</v>
          </cell>
        </row>
        <row r="297">
          <cell r="F297" t="str">
            <v>saktip.t</v>
          </cell>
        </row>
        <row r="298">
          <cell r="F298" t="str">
            <v>samila.p</v>
          </cell>
        </row>
        <row r="299">
          <cell r="F299" t="str">
            <v>sangtip.c</v>
          </cell>
        </row>
        <row r="300">
          <cell r="F300" t="str">
            <v>sanya.k</v>
          </cell>
        </row>
        <row r="301">
          <cell r="F301" t="str">
            <v>saowanee.c</v>
          </cell>
        </row>
        <row r="302">
          <cell r="F302" t="str">
            <v>saran.j</v>
          </cell>
        </row>
        <row r="303">
          <cell r="F303" t="str">
            <v>saran.y</v>
          </cell>
        </row>
        <row r="304">
          <cell r="F304" t="str">
            <v>sarayut.t</v>
          </cell>
        </row>
        <row r="305">
          <cell r="F305" t="str">
            <v>sasi.r</v>
          </cell>
        </row>
        <row r="306">
          <cell r="F306" t="str">
            <v>sasikarn.c</v>
          </cell>
        </row>
        <row r="307">
          <cell r="F307" t="str">
            <v>sasitha.k</v>
          </cell>
        </row>
        <row r="308">
          <cell r="F308" t="str">
            <v>sayamon.v</v>
          </cell>
        </row>
        <row r="309">
          <cell r="F309" t="str">
            <v>sayumporn.r</v>
          </cell>
        </row>
        <row r="310">
          <cell r="F310" t="str">
            <v>seree.c</v>
          </cell>
        </row>
        <row r="311">
          <cell r="F311" t="str">
            <v>sineenart.s</v>
          </cell>
        </row>
        <row r="312">
          <cell r="F312" t="str">
            <v>sinvisa.n</v>
          </cell>
        </row>
        <row r="313">
          <cell r="F313" t="str">
            <v>sirima.c</v>
          </cell>
        </row>
        <row r="314">
          <cell r="F314" t="str">
            <v>siripong.s</v>
          </cell>
        </row>
        <row r="315">
          <cell r="F315" t="str">
            <v>siriporn.j</v>
          </cell>
        </row>
        <row r="316">
          <cell r="F316" t="str">
            <v>sirivit.y</v>
          </cell>
        </row>
        <row r="317">
          <cell r="F317" t="str">
            <v>siriyaporn.s</v>
          </cell>
        </row>
        <row r="318">
          <cell r="F318" t="str">
            <v>siroj.v</v>
          </cell>
        </row>
        <row r="319">
          <cell r="F319" t="str">
            <v>sitthameth.t</v>
          </cell>
        </row>
        <row r="320">
          <cell r="F320" t="str">
            <v>sittichoke.w</v>
          </cell>
        </row>
        <row r="321">
          <cell r="F321" t="str">
            <v>sivakan.s</v>
          </cell>
        </row>
        <row r="322">
          <cell r="F322" t="str">
            <v>sivanart.r</v>
          </cell>
        </row>
        <row r="323">
          <cell r="F323" t="str">
            <v>sivapong.t</v>
          </cell>
        </row>
        <row r="324">
          <cell r="F324" t="str">
            <v>somboon.r</v>
          </cell>
        </row>
        <row r="325">
          <cell r="F325" t="str">
            <v>somchai.w</v>
          </cell>
        </row>
        <row r="326">
          <cell r="F326" t="str">
            <v>somkid.k</v>
          </cell>
        </row>
        <row r="327">
          <cell r="F327" t="str">
            <v>sommai.j</v>
          </cell>
        </row>
        <row r="328">
          <cell r="F328" t="str">
            <v>somphob.a</v>
          </cell>
        </row>
        <row r="329">
          <cell r="F329" t="str">
            <v>somphong.w</v>
          </cell>
        </row>
        <row r="330">
          <cell r="F330" t="str">
            <v>somphot.s</v>
          </cell>
        </row>
        <row r="331">
          <cell r="F331" t="str">
            <v>sompoch.b</v>
          </cell>
        </row>
        <row r="332">
          <cell r="F332" t="str">
            <v>somprasong.p</v>
          </cell>
        </row>
        <row r="333">
          <cell r="F333" t="str">
            <v>somruthai.k</v>
          </cell>
        </row>
        <row r="334">
          <cell r="F334" t="str">
            <v>somsak.c</v>
          </cell>
        </row>
        <row r="335">
          <cell r="F335" t="str">
            <v>somyot.t</v>
          </cell>
        </row>
        <row r="336">
          <cell r="F336" t="str">
            <v>songpol.p</v>
          </cell>
        </row>
        <row r="337">
          <cell r="F337" t="str">
            <v>songsuda.w</v>
          </cell>
        </row>
        <row r="338">
          <cell r="F338" t="str">
            <v>songwuth.p</v>
          </cell>
        </row>
        <row r="339">
          <cell r="F339" t="str">
            <v>soonthorn.r</v>
          </cell>
        </row>
        <row r="340">
          <cell r="F340" t="str">
            <v>sopin.p</v>
          </cell>
        </row>
        <row r="341">
          <cell r="F341" t="str">
            <v>soracha.w</v>
          </cell>
        </row>
        <row r="342">
          <cell r="F342" t="str">
            <v>sorranun.s</v>
          </cell>
        </row>
        <row r="343">
          <cell r="F343" t="str">
            <v>suchachit.l</v>
          </cell>
        </row>
        <row r="344">
          <cell r="F344" t="str">
            <v>suchintana.r</v>
          </cell>
        </row>
        <row r="345">
          <cell r="F345" t="str">
            <v>suda.u</v>
          </cell>
        </row>
        <row r="346">
          <cell r="F346" t="str">
            <v>sudawan.k</v>
          </cell>
        </row>
        <row r="347">
          <cell r="F347" t="str">
            <v>sujin.w</v>
          </cell>
        </row>
        <row r="348">
          <cell r="F348" t="str">
            <v>sukanlaya.c</v>
          </cell>
        </row>
        <row r="349">
          <cell r="F349" t="str">
            <v>sukhin.j</v>
          </cell>
        </row>
        <row r="350">
          <cell r="F350" t="str">
            <v>sukritta.j</v>
          </cell>
        </row>
        <row r="351">
          <cell r="F351" t="str">
            <v>sulawan.t</v>
          </cell>
        </row>
        <row r="352">
          <cell r="F352" t="str">
            <v>supada.s</v>
          </cell>
        </row>
        <row r="353">
          <cell r="F353" t="str">
            <v>supakorn.m</v>
          </cell>
        </row>
        <row r="354">
          <cell r="F354" t="str">
            <v>supaluck.v</v>
          </cell>
        </row>
        <row r="355">
          <cell r="F355" t="str">
            <v>supaporn.s</v>
          </cell>
        </row>
        <row r="356">
          <cell r="F356" t="str">
            <v>supara.h</v>
          </cell>
        </row>
        <row r="357">
          <cell r="F357" t="str">
            <v>supatchaya.t</v>
          </cell>
        </row>
        <row r="358">
          <cell r="F358" t="str">
            <v>supattra.c</v>
          </cell>
        </row>
        <row r="359">
          <cell r="F359" t="str">
            <v>supawat.n</v>
          </cell>
        </row>
        <row r="360">
          <cell r="F360" t="str">
            <v>supharuek.i</v>
          </cell>
        </row>
        <row r="361">
          <cell r="F361" t="str">
            <v>supinya.c</v>
          </cell>
        </row>
        <row r="362">
          <cell r="F362" t="str">
            <v>supreeya.s</v>
          </cell>
        </row>
        <row r="363">
          <cell r="F363" t="str">
            <v>surachai.l</v>
          </cell>
        </row>
        <row r="364">
          <cell r="F364" t="str">
            <v>suradech.t</v>
          </cell>
        </row>
        <row r="365">
          <cell r="F365" t="str">
            <v>surapong.s</v>
          </cell>
        </row>
        <row r="366">
          <cell r="F366" t="str">
            <v>surarit.c</v>
          </cell>
        </row>
        <row r="367">
          <cell r="F367" t="str">
            <v>sureemas.c</v>
          </cell>
        </row>
        <row r="368">
          <cell r="F368" t="str">
            <v>sutas.j</v>
          </cell>
        </row>
        <row r="369">
          <cell r="F369" t="str">
            <v>sutee.k</v>
          </cell>
        </row>
        <row r="370">
          <cell r="F370" t="str">
            <v>suthida.r</v>
          </cell>
        </row>
        <row r="371">
          <cell r="F371" t="str">
            <v>suthinan.j</v>
          </cell>
        </row>
        <row r="372">
          <cell r="F372" t="str">
            <v>suttasinee.t</v>
          </cell>
        </row>
        <row r="373">
          <cell r="F373" t="str">
            <v>sutthi.k</v>
          </cell>
        </row>
        <row r="374">
          <cell r="F374" t="str">
            <v>sutthida.y</v>
          </cell>
        </row>
        <row r="375">
          <cell r="F375" t="str">
            <v>suwin.s</v>
          </cell>
        </row>
        <row r="376">
          <cell r="F376" t="str">
            <v>taiyen.r</v>
          </cell>
        </row>
        <row r="377">
          <cell r="F377" t="str">
            <v>tamolwatt.g</v>
          </cell>
        </row>
        <row r="378">
          <cell r="F378" t="str">
            <v>tanakrit.j</v>
          </cell>
        </row>
        <row r="379">
          <cell r="F379" t="str">
            <v>tanapon.p</v>
          </cell>
        </row>
        <row r="380">
          <cell r="F380" t="str">
            <v>tanat.p</v>
          </cell>
        </row>
        <row r="381">
          <cell r="F381" t="str">
            <v>tanatorn.s</v>
          </cell>
        </row>
        <row r="382">
          <cell r="F382" t="str">
            <v>tanin.k</v>
          </cell>
        </row>
        <row r="383">
          <cell r="F383" t="str">
            <v>taratorn.k</v>
          </cell>
        </row>
        <row r="384">
          <cell r="F384" t="str">
            <v>tarngrud.t</v>
          </cell>
        </row>
        <row r="385">
          <cell r="F385" t="str">
            <v>tawat.e</v>
          </cell>
        </row>
        <row r="386">
          <cell r="F386" t="str">
            <v>tawit.c</v>
          </cell>
        </row>
        <row r="387">
          <cell r="F387" t="str">
            <v>teera.p</v>
          </cell>
        </row>
        <row r="388">
          <cell r="F388" t="str">
            <v>teera.w</v>
          </cell>
        </row>
        <row r="389">
          <cell r="F389" t="str">
            <v>teeradej.d</v>
          </cell>
        </row>
        <row r="390">
          <cell r="F390" t="str">
            <v>teeraphong.c</v>
          </cell>
        </row>
        <row r="391">
          <cell r="F391" t="str">
            <v>temduang.s</v>
          </cell>
        </row>
        <row r="392">
          <cell r="F392" t="str">
            <v>teparat.i</v>
          </cell>
        </row>
        <row r="393">
          <cell r="F393" t="str">
            <v>thamanoon.k</v>
          </cell>
        </row>
        <row r="394">
          <cell r="F394" t="str">
            <v>thanakorn.bu</v>
          </cell>
        </row>
        <row r="395">
          <cell r="F395" t="str">
            <v>thanakrit.l</v>
          </cell>
        </row>
        <row r="396">
          <cell r="F396" t="str">
            <v>thanasan.i</v>
          </cell>
        </row>
        <row r="397">
          <cell r="F397" t="str">
            <v>thanasin.j</v>
          </cell>
        </row>
        <row r="398">
          <cell r="F398" t="str">
            <v>thanawadee.t</v>
          </cell>
        </row>
        <row r="399">
          <cell r="F399" t="str">
            <v>thanawat.h</v>
          </cell>
        </row>
        <row r="400">
          <cell r="F400" t="str">
            <v>thanawat.k</v>
          </cell>
        </row>
        <row r="401">
          <cell r="F401" t="str">
            <v>thaned.t</v>
          </cell>
        </row>
        <row r="402">
          <cell r="F402" t="str">
            <v>thanest.s</v>
          </cell>
        </row>
        <row r="403">
          <cell r="F403" t="str">
            <v>thaninnut.s</v>
          </cell>
        </row>
        <row r="404">
          <cell r="F404" t="str">
            <v>thapranee.c</v>
          </cell>
        </row>
        <row r="405">
          <cell r="F405" t="str">
            <v>thassanan.s</v>
          </cell>
        </row>
        <row r="406">
          <cell r="F406" t="str">
            <v>thawatchai.w</v>
          </cell>
        </row>
        <row r="407">
          <cell r="F407" t="str">
            <v>thaweechai.c</v>
          </cell>
        </row>
        <row r="408">
          <cell r="F408" t="str">
            <v>theeranuch.n</v>
          </cell>
        </row>
        <row r="409">
          <cell r="F409" t="str">
            <v>theeraphat.s</v>
          </cell>
        </row>
        <row r="410">
          <cell r="F410" t="str">
            <v>thida.v</v>
          </cell>
        </row>
        <row r="411">
          <cell r="F411" t="str">
            <v>thita.t</v>
          </cell>
        </row>
        <row r="412">
          <cell r="F412" t="str">
            <v>thitikorn.s</v>
          </cell>
        </row>
        <row r="413">
          <cell r="F413" t="str">
            <v>thitipong.t</v>
          </cell>
        </row>
        <row r="414">
          <cell r="F414" t="str">
            <v>thossaphol.d</v>
          </cell>
        </row>
        <row r="415">
          <cell r="F415" t="str">
            <v>tosporn.k</v>
          </cell>
        </row>
        <row r="416">
          <cell r="F416" t="str">
            <v>truswin.r</v>
          </cell>
        </row>
        <row r="417">
          <cell r="F417" t="str">
            <v>tuantong.s</v>
          </cell>
        </row>
        <row r="418">
          <cell r="F418" t="str">
            <v>udtapol.l</v>
          </cell>
        </row>
        <row r="419">
          <cell r="F419" t="str">
            <v>unnop.k</v>
          </cell>
        </row>
        <row r="420">
          <cell r="F420" t="str">
            <v>uraiwan.j</v>
          </cell>
        </row>
        <row r="421">
          <cell r="F421" t="str">
            <v>uruponk.p</v>
          </cell>
        </row>
        <row r="422">
          <cell r="F422" t="str">
            <v>utarat.p</v>
          </cell>
        </row>
        <row r="423">
          <cell r="F423" t="str">
            <v>varantorn.w</v>
          </cell>
        </row>
        <row r="424">
          <cell r="F424" t="str">
            <v>varinpong.t</v>
          </cell>
        </row>
        <row r="425">
          <cell r="F425" t="str">
            <v>vatcharaj.t</v>
          </cell>
        </row>
        <row r="426">
          <cell r="F426" t="str">
            <v>veerabol.a</v>
          </cell>
        </row>
        <row r="427">
          <cell r="F427" t="str">
            <v>vichit.k</v>
          </cell>
        </row>
        <row r="428">
          <cell r="F428" t="str">
            <v>vijarn.h</v>
          </cell>
        </row>
        <row r="429">
          <cell r="F429" t="str">
            <v>visarut.s</v>
          </cell>
        </row>
        <row r="430">
          <cell r="F430" t="str">
            <v>visid.u</v>
          </cell>
        </row>
        <row r="431">
          <cell r="F431" t="str">
            <v>vorakit.l</v>
          </cell>
        </row>
        <row r="432">
          <cell r="F432" t="str">
            <v>wanida.w</v>
          </cell>
        </row>
        <row r="433">
          <cell r="F433" t="str">
            <v>wanna.p</v>
          </cell>
        </row>
        <row r="434">
          <cell r="F434" t="str">
            <v>wannaporn.a</v>
          </cell>
        </row>
        <row r="435">
          <cell r="F435" t="str">
            <v>wannaporn.s</v>
          </cell>
        </row>
        <row r="436">
          <cell r="F436" t="str">
            <v>wannika.j</v>
          </cell>
        </row>
        <row r="437">
          <cell r="F437" t="str">
            <v>wannisa.m</v>
          </cell>
        </row>
        <row r="438">
          <cell r="F438" t="str">
            <v>wannisa.p</v>
          </cell>
        </row>
        <row r="439">
          <cell r="F439" t="str">
            <v>wanniwat.n</v>
          </cell>
        </row>
        <row r="440">
          <cell r="F440" t="str">
            <v>warinee.h</v>
          </cell>
        </row>
        <row r="441">
          <cell r="F441" t="str">
            <v>waritta.b</v>
          </cell>
        </row>
        <row r="442">
          <cell r="F442" t="str">
            <v>warot.s</v>
          </cell>
        </row>
        <row r="443">
          <cell r="F443" t="str">
            <v>washirapong.w</v>
          </cell>
        </row>
        <row r="444">
          <cell r="F444" t="str">
            <v>watchara.k</v>
          </cell>
        </row>
        <row r="445">
          <cell r="F445" t="str">
            <v>watchara.r</v>
          </cell>
        </row>
        <row r="446">
          <cell r="F446" t="str">
            <v>watcharapong.h</v>
          </cell>
        </row>
        <row r="447">
          <cell r="F447" t="str">
            <v>watsapon.s</v>
          </cell>
        </row>
        <row r="448">
          <cell r="F448" t="str">
            <v>wikkasit.k</v>
          </cell>
        </row>
        <row r="449">
          <cell r="F449" t="str">
            <v>wilaiporn.j</v>
          </cell>
        </row>
        <row r="450">
          <cell r="F450" t="str">
            <v>wilaiwan.p</v>
          </cell>
        </row>
        <row r="451">
          <cell r="F451" t="str">
            <v>wilasinee.w</v>
          </cell>
        </row>
        <row r="452">
          <cell r="F452" t="str">
            <v>winai.s</v>
          </cell>
        </row>
        <row r="453">
          <cell r="F453" t="str">
            <v>wirachai.w</v>
          </cell>
        </row>
        <row r="454">
          <cell r="F454" t="str">
            <v>wisut.a</v>
          </cell>
        </row>
        <row r="455">
          <cell r="F455" t="str">
            <v>witoon.t</v>
          </cell>
        </row>
        <row r="456">
          <cell r="F456" t="str">
            <v>witsanu.m</v>
          </cell>
        </row>
        <row r="457">
          <cell r="F457" t="str">
            <v>wittawat.u</v>
          </cell>
        </row>
        <row r="458">
          <cell r="F458" t="str">
            <v>wittawin.t</v>
          </cell>
        </row>
        <row r="459">
          <cell r="F459" t="str">
            <v>worrayod.w</v>
          </cell>
        </row>
        <row r="460">
          <cell r="F460" t="str">
            <v>wunlop.s</v>
          </cell>
        </row>
        <row r="461">
          <cell r="F461" t="str">
            <v>wuttichai.m</v>
          </cell>
        </row>
        <row r="462">
          <cell r="F462" t="str">
            <v>wuttidetch.p</v>
          </cell>
        </row>
        <row r="463">
          <cell r="F463" t="str">
            <v>wuttipong.l</v>
          </cell>
        </row>
        <row r="464">
          <cell r="F464" t="str">
            <v>yaowapa.c</v>
          </cell>
        </row>
        <row r="465">
          <cell r="F465" t="str">
            <v>yaowapa.l</v>
          </cell>
        </row>
        <row r="466">
          <cell r="F466" t="str">
            <v>yawarhed.c</v>
          </cell>
        </row>
        <row r="467">
          <cell r="F467" t="str">
            <v>yingsak.p</v>
          </cell>
        </row>
        <row r="468">
          <cell r="F468" t="str">
            <v>yutthana.s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C6C4-FF2B-4720-9418-A4FFAD23D273}">
  <dimension ref="A1:J25"/>
  <sheetViews>
    <sheetView workbookViewId="0">
      <selection activeCell="B7" sqref="B7"/>
    </sheetView>
  </sheetViews>
  <sheetFormatPr defaultColWidth="9.109375" defaultRowHeight="13.2" outlineLevelCol="1"/>
  <cols>
    <col min="1" max="1" width="9.109375" style="116"/>
    <col min="2" max="2" width="26.77734375" style="81" customWidth="1"/>
    <col min="3" max="3" width="18.6640625" style="81" bestFit="1" customWidth="1"/>
    <col min="4" max="4" width="18.77734375" style="81" bestFit="1" customWidth="1"/>
    <col min="5" max="5" width="13.77734375" style="81" bestFit="1" customWidth="1"/>
    <col min="6" max="6" width="9.6640625" style="115" customWidth="1" outlineLevel="1"/>
    <col min="7" max="7" width="14" style="110" customWidth="1" outlineLevel="1"/>
    <col min="8" max="8" width="18.33203125" style="110" hidden="1" customWidth="1" outlineLevel="1"/>
    <col min="9" max="9" width="15.33203125" style="110" hidden="1" customWidth="1" outlineLevel="1"/>
    <col min="10" max="10" width="41.33203125" style="81" customWidth="1"/>
    <col min="11" max="16384" width="9.109375" style="81"/>
  </cols>
  <sheetData>
    <row r="1" spans="1:10">
      <c r="A1" s="360" t="s">
        <v>63</v>
      </c>
      <c r="B1" s="360"/>
      <c r="C1" s="360"/>
      <c r="D1" s="360"/>
      <c r="E1" s="360"/>
      <c r="F1" s="361" t="s">
        <v>64</v>
      </c>
      <c r="G1" s="362"/>
      <c r="H1" s="80"/>
      <c r="I1" s="80"/>
    </row>
    <row r="2" spans="1:10">
      <c r="A2" s="360"/>
      <c r="B2" s="360"/>
      <c r="C2" s="360"/>
      <c r="D2" s="360"/>
      <c r="E2" s="360"/>
      <c r="F2" s="363"/>
      <c r="G2" s="364"/>
      <c r="H2" s="80"/>
      <c r="I2" s="80"/>
    </row>
    <row r="3" spans="1:10" ht="27" thickBot="1">
      <c r="A3" s="82" t="s">
        <v>65</v>
      </c>
      <c r="B3" s="83" t="s">
        <v>51</v>
      </c>
      <c r="C3" s="84" t="s">
        <v>66</v>
      </c>
      <c r="D3" s="84" t="s">
        <v>67</v>
      </c>
      <c r="E3" s="84" t="s">
        <v>68</v>
      </c>
      <c r="F3" s="85" t="s">
        <v>69</v>
      </c>
      <c r="G3" s="86" t="s">
        <v>70</v>
      </c>
      <c r="H3" s="87"/>
      <c r="I3" s="87"/>
    </row>
    <row r="4" spans="1:10">
      <c r="A4" s="88">
        <v>1</v>
      </c>
      <c r="B4" s="89" t="s">
        <v>85</v>
      </c>
      <c r="C4" s="90" t="s">
        <v>72</v>
      </c>
      <c r="D4" s="116" t="s">
        <v>86</v>
      </c>
      <c r="E4" s="96" t="s">
        <v>71</v>
      </c>
      <c r="F4" s="91">
        <v>30</v>
      </c>
      <c r="G4" s="92">
        <v>14000</v>
      </c>
      <c r="H4" s="93">
        <v>14000</v>
      </c>
      <c r="I4" s="93">
        <f>F4*H4</f>
        <v>420000</v>
      </c>
      <c r="J4" s="94"/>
    </row>
    <row r="5" spans="1:10">
      <c r="A5" s="88">
        <v>2</v>
      </c>
      <c r="B5" s="95" t="s">
        <v>89</v>
      </c>
      <c r="C5" s="90" t="s">
        <v>72</v>
      </c>
      <c r="D5" s="90" t="s">
        <v>88</v>
      </c>
      <c r="E5" s="96" t="s">
        <v>71</v>
      </c>
      <c r="F5" s="90">
        <v>30</v>
      </c>
      <c r="G5" s="97">
        <v>14000</v>
      </c>
      <c r="H5" s="93">
        <v>8500</v>
      </c>
      <c r="I5" s="93">
        <f t="shared" ref="I5" si="0">F5*H5</f>
        <v>255000</v>
      </c>
      <c r="J5" s="94"/>
    </row>
    <row r="6" spans="1:10">
      <c r="A6" s="88">
        <v>3</v>
      </c>
      <c r="B6" s="237" t="s">
        <v>119</v>
      </c>
      <c r="C6" s="90" t="s">
        <v>72</v>
      </c>
      <c r="D6" s="90" t="s">
        <v>88</v>
      </c>
      <c r="E6" s="96" t="s">
        <v>73</v>
      </c>
      <c r="F6" s="90">
        <v>37</v>
      </c>
      <c r="G6" s="97">
        <v>8500</v>
      </c>
      <c r="H6" s="93">
        <v>14000</v>
      </c>
      <c r="I6" s="93">
        <f>F6*H6</f>
        <v>518000</v>
      </c>
      <c r="J6" s="94"/>
    </row>
    <row r="7" spans="1:10">
      <c r="A7" s="88">
        <v>4</v>
      </c>
      <c r="B7" s="237" t="s">
        <v>166</v>
      </c>
      <c r="C7" s="90" t="s">
        <v>167</v>
      </c>
      <c r="D7" s="90" t="s">
        <v>74</v>
      </c>
      <c r="E7" s="96" t="s">
        <v>73</v>
      </c>
      <c r="F7" s="90">
        <v>3</v>
      </c>
      <c r="G7" s="97">
        <v>8500</v>
      </c>
      <c r="H7" s="98"/>
      <c r="I7" s="98">
        <f>SUM(I4:I6)</f>
        <v>1193000</v>
      </c>
      <c r="J7" s="94"/>
    </row>
    <row r="8" spans="1:10">
      <c r="A8" s="88"/>
      <c r="B8" s="237"/>
      <c r="C8" s="90"/>
      <c r="D8" s="116"/>
      <c r="E8" s="96"/>
      <c r="F8" s="90"/>
      <c r="G8" s="97"/>
      <c r="H8" s="98"/>
      <c r="I8" s="98"/>
      <c r="J8" s="94"/>
    </row>
    <row r="9" spans="1:10">
      <c r="A9" s="88"/>
      <c r="B9" s="237"/>
      <c r="C9" s="90"/>
      <c r="D9" s="90"/>
      <c r="E9" s="96"/>
      <c r="F9" s="90"/>
      <c r="G9" s="97"/>
      <c r="H9" s="98"/>
      <c r="I9" s="98"/>
      <c r="J9" s="94"/>
    </row>
    <row r="10" spans="1:10">
      <c r="A10" s="88"/>
      <c r="B10" s="95"/>
      <c r="C10" s="90"/>
      <c r="D10" s="90"/>
      <c r="E10" s="96"/>
      <c r="F10" s="90"/>
      <c r="G10" s="97"/>
      <c r="H10" s="98"/>
      <c r="I10" s="98"/>
    </row>
    <row r="11" spans="1:10" ht="13.8" thickBot="1">
      <c r="A11" s="99"/>
      <c r="B11" s="100"/>
      <c r="C11" s="101"/>
      <c r="D11" s="102"/>
      <c r="E11" s="102"/>
      <c r="F11" s="103"/>
      <c r="G11" s="104"/>
      <c r="H11" s="98"/>
      <c r="I11" s="98"/>
    </row>
    <row r="12" spans="1:10">
      <c r="F12" s="115">
        <f>SUM(F4:F7)</f>
        <v>100</v>
      </c>
      <c r="G12" s="110">
        <f>(G4*F4)+(G5*F5)+(G6*F6)+(G7*F7)</f>
        <v>1180000</v>
      </c>
    </row>
    <row r="13" spans="1:10" ht="26.4">
      <c r="A13" s="365" t="s">
        <v>75</v>
      </c>
      <c r="B13" s="366"/>
      <c r="C13" s="105" t="s">
        <v>76</v>
      </c>
      <c r="F13" s="81"/>
      <c r="G13" s="106"/>
      <c r="H13" s="81"/>
      <c r="I13" s="81"/>
    </row>
    <row r="14" spans="1:10">
      <c r="A14" s="107">
        <v>1</v>
      </c>
      <c r="B14" s="108" t="s">
        <v>77</v>
      </c>
      <c r="C14" s="109" t="s">
        <v>78</v>
      </c>
      <c r="F14" s="81"/>
      <c r="G14" s="81"/>
    </row>
    <row r="15" spans="1:10">
      <c r="A15" s="107">
        <v>2</v>
      </c>
      <c r="B15" s="108" t="s">
        <v>79</v>
      </c>
      <c r="C15" s="109" t="s">
        <v>78</v>
      </c>
      <c r="F15" s="81"/>
      <c r="G15" s="81"/>
      <c r="H15" s="81"/>
      <c r="I15" s="111"/>
    </row>
    <row r="16" spans="1:10">
      <c r="A16" s="107">
        <v>3</v>
      </c>
      <c r="B16" s="108" t="s">
        <v>80</v>
      </c>
      <c r="C16" s="109" t="s">
        <v>78</v>
      </c>
      <c r="F16" s="81"/>
      <c r="G16" s="81"/>
      <c r="H16" s="112"/>
      <c r="I16" s="113"/>
    </row>
    <row r="17" spans="1:9">
      <c r="A17" s="107">
        <v>4</v>
      </c>
      <c r="B17" s="108" t="s">
        <v>81</v>
      </c>
      <c r="C17" s="114" t="s">
        <v>78</v>
      </c>
      <c r="F17" s="81"/>
      <c r="G17" s="81"/>
      <c r="H17" s="81"/>
      <c r="I17" s="81"/>
    </row>
    <row r="18" spans="1:9">
      <c r="A18" s="107">
        <v>5</v>
      </c>
      <c r="B18" s="108" t="s">
        <v>82</v>
      </c>
      <c r="C18" s="114" t="s">
        <v>78</v>
      </c>
      <c r="F18" s="81"/>
    </row>
    <row r="19" spans="1:9">
      <c r="A19" s="107">
        <v>6</v>
      </c>
      <c r="B19" s="108" t="s">
        <v>83</v>
      </c>
      <c r="C19" s="114"/>
      <c r="H19" s="81"/>
    </row>
    <row r="20" spans="1:9">
      <c r="H20" s="117"/>
      <c r="I20" s="118"/>
    </row>
    <row r="21" spans="1:9" ht="13.8">
      <c r="A21" s="119" t="s">
        <v>84</v>
      </c>
    </row>
    <row r="23" spans="1:9">
      <c r="I23" s="110">
        <v>1000000</v>
      </c>
    </row>
    <row r="24" spans="1:9">
      <c r="I24" s="110">
        <v>1190000</v>
      </c>
    </row>
    <row r="25" spans="1:9">
      <c r="H25" s="117" t="s">
        <v>4</v>
      </c>
      <c r="I25" s="118">
        <v>2190000</v>
      </c>
    </row>
  </sheetData>
  <mergeCells count="3">
    <mergeCell ref="A1:E2"/>
    <mergeCell ref="F1:G2"/>
    <mergeCell ref="A13:B13"/>
  </mergeCells>
  <dataValidations count="3">
    <dataValidation type="list" allowBlank="1" showInputMessage="1" sqref="A11:C11" xr:uid="{081E7E7C-3F59-457B-9619-4BC997FEC8FE}">
      <formula1>LstStaffs</formula1>
    </dataValidation>
    <dataValidation type="list" allowBlank="1" showInputMessage="1" sqref="D11:E11" xr:uid="{CF002920-4532-417A-821E-CCDCAFC79945}">
      <formula1>LstLevel</formula1>
    </dataValidation>
    <dataValidation type="list" allowBlank="1" showInputMessage="1" showErrorMessage="1" sqref="D5:D7 D9" xr:uid="{693AC438-8111-4403-A2D2-499E387D55BC}">
      <formula1>"PM,Consultant,PMO,DM,Abaper,Developer,BA,SA,Basis,System,Network,Security,SAP-PI"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 tint="0.39997558519241921"/>
  </sheetPr>
  <dimension ref="B1:H37"/>
  <sheetViews>
    <sheetView zoomScaleNormal="100" workbookViewId="0">
      <selection activeCell="E29" sqref="E29"/>
    </sheetView>
  </sheetViews>
  <sheetFormatPr defaultColWidth="8.88671875" defaultRowHeight="14.4"/>
  <cols>
    <col min="2" max="2" width="52.109375" customWidth="1"/>
    <col min="3" max="3" width="23.5546875" customWidth="1"/>
    <col min="4" max="4" width="15.44140625" bestFit="1" customWidth="1"/>
    <col min="5" max="5" width="15.109375" customWidth="1"/>
    <col min="7" max="7" width="31.109375" bestFit="1" customWidth="1"/>
    <col min="8" max="8" width="17.109375" bestFit="1" customWidth="1"/>
  </cols>
  <sheetData>
    <row r="1" spans="2:5">
      <c r="B1" s="29" t="s">
        <v>147</v>
      </c>
      <c r="C1" s="30" t="s">
        <v>148</v>
      </c>
    </row>
    <row r="2" spans="2:5" ht="15" thickBot="1">
      <c r="B2" s="1"/>
      <c r="C2" s="1"/>
    </row>
    <row r="3" spans="2:5">
      <c r="B3" s="2" t="s">
        <v>0</v>
      </c>
      <c r="C3" s="20">
        <f>DGT_Manday!I44</f>
        <v>21000</v>
      </c>
    </row>
    <row r="4" spans="2:5">
      <c r="B4" s="3" t="s">
        <v>1</v>
      </c>
      <c r="C4" s="21">
        <f>DGT_Manday!I45</f>
        <v>1159000</v>
      </c>
      <c r="E4" s="52"/>
    </row>
    <row r="5" spans="2:5">
      <c r="B5" s="3" t="s">
        <v>2</v>
      </c>
      <c r="C5" s="21">
        <f>E15+E22</f>
        <v>0</v>
      </c>
    </row>
    <row r="6" spans="2:5" ht="15" thickBot="1">
      <c r="B6" s="4" t="s">
        <v>3</v>
      </c>
      <c r="C6" s="22"/>
    </row>
    <row r="7" spans="2:5" ht="15" thickBot="1">
      <c r="B7" s="5" t="s">
        <v>4</v>
      </c>
      <c r="C7" s="23">
        <f>SUM(C3:C6)</f>
        <v>1180000</v>
      </c>
    </row>
    <row r="8" spans="2:5" ht="15" thickTop="1"/>
    <row r="9" spans="2:5" ht="15" thickBot="1"/>
    <row r="10" spans="2:5">
      <c r="B10" s="24" t="s">
        <v>5</v>
      </c>
      <c r="C10" s="24" t="s">
        <v>6</v>
      </c>
      <c r="D10" s="24" t="s">
        <v>7</v>
      </c>
      <c r="E10" s="24" t="s">
        <v>8</v>
      </c>
    </row>
    <row r="11" spans="2:5">
      <c r="B11" s="25" t="s">
        <v>56</v>
      </c>
      <c r="C11" s="25"/>
      <c r="D11" s="25"/>
      <c r="E11" s="25"/>
    </row>
    <row r="12" spans="2:5">
      <c r="B12" s="25"/>
      <c r="C12" s="25"/>
      <c r="D12" s="25"/>
      <c r="E12" s="25"/>
    </row>
    <row r="13" spans="2:5">
      <c r="B13" s="25"/>
      <c r="C13" s="25"/>
      <c r="D13" s="25"/>
      <c r="E13" s="25"/>
    </row>
    <row r="14" spans="2:5">
      <c r="B14" s="25"/>
      <c r="C14" s="25"/>
      <c r="D14" s="25"/>
      <c r="E14" s="25"/>
    </row>
    <row r="15" spans="2:5" ht="15" thickBot="1">
      <c r="D15" t="s">
        <v>4</v>
      </c>
      <c r="E15" s="26"/>
    </row>
    <row r="16" spans="2:5" ht="22.2" thickTop="1" thickBot="1">
      <c r="B16" s="11"/>
    </row>
    <row r="17" spans="2:8">
      <c r="B17" s="24" t="s">
        <v>9</v>
      </c>
      <c r="C17" s="24" t="s">
        <v>6</v>
      </c>
      <c r="D17" s="24" t="s">
        <v>7</v>
      </c>
      <c r="E17" s="24" t="s">
        <v>10</v>
      </c>
    </row>
    <row r="18" spans="2:8">
      <c r="B18" s="25" t="s">
        <v>56</v>
      </c>
      <c r="C18" s="25"/>
      <c r="D18" s="25"/>
      <c r="E18" s="25"/>
    </row>
    <row r="19" spans="2:8">
      <c r="B19" s="25"/>
      <c r="C19" s="25"/>
      <c r="D19" s="25"/>
      <c r="E19" s="25"/>
    </row>
    <row r="20" spans="2:8">
      <c r="B20" s="25"/>
      <c r="C20" s="25"/>
      <c r="D20" s="25"/>
      <c r="E20" s="25"/>
    </row>
    <row r="21" spans="2:8">
      <c r="B21" s="25"/>
      <c r="C21" s="25"/>
      <c r="D21" s="25"/>
      <c r="E21" s="25"/>
    </row>
    <row r="22" spans="2:8" ht="15" thickBot="1">
      <c r="D22" t="s">
        <v>4</v>
      </c>
      <c r="E22" s="26"/>
    </row>
    <row r="23" spans="2:8" ht="15" thickTop="1"/>
    <row r="24" spans="2:8" ht="15" thickBot="1"/>
    <row r="25" spans="2:8" ht="15" thickBot="1">
      <c r="B25" s="16" t="s">
        <v>11</v>
      </c>
      <c r="C25" s="17" t="s">
        <v>12</v>
      </c>
      <c r="D25" s="18" t="s">
        <v>13</v>
      </c>
    </row>
    <row r="26" spans="2:8">
      <c r="B26" s="53" t="s">
        <v>120</v>
      </c>
      <c r="C26" s="54">
        <v>0.3</v>
      </c>
      <c r="D26" s="15">
        <f>C9*C26</f>
        <v>0</v>
      </c>
      <c r="G26" t="s">
        <v>14</v>
      </c>
    </row>
    <row r="27" spans="2:8">
      <c r="B27" s="53" t="s">
        <v>149</v>
      </c>
      <c r="C27" s="54">
        <v>0.7</v>
      </c>
      <c r="D27" s="15">
        <f>C9*C27</f>
        <v>0</v>
      </c>
    </row>
    <row r="28" spans="2:8">
      <c r="B28" s="238"/>
      <c r="C28" s="55"/>
      <c r="D28" s="12"/>
    </row>
    <row r="29" spans="2:8" ht="16.2" thickBot="1">
      <c r="B29" s="13"/>
      <c r="C29" s="14">
        <f>SUM(C26:C28)</f>
        <v>1</v>
      </c>
      <c r="D29" s="19">
        <f>SUM(D26:D28)</f>
        <v>0</v>
      </c>
    </row>
    <row r="30" spans="2:8" ht="16.2" thickBot="1">
      <c r="B30" s="13"/>
      <c r="C30" s="14"/>
      <c r="D30" s="19"/>
      <c r="G30" s="2" t="s">
        <v>15</v>
      </c>
      <c r="H30" s="20" t="e">
        <f>#REF!+Total!E15+Total!E22+DGT_Manday!H49</f>
        <v>#REF!</v>
      </c>
    </row>
    <row r="31" spans="2:8" ht="16.95" customHeight="1" thickBot="1">
      <c r="G31" s="3" t="s">
        <v>16</v>
      </c>
      <c r="H31" s="21" t="e">
        <f>H30*1.14</f>
        <v>#REF!</v>
      </c>
    </row>
    <row r="32" spans="2:8" ht="15" thickBot="1">
      <c r="B32" s="16" t="s">
        <v>17</v>
      </c>
      <c r="C32" s="17" t="s">
        <v>12</v>
      </c>
      <c r="D32" s="18" t="s">
        <v>13</v>
      </c>
      <c r="G32" s="3" t="s">
        <v>18</v>
      </c>
      <c r="H32" s="21" t="e">
        <f>C7-H31</f>
        <v>#REF!</v>
      </c>
    </row>
    <row r="33" spans="2:8" ht="18.600000000000001" thickBot="1">
      <c r="B33" s="53"/>
      <c r="C33" s="54"/>
      <c r="D33" s="15"/>
      <c r="G33" s="27" t="s">
        <v>19</v>
      </c>
      <c r="H33" s="28" t="e">
        <f>H32/H31</f>
        <v>#REF!</v>
      </c>
    </row>
    <row r="34" spans="2:8">
      <c r="B34" s="53"/>
      <c r="C34" s="55"/>
      <c r="D34" s="15"/>
    </row>
    <row r="35" spans="2:8">
      <c r="B35" s="53"/>
      <c r="C35" s="56"/>
      <c r="D35" s="15"/>
    </row>
    <row r="36" spans="2:8">
      <c r="B36" s="77"/>
      <c r="C36" s="78"/>
      <c r="D36" s="79"/>
    </row>
    <row r="37" spans="2:8" ht="16.2" thickBot="1">
      <c r="B37" s="13"/>
      <c r="C37" s="14"/>
      <c r="D37" s="19"/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5"/>
  <sheetViews>
    <sheetView tabSelected="1" zoomScaleNormal="100" workbookViewId="0">
      <pane xSplit="3" ySplit="4" topLeftCell="D26" activePane="bottomRight" state="frozen"/>
      <selection pane="topRight" activeCell="D1" sqref="D1"/>
      <selection pane="bottomLeft" activeCell="A5" sqref="A5"/>
      <selection pane="bottomRight" activeCell="J34" sqref="J34"/>
    </sheetView>
  </sheetViews>
  <sheetFormatPr defaultColWidth="8.5546875" defaultRowHeight="13.8"/>
  <cols>
    <col min="1" max="1" width="22.88671875" style="31" customWidth="1"/>
    <col min="2" max="2" width="47.33203125" style="31" bestFit="1" customWidth="1"/>
    <col min="3" max="3" width="12" style="31" customWidth="1"/>
    <col min="4" max="8" width="15.77734375" style="31" customWidth="1"/>
    <col min="9" max="9" width="12.33203125" style="31" bestFit="1" customWidth="1"/>
    <col min="10" max="16384" width="8.5546875" style="31"/>
  </cols>
  <sheetData>
    <row r="1" spans="1:8">
      <c r="A1" s="349" t="str">
        <f>Total!B1</f>
        <v>โครงการ ENH-PTTEP-iCMS 2026 Enhancement</v>
      </c>
      <c r="B1" s="350"/>
      <c r="C1" s="350"/>
    </row>
    <row r="2" spans="1:8" ht="14.4" thickBot="1">
      <c r="A2" s="35" t="str">
        <f>Total!C1</f>
        <v>ระยะเวลาโครงการ 172 วัน</v>
      </c>
      <c r="D2" s="51" t="s">
        <v>20</v>
      </c>
      <c r="E2" s="51" t="s">
        <v>20</v>
      </c>
      <c r="F2" s="51" t="s">
        <v>20</v>
      </c>
      <c r="G2" s="51" t="s">
        <v>20</v>
      </c>
      <c r="H2" s="51" t="s">
        <v>21</v>
      </c>
    </row>
    <row r="3" spans="1:8">
      <c r="A3" s="351" t="s">
        <v>22</v>
      </c>
      <c r="B3" s="351" t="s">
        <v>23</v>
      </c>
      <c r="C3" s="353" t="s">
        <v>24</v>
      </c>
      <c r="D3" s="36" t="s">
        <v>25</v>
      </c>
      <c r="E3" s="36" t="s">
        <v>90</v>
      </c>
      <c r="F3" s="36" t="s">
        <v>162</v>
      </c>
      <c r="G3" s="36" t="s">
        <v>88</v>
      </c>
      <c r="H3" s="36" t="s">
        <v>74</v>
      </c>
    </row>
    <row r="4" spans="1:8" ht="34.799999999999997" thickBot="1">
      <c r="A4" s="352"/>
      <c r="B4" s="352"/>
      <c r="C4" s="354"/>
      <c r="D4" s="65" t="s">
        <v>87</v>
      </c>
      <c r="E4" s="65" t="s">
        <v>87</v>
      </c>
      <c r="F4" s="65" t="s">
        <v>89</v>
      </c>
      <c r="G4" s="65" t="s">
        <v>91</v>
      </c>
      <c r="H4" s="66" t="s">
        <v>166</v>
      </c>
    </row>
    <row r="5" spans="1:8" ht="14.4" customHeight="1" thickBot="1">
      <c r="A5" s="355" t="s">
        <v>26</v>
      </c>
      <c r="B5" s="37" t="s">
        <v>59</v>
      </c>
      <c r="C5" s="357" t="s">
        <v>27</v>
      </c>
      <c r="D5" s="67"/>
      <c r="E5" s="67">
        <v>1</v>
      </c>
      <c r="F5" s="67"/>
      <c r="G5" s="67"/>
      <c r="H5" s="67"/>
    </row>
    <row r="6" spans="1:8" ht="15" customHeight="1" thickBot="1">
      <c r="A6" s="356"/>
      <c r="B6" s="38" t="s">
        <v>118</v>
      </c>
      <c r="C6" s="358"/>
      <c r="D6" s="69">
        <v>0.5</v>
      </c>
      <c r="E6" s="69"/>
      <c r="F6" s="69"/>
      <c r="G6" s="70"/>
      <c r="H6" s="70"/>
    </row>
    <row r="7" spans="1:8" ht="14.4" thickBot="1">
      <c r="A7" s="346" t="s">
        <v>60</v>
      </c>
      <c r="B7" s="39" t="s">
        <v>28</v>
      </c>
      <c r="C7" s="348"/>
      <c r="D7" s="71">
        <v>0.25</v>
      </c>
      <c r="E7" s="71"/>
      <c r="F7" s="71"/>
      <c r="G7" s="67"/>
      <c r="H7" s="67"/>
    </row>
    <row r="8" spans="1:8" ht="24" customHeight="1" thickBot="1">
      <c r="A8" s="347"/>
      <c r="B8" s="39" t="s">
        <v>29</v>
      </c>
      <c r="C8" s="344"/>
      <c r="D8" s="72">
        <v>0.5</v>
      </c>
      <c r="E8" s="72"/>
      <c r="F8" s="72"/>
      <c r="G8" s="68"/>
      <c r="H8" s="68"/>
    </row>
    <row r="9" spans="1:8" ht="14.4" thickBot="1">
      <c r="A9" s="347"/>
      <c r="B9" s="37" t="s">
        <v>163</v>
      </c>
      <c r="C9" s="344"/>
      <c r="D9" s="73">
        <v>3</v>
      </c>
      <c r="E9" s="73"/>
      <c r="F9" s="73"/>
      <c r="G9" s="74"/>
      <c r="H9" s="74"/>
    </row>
    <row r="10" spans="1:8" ht="14.4" thickBot="1">
      <c r="A10" s="359"/>
      <c r="B10" s="64" t="s">
        <v>128</v>
      </c>
      <c r="C10" s="345"/>
      <c r="D10" s="69">
        <v>3</v>
      </c>
      <c r="E10" s="69"/>
      <c r="F10" s="69"/>
      <c r="G10" s="70"/>
      <c r="H10" s="70"/>
    </row>
    <row r="11" spans="1:8" ht="14.4" customHeight="1" thickBot="1">
      <c r="A11" s="346" t="s">
        <v>30</v>
      </c>
      <c r="B11" s="62" t="s">
        <v>130</v>
      </c>
      <c r="C11" s="348"/>
      <c r="D11" s="71"/>
      <c r="E11" s="71">
        <v>2</v>
      </c>
      <c r="F11" s="71">
        <v>1</v>
      </c>
      <c r="G11" s="67"/>
      <c r="H11" s="67"/>
    </row>
    <row r="12" spans="1:8" ht="14.4" thickBot="1">
      <c r="A12" s="347"/>
      <c r="B12" s="40" t="s">
        <v>61</v>
      </c>
      <c r="C12" s="344"/>
      <c r="D12" s="73"/>
      <c r="E12" s="73">
        <v>0.5</v>
      </c>
      <c r="F12" s="73"/>
      <c r="G12" s="74"/>
      <c r="H12" s="74"/>
    </row>
    <row r="13" spans="1:8" ht="23.4" customHeight="1" thickBot="1">
      <c r="A13" s="346" t="s">
        <v>113</v>
      </c>
      <c r="B13" s="234" t="s">
        <v>112</v>
      </c>
      <c r="C13" s="348" t="s">
        <v>62</v>
      </c>
      <c r="D13" s="71"/>
      <c r="E13" s="71">
        <v>2</v>
      </c>
      <c r="F13" s="71"/>
      <c r="G13" s="67"/>
      <c r="H13" s="67"/>
    </row>
    <row r="14" spans="1:8" ht="23.4" customHeight="1" thickBot="1">
      <c r="A14" s="347"/>
      <c r="B14" s="235" t="s">
        <v>114</v>
      </c>
      <c r="C14" s="344"/>
      <c r="D14" s="72"/>
      <c r="E14" s="72">
        <v>0.5</v>
      </c>
      <c r="F14" s="72"/>
      <c r="G14" s="68"/>
      <c r="H14" s="68"/>
    </row>
    <row r="15" spans="1:8" ht="23.4" customHeight="1" thickBot="1">
      <c r="A15" s="347"/>
      <c r="B15" s="236" t="s">
        <v>57</v>
      </c>
      <c r="C15" s="345"/>
      <c r="D15" s="69">
        <v>0.25</v>
      </c>
      <c r="E15" s="69"/>
      <c r="F15" s="69"/>
      <c r="G15" s="70"/>
      <c r="H15" s="70"/>
    </row>
    <row r="16" spans="1:8" ht="15" customHeight="1" thickBot="1">
      <c r="A16" s="341" t="s">
        <v>31</v>
      </c>
      <c r="B16" s="62" t="s">
        <v>58</v>
      </c>
      <c r="C16" s="344"/>
      <c r="D16" s="72"/>
      <c r="E16" s="72">
        <v>0.5</v>
      </c>
      <c r="F16" s="72"/>
      <c r="G16" s="68"/>
      <c r="H16" s="68"/>
    </row>
    <row r="17" spans="1:8" ht="15" customHeight="1" thickBot="1">
      <c r="A17" s="342"/>
      <c r="B17" s="120" t="s">
        <v>123</v>
      </c>
      <c r="C17" s="344"/>
      <c r="D17" s="121"/>
      <c r="E17" s="121"/>
      <c r="F17" s="121"/>
      <c r="G17" s="121"/>
      <c r="H17" s="121"/>
    </row>
    <row r="18" spans="1:8" ht="111" thickBot="1">
      <c r="A18" s="342"/>
      <c r="B18" s="62" t="s">
        <v>157</v>
      </c>
      <c r="C18" s="344"/>
      <c r="D18" s="72"/>
      <c r="E18" s="72"/>
      <c r="F18" s="72">
        <v>2.5</v>
      </c>
      <c r="G18" s="68">
        <v>4</v>
      </c>
      <c r="H18" s="68"/>
    </row>
    <row r="19" spans="1:8" ht="28.2" thickBot="1">
      <c r="A19" s="342"/>
      <c r="B19" s="62" t="s">
        <v>150</v>
      </c>
      <c r="C19" s="344"/>
      <c r="D19" s="72"/>
      <c r="E19" s="72"/>
      <c r="F19" s="72">
        <v>1</v>
      </c>
      <c r="G19" s="68"/>
      <c r="H19" s="68"/>
    </row>
    <row r="20" spans="1:8" ht="28.2" thickBot="1">
      <c r="A20" s="342"/>
      <c r="B20" s="62" t="s">
        <v>151</v>
      </c>
      <c r="C20" s="344"/>
      <c r="D20" s="72"/>
      <c r="E20" s="72"/>
      <c r="F20" s="72">
        <v>1</v>
      </c>
      <c r="G20" s="68"/>
      <c r="H20" s="68"/>
    </row>
    <row r="21" spans="1:8" ht="28.2" thickBot="1">
      <c r="A21" s="342"/>
      <c r="B21" s="62" t="s">
        <v>152</v>
      </c>
      <c r="C21" s="344"/>
      <c r="D21" s="72"/>
      <c r="E21" s="72"/>
      <c r="F21" s="72">
        <v>2</v>
      </c>
      <c r="G21" s="68"/>
      <c r="H21" s="68"/>
    </row>
    <row r="22" spans="1:8" ht="42" thickBot="1">
      <c r="A22" s="342"/>
      <c r="B22" s="62" t="s">
        <v>153</v>
      </c>
      <c r="C22" s="344"/>
      <c r="D22" s="72"/>
      <c r="E22" s="72"/>
      <c r="F22" s="335">
        <v>18.5</v>
      </c>
      <c r="G22" s="338">
        <v>28</v>
      </c>
      <c r="H22" s="68"/>
    </row>
    <row r="23" spans="1:8" ht="193.8" thickBot="1">
      <c r="A23" s="342"/>
      <c r="B23" s="62" t="s">
        <v>158</v>
      </c>
      <c r="C23" s="344"/>
      <c r="D23" s="72"/>
      <c r="E23" s="72"/>
      <c r="F23" s="336"/>
      <c r="G23" s="339"/>
      <c r="H23" s="68"/>
    </row>
    <row r="24" spans="1:8" ht="42" thickBot="1">
      <c r="A24" s="342"/>
      <c r="B24" s="62" t="s">
        <v>159</v>
      </c>
      <c r="C24" s="344"/>
      <c r="D24" s="72"/>
      <c r="E24" s="72"/>
      <c r="F24" s="336"/>
      <c r="G24" s="339"/>
      <c r="H24" s="68"/>
    </row>
    <row r="25" spans="1:8" ht="118.8" customHeight="1" thickBot="1">
      <c r="A25" s="342"/>
      <c r="B25" s="62" t="s">
        <v>160</v>
      </c>
      <c r="C25" s="344"/>
      <c r="D25" s="72"/>
      <c r="E25" s="72"/>
      <c r="F25" s="336"/>
      <c r="G25" s="339"/>
      <c r="H25" s="68"/>
    </row>
    <row r="26" spans="1:8" ht="28.2" thickBot="1">
      <c r="A26" s="342"/>
      <c r="B26" s="62" t="s">
        <v>161</v>
      </c>
      <c r="C26" s="344"/>
      <c r="D26" s="72"/>
      <c r="E26" s="72"/>
      <c r="F26" s="337"/>
      <c r="G26" s="340"/>
      <c r="H26" s="68"/>
    </row>
    <row r="27" spans="1:8" ht="42" thickBot="1">
      <c r="A27" s="342"/>
      <c r="B27" s="62" t="s">
        <v>154</v>
      </c>
      <c r="C27" s="344"/>
      <c r="D27" s="72"/>
      <c r="E27" s="72"/>
      <c r="F27" s="72">
        <v>0.5</v>
      </c>
      <c r="G27" s="68">
        <v>1</v>
      </c>
      <c r="H27" s="68"/>
    </row>
    <row r="28" spans="1:8" ht="55.8" thickBot="1">
      <c r="A28" s="342"/>
      <c r="B28" s="62" t="s">
        <v>155</v>
      </c>
      <c r="C28" s="344"/>
      <c r="D28" s="72"/>
      <c r="E28" s="72"/>
      <c r="F28" s="72">
        <v>0.5</v>
      </c>
      <c r="G28" s="68">
        <v>1</v>
      </c>
      <c r="H28" s="68"/>
    </row>
    <row r="29" spans="1:8" ht="28.2" thickBot="1">
      <c r="A29" s="342"/>
      <c r="B29" s="62" t="s">
        <v>156</v>
      </c>
      <c r="C29" s="344"/>
      <c r="D29" s="72"/>
      <c r="E29" s="72">
        <v>3</v>
      </c>
      <c r="F29" s="72"/>
      <c r="G29" s="68"/>
      <c r="H29" s="68"/>
    </row>
    <row r="30" spans="1:8" ht="15" customHeight="1" thickBot="1">
      <c r="A30" s="342"/>
      <c r="B30" s="120" t="s">
        <v>98</v>
      </c>
      <c r="C30" s="344"/>
      <c r="D30" s="72"/>
      <c r="E30" s="72"/>
      <c r="F30" s="72"/>
      <c r="G30" s="68"/>
      <c r="H30" s="68"/>
    </row>
    <row r="31" spans="1:8" ht="14.4" thickBot="1">
      <c r="A31" s="342"/>
      <c r="B31" s="62" t="s">
        <v>129</v>
      </c>
      <c r="C31" s="344"/>
      <c r="D31" s="72"/>
      <c r="E31" s="72">
        <v>3</v>
      </c>
      <c r="F31" s="72"/>
      <c r="G31" s="68"/>
      <c r="H31" s="68"/>
    </row>
    <row r="32" spans="1:8" ht="14.4" thickBot="1">
      <c r="A32" s="342"/>
      <c r="B32" s="62" t="s">
        <v>115</v>
      </c>
      <c r="C32" s="344"/>
      <c r="D32" s="72"/>
      <c r="E32" s="72">
        <v>5</v>
      </c>
      <c r="F32" s="72">
        <v>1</v>
      </c>
      <c r="G32" s="68">
        <v>1</v>
      </c>
      <c r="H32" s="68"/>
    </row>
    <row r="33" spans="1:9" ht="14.4" thickBot="1">
      <c r="A33" s="342"/>
      <c r="B33" s="62" t="s">
        <v>116</v>
      </c>
      <c r="C33" s="344"/>
      <c r="D33" s="72">
        <v>0.25</v>
      </c>
      <c r="E33" s="423">
        <v>2.5</v>
      </c>
      <c r="F33" s="72">
        <v>2</v>
      </c>
      <c r="G33" s="68">
        <v>2</v>
      </c>
      <c r="H33" s="68"/>
    </row>
    <row r="34" spans="1:9" ht="15" customHeight="1" thickBot="1">
      <c r="A34" s="343"/>
      <c r="B34" s="63" t="s">
        <v>117</v>
      </c>
      <c r="C34" s="345"/>
      <c r="D34" s="69"/>
      <c r="E34" s="69"/>
      <c r="F34" s="69"/>
      <c r="G34" s="70"/>
      <c r="H34" s="70">
        <v>3</v>
      </c>
    </row>
    <row r="35" spans="1:9" ht="15" customHeight="1" thickBot="1">
      <c r="A35" s="346" t="s">
        <v>32</v>
      </c>
      <c r="B35" s="62" t="s">
        <v>132</v>
      </c>
      <c r="C35" s="348" t="s">
        <v>35</v>
      </c>
      <c r="D35" s="71"/>
      <c r="E35" s="71">
        <v>1</v>
      </c>
      <c r="F35" s="71"/>
      <c r="G35" s="75"/>
      <c r="H35" s="75"/>
    </row>
    <row r="36" spans="1:9" ht="14.4" thickBot="1">
      <c r="A36" s="347"/>
      <c r="B36" s="39" t="s">
        <v>33</v>
      </c>
      <c r="C36" s="344"/>
      <c r="D36" s="72"/>
      <c r="E36" s="72">
        <v>0.5</v>
      </c>
      <c r="F36" s="72"/>
      <c r="G36" s="76"/>
      <c r="H36" s="76"/>
    </row>
    <row r="37" spans="1:9" ht="14.4" thickBot="1">
      <c r="A37" s="347"/>
      <c r="B37" s="39" t="s">
        <v>164</v>
      </c>
      <c r="C37" s="344"/>
      <c r="D37" s="72"/>
      <c r="E37" s="72">
        <v>0.5</v>
      </c>
      <c r="F37" s="72"/>
      <c r="G37" s="76"/>
      <c r="H37" s="76"/>
    </row>
    <row r="38" spans="1:9" ht="15" customHeight="1" thickBot="1">
      <c r="A38" s="347"/>
      <c r="B38" s="39" t="s">
        <v>131</v>
      </c>
      <c r="C38" s="345"/>
      <c r="D38" s="70">
        <v>0.25</v>
      </c>
      <c r="E38" s="72"/>
      <c r="F38" s="72"/>
      <c r="G38" s="76"/>
      <c r="H38" s="76"/>
    </row>
    <row r="39" spans="1:9" ht="14.4" thickBot="1">
      <c r="A39" s="333" t="s">
        <v>34</v>
      </c>
      <c r="B39" s="234" t="s">
        <v>165</v>
      </c>
      <c r="C39" s="334"/>
      <c r="D39" s="71"/>
      <c r="E39" s="424"/>
      <c r="F39" s="424"/>
      <c r="G39" s="424"/>
      <c r="H39" s="75"/>
    </row>
    <row r="40" spans="1:9" ht="14.4" thickBot="1">
      <c r="A40" s="41" t="s">
        <v>4</v>
      </c>
      <c r="B40" s="42"/>
      <c r="C40" s="43"/>
      <c r="D40" s="43">
        <f>SUM(D5:D39)</f>
        <v>8</v>
      </c>
      <c r="E40" s="43">
        <f>SUM(E5:E39)</f>
        <v>22</v>
      </c>
      <c r="F40" s="43">
        <f>SUM(F5:F39)</f>
        <v>30</v>
      </c>
      <c r="G40" s="43">
        <f>SUM(G5:G39)</f>
        <v>37</v>
      </c>
      <c r="H40" s="43">
        <f>SUM(H5:H39)</f>
        <v>3</v>
      </c>
      <c r="I40" s="44">
        <f>SUM(D40:H40)</f>
        <v>100</v>
      </c>
    </row>
    <row r="41" spans="1:9" ht="14.4" thickBot="1">
      <c r="A41" s="32"/>
      <c r="B41" s="32"/>
      <c r="C41" s="32"/>
      <c r="D41" s="32"/>
      <c r="E41" s="32"/>
      <c r="F41" s="32"/>
      <c r="G41" s="32"/>
      <c r="H41" s="32"/>
      <c r="I41" s="32"/>
    </row>
    <row r="42" spans="1:9" ht="14.4" thickBot="1">
      <c r="B42" s="45" t="s">
        <v>36</v>
      </c>
      <c r="C42" s="31" t="s">
        <v>37</v>
      </c>
      <c r="I42" s="46" t="s">
        <v>38</v>
      </c>
    </row>
    <row r="43" spans="1:9">
      <c r="B43" s="45" t="s">
        <v>39</v>
      </c>
      <c r="C43" s="6" t="s">
        <v>40</v>
      </c>
      <c r="D43" s="33">
        <v>14000</v>
      </c>
      <c r="E43" s="33">
        <v>14000</v>
      </c>
      <c r="F43" s="33">
        <v>14000</v>
      </c>
      <c r="G43" s="33">
        <v>8500</v>
      </c>
      <c r="H43" s="34">
        <v>8500</v>
      </c>
      <c r="I43" s="47"/>
    </row>
    <row r="44" spans="1:9">
      <c r="C44" s="7" t="s">
        <v>41</v>
      </c>
      <c r="D44" s="8">
        <f>SUM(D5:D6)*D43</f>
        <v>7000</v>
      </c>
      <c r="E44" s="8">
        <f>SUM(E5:E6)*E43</f>
        <v>14000</v>
      </c>
      <c r="F44" s="8">
        <f>SUM(F5:F6)*F43</f>
        <v>0</v>
      </c>
      <c r="G44" s="8">
        <f>SUM(G5:G6)*G43</f>
        <v>0</v>
      </c>
      <c r="H44" s="8">
        <f>SUM(H5:H6)*H43</f>
        <v>0</v>
      </c>
      <c r="I44" s="48">
        <f>SUM(D44:H44)</f>
        <v>21000</v>
      </c>
    </row>
    <row r="45" spans="1:9" ht="14.4" thickBot="1">
      <c r="C45" s="9" t="s">
        <v>42</v>
      </c>
      <c r="D45" s="10">
        <f>SUM(D7:D39)*D43</f>
        <v>105000</v>
      </c>
      <c r="E45" s="10">
        <f>SUM(E7:E39)*E43</f>
        <v>294000</v>
      </c>
      <c r="F45" s="10">
        <f>SUM(F7:F39)*F43</f>
        <v>420000</v>
      </c>
      <c r="G45" s="10">
        <f>SUM(G7:G39)*G43</f>
        <v>314500</v>
      </c>
      <c r="H45" s="10">
        <f>SUM(H7:H39)*H43</f>
        <v>25500</v>
      </c>
      <c r="I45" s="49">
        <f>SUM(D45:H45)</f>
        <v>1159000</v>
      </c>
    </row>
    <row r="46" spans="1:9" ht="14.4" thickBot="1">
      <c r="I46" s="50">
        <f>SUM(I44:I45)</f>
        <v>1180000</v>
      </c>
    </row>
    <row r="47" spans="1:9" ht="14.4" thickBot="1">
      <c r="I47" s="46" t="s">
        <v>43</v>
      </c>
    </row>
    <row r="48" spans="1:9">
      <c r="C48" s="6" t="s">
        <v>44</v>
      </c>
      <c r="D48" s="33">
        <f>IF(D2="Sr1",6200,IF(D2="Sr2",9200,IF(D2="Of1",3500,IF(D2="Of2",4900))))</f>
        <v>6200</v>
      </c>
      <c r="E48" s="33">
        <f>IF(E2="Sr1",6200,IF(E2="Sr2",9200,IF(E2="Of1",3500,IF(E2="Of2",4900))))</f>
        <v>6200</v>
      </c>
      <c r="F48" s="33">
        <f>IF(F2="Sr1",6200,IF(F2="Sr2",9200,IF(F2="Of1",3500,IF(F2="Of2",4900))))</f>
        <v>6200</v>
      </c>
      <c r="G48" s="33">
        <f>IF(G2="Sr1",6200,IF(G2="Sr2",9200,IF(G2="Of1",3500,IF(G2="Of2",4900))))</f>
        <v>6200</v>
      </c>
      <c r="H48" s="33">
        <f>IF(H2="Sr1",6200,IF(H2="Sr2",9200,IF(H2="Of1",3500,IF(H2="Of2",4900))))</f>
        <v>3500</v>
      </c>
      <c r="I48" s="47"/>
    </row>
    <row r="49" spans="3:12" ht="14.4" thickBot="1">
      <c r="C49" s="9" t="s">
        <v>45</v>
      </c>
      <c r="D49" s="10">
        <f>D48*D40</f>
        <v>49600</v>
      </c>
      <c r="E49" s="10">
        <f t="shared" ref="E49:H49" si="0">E48*E40</f>
        <v>136400</v>
      </c>
      <c r="F49" s="10">
        <f t="shared" si="0"/>
        <v>186000</v>
      </c>
      <c r="G49" s="10">
        <f t="shared" si="0"/>
        <v>229400</v>
      </c>
      <c r="H49" s="10">
        <f t="shared" si="0"/>
        <v>10500</v>
      </c>
      <c r="I49" s="49">
        <f>SUM(D49:H49)</f>
        <v>611900</v>
      </c>
      <c r="L49" s="31">
        <f>106-94</f>
        <v>12</v>
      </c>
    </row>
    <row r="50" spans="3:12" ht="14.4" thickBot="1">
      <c r="I50" s="50">
        <f>SUM(I49:I49)</f>
        <v>611900</v>
      </c>
    </row>
    <row r="55" spans="3:12">
      <c r="E55" s="263"/>
    </row>
  </sheetData>
  <mergeCells count="18">
    <mergeCell ref="A13:A15"/>
    <mergeCell ref="C13:C15"/>
    <mergeCell ref="A7:A10"/>
    <mergeCell ref="C7:C10"/>
    <mergeCell ref="A11:A12"/>
    <mergeCell ref="C11:C12"/>
    <mergeCell ref="A1:C1"/>
    <mergeCell ref="A3:A4"/>
    <mergeCell ref="B3:B4"/>
    <mergeCell ref="C3:C4"/>
    <mergeCell ref="A5:A6"/>
    <mergeCell ref="C5:C6"/>
    <mergeCell ref="F22:F26"/>
    <mergeCell ref="G22:G26"/>
    <mergeCell ref="A16:A34"/>
    <mergeCell ref="C16:C34"/>
    <mergeCell ref="A35:A38"/>
    <mergeCell ref="C35:C38"/>
  </mergeCells>
  <phoneticPr fontId="15" type="noConversion"/>
  <dataValidations count="1">
    <dataValidation type="list" allowBlank="1" showInputMessage="1" showErrorMessage="1" sqref="D2:H2" xr:uid="{00000000-0002-0000-0100-000000000000}">
      <formula1>"Sr1, Sr2, Of1, Of2"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A5954-90E9-49EE-9FA4-44E3DDAD8E2D}">
  <dimension ref="A1:BF26"/>
  <sheetViews>
    <sheetView zoomScale="85" zoomScaleNormal="85" workbookViewId="0">
      <selection activeCell="BI17" sqref="BI17"/>
    </sheetView>
  </sheetViews>
  <sheetFormatPr defaultColWidth="8.6640625" defaultRowHeight="25.8"/>
  <cols>
    <col min="1" max="1" width="42.77734375" style="57" customWidth="1"/>
    <col min="2" max="2" width="19.109375" style="57" hidden="1" customWidth="1"/>
    <col min="3" max="58" width="2.21875" style="57" customWidth="1"/>
    <col min="59" max="16384" width="8.6640625" style="57"/>
  </cols>
  <sheetData>
    <row r="1" spans="1:58" s="59" customFormat="1" ht="17.399999999999999" customHeight="1">
      <c r="A1" s="58" t="str">
        <f>Total!B1</f>
        <v>โครงการ ENH-PTTEP-iCMS 2026 Enhancement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58" s="59" customFormat="1" ht="17.399999999999999" customHeight="1">
      <c r="A2" s="61" t="str">
        <f>DGT_Manday!A2</f>
        <v>ระยะเวลาโครงการ 172 วัน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spans="1:58" s="59" customFormat="1" ht="14.4"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58" ht="12" customHeight="1"/>
    <row r="5" spans="1:58" ht="26.4" thickBot="1">
      <c r="A5" s="378" t="s">
        <v>137</v>
      </c>
      <c r="B5" s="378"/>
      <c r="C5" s="378"/>
      <c r="D5" s="378"/>
      <c r="E5" s="378"/>
      <c r="F5" s="378"/>
      <c r="G5" s="378"/>
      <c r="H5" s="378"/>
      <c r="I5" s="378"/>
      <c r="J5" s="378"/>
      <c r="K5" s="378"/>
      <c r="L5" s="378"/>
      <c r="M5" s="378"/>
      <c r="N5" s="378"/>
      <c r="O5" s="378"/>
      <c r="P5" s="378"/>
      <c r="Q5" s="378"/>
      <c r="R5" s="378"/>
      <c r="S5" s="378"/>
      <c r="T5" s="378"/>
      <c r="U5" s="378"/>
      <c r="V5" s="378"/>
      <c r="W5" s="378"/>
      <c r="X5" s="378"/>
      <c r="Y5" s="378"/>
      <c r="Z5" s="378"/>
      <c r="AA5" s="378"/>
      <c r="AB5" s="378"/>
      <c r="AC5" s="378"/>
      <c r="AD5" s="378"/>
      <c r="AE5" s="378"/>
      <c r="AF5" s="378"/>
      <c r="AG5" s="378"/>
      <c r="AH5" s="378"/>
      <c r="AI5" s="378"/>
      <c r="AJ5" s="378"/>
      <c r="AK5" s="378"/>
      <c r="AL5" s="378"/>
      <c r="AM5" s="378"/>
      <c r="AN5" s="378"/>
      <c r="AO5" s="378"/>
      <c r="AP5" s="378"/>
      <c r="AQ5" s="378"/>
      <c r="AR5" s="378"/>
      <c r="AS5" s="378"/>
      <c r="AT5" s="378"/>
      <c r="AU5" s="378"/>
      <c r="AV5" s="378"/>
      <c r="AW5" s="378"/>
      <c r="AX5" s="378"/>
      <c r="AY5" s="378"/>
      <c r="AZ5" s="378"/>
      <c r="BA5" s="378"/>
      <c r="BB5" s="378"/>
      <c r="BC5" s="378"/>
      <c r="BD5" s="378"/>
      <c r="BE5" s="378"/>
      <c r="BF5" s="378"/>
    </row>
    <row r="6" spans="1:58">
      <c r="A6" s="410" t="s">
        <v>93</v>
      </c>
      <c r="B6" s="410" t="s">
        <v>67</v>
      </c>
      <c r="C6" s="388" t="s">
        <v>46</v>
      </c>
      <c r="D6" s="389"/>
      <c r="E6" s="389"/>
      <c r="F6" s="389"/>
      <c r="G6" s="389"/>
      <c r="H6" s="389"/>
      <c r="I6" s="389"/>
      <c r="J6" s="390"/>
      <c r="K6" s="388" t="s">
        <v>133</v>
      </c>
      <c r="L6" s="389"/>
      <c r="M6" s="389"/>
      <c r="N6" s="389"/>
      <c r="O6" s="389"/>
      <c r="P6" s="389"/>
      <c r="Q6" s="389"/>
      <c r="R6" s="390"/>
      <c r="S6" s="388" t="s">
        <v>47</v>
      </c>
      <c r="T6" s="389"/>
      <c r="U6" s="389"/>
      <c r="V6" s="389"/>
      <c r="W6" s="389"/>
      <c r="X6" s="389"/>
      <c r="Y6" s="389"/>
      <c r="Z6" s="390"/>
      <c r="AA6" s="388" t="s">
        <v>48</v>
      </c>
      <c r="AB6" s="389"/>
      <c r="AC6" s="389"/>
      <c r="AD6" s="389"/>
      <c r="AE6" s="389"/>
      <c r="AF6" s="389"/>
      <c r="AG6" s="389"/>
      <c r="AH6" s="390"/>
      <c r="AI6" s="388" t="s">
        <v>49</v>
      </c>
      <c r="AJ6" s="389"/>
      <c r="AK6" s="389"/>
      <c r="AL6" s="389"/>
      <c r="AM6" s="389"/>
      <c r="AN6" s="389"/>
      <c r="AO6" s="389"/>
      <c r="AP6" s="390"/>
      <c r="AQ6" s="388" t="s">
        <v>50</v>
      </c>
      <c r="AR6" s="389"/>
      <c r="AS6" s="389"/>
      <c r="AT6" s="389"/>
      <c r="AU6" s="389"/>
      <c r="AV6" s="389"/>
      <c r="AW6" s="389"/>
      <c r="AX6" s="390"/>
      <c r="AY6" s="388" t="s">
        <v>134</v>
      </c>
      <c r="AZ6" s="389"/>
      <c r="BA6" s="389"/>
      <c r="BB6" s="389"/>
      <c r="BC6" s="389"/>
      <c r="BD6" s="389"/>
      <c r="BE6" s="389"/>
      <c r="BF6" s="390"/>
    </row>
    <row r="7" spans="1:58" ht="26.4" thickBot="1">
      <c r="A7" s="411"/>
      <c r="B7" s="411"/>
      <c r="C7" s="412" t="s">
        <v>52</v>
      </c>
      <c r="D7" s="386"/>
      <c r="E7" s="384" t="s">
        <v>53</v>
      </c>
      <c r="F7" s="386"/>
      <c r="G7" s="384" t="s">
        <v>54</v>
      </c>
      <c r="H7" s="386"/>
      <c r="I7" s="384" t="s">
        <v>55</v>
      </c>
      <c r="J7" s="385"/>
      <c r="K7" s="387" t="s">
        <v>52</v>
      </c>
      <c r="L7" s="386"/>
      <c r="M7" s="384" t="s">
        <v>53</v>
      </c>
      <c r="N7" s="386"/>
      <c r="O7" s="384" t="s">
        <v>54</v>
      </c>
      <c r="P7" s="386"/>
      <c r="Q7" s="384" t="s">
        <v>55</v>
      </c>
      <c r="R7" s="385"/>
      <c r="S7" s="387" t="s">
        <v>52</v>
      </c>
      <c r="T7" s="386"/>
      <c r="U7" s="384" t="s">
        <v>53</v>
      </c>
      <c r="V7" s="386"/>
      <c r="W7" s="384" t="s">
        <v>54</v>
      </c>
      <c r="X7" s="386"/>
      <c r="Y7" s="384" t="s">
        <v>55</v>
      </c>
      <c r="Z7" s="385"/>
      <c r="AA7" s="387" t="s">
        <v>52</v>
      </c>
      <c r="AB7" s="386"/>
      <c r="AC7" s="384" t="s">
        <v>53</v>
      </c>
      <c r="AD7" s="386"/>
      <c r="AE7" s="384" t="s">
        <v>54</v>
      </c>
      <c r="AF7" s="386"/>
      <c r="AG7" s="384" t="s">
        <v>55</v>
      </c>
      <c r="AH7" s="385"/>
      <c r="AI7" s="387" t="s">
        <v>52</v>
      </c>
      <c r="AJ7" s="386"/>
      <c r="AK7" s="384" t="s">
        <v>53</v>
      </c>
      <c r="AL7" s="386"/>
      <c r="AM7" s="384" t="s">
        <v>54</v>
      </c>
      <c r="AN7" s="386"/>
      <c r="AO7" s="384" t="s">
        <v>55</v>
      </c>
      <c r="AP7" s="385"/>
      <c r="AQ7" s="387" t="s">
        <v>52</v>
      </c>
      <c r="AR7" s="386"/>
      <c r="AS7" s="384" t="s">
        <v>53</v>
      </c>
      <c r="AT7" s="386"/>
      <c r="AU7" s="384" t="s">
        <v>54</v>
      </c>
      <c r="AV7" s="386"/>
      <c r="AW7" s="384" t="s">
        <v>55</v>
      </c>
      <c r="AX7" s="385"/>
      <c r="AY7" s="387" t="s">
        <v>52</v>
      </c>
      <c r="AZ7" s="386"/>
      <c r="BA7" s="384" t="s">
        <v>53</v>
      </c>
      <c r="BB7" s="386"/>
      <c r="BC7" s="384" t="s">
        <v>54</v>
      </c>
      <c r="BD7" s="386"/>
      <c r="BE7" s="384" t="s">
        <v>55</v>
      </c>
      <c r="BF7" s="385"/>
    </row>
    <row r="8" spans="1:58">
      <c r="A8" s="122" t="s">
        <v>94</v>
      </c>
      <c r="B8" s="123"/>
      <c r="C8" s="408"/>
      <c r="D8" s="409"/>
      <c r="E8" s="376"/>
      <c r="F8" s="377"/>
      <c r="G8" s="376"/>
      <c r="H8" s="377"/>
      <c r="I8" s="376"/>
      <c r="J8" s="382"/>
      <c r="K8" s="383"/>
      <c r="L8" s="377"/>
      <c r="M8" s="376"/>
      <c r="N8" s="377"/>
      <c r="O8" s="376"/>
      <c r="P8" s="377"/>
      <c r="Q8" s="376"/>
      <c r="R8" s="382"/>
      <c r="S8" s="383"/>
      <c r="T8" s="377"/>
      <c r="U8" s="376"/>
      <c r="V8" s="377"/>
      <c r="W8" s="376"/>
      <c r="X8" s="377"/>
      <c r="Y8" s="376"/>
      <c r="Z8" s="382"/>
      <c r="AA8" s="383"/>
      <c r="AB8" s="377"/>
      <c r="AC8" s="376"/>
      <c r="AD8" s="377"/>
      <c r="AE8" s="376"/>
      <c r="AF8" s="377"/>
      <c r="AG8" s="376"/>
      <c r="AH8" s="382"/>
      <c r="AI8" s="383"/>
      <c r="AJ8" s="377"/>
      <c r="AK8" s="376"/>
      <c r="AL8" s="377"/>
      <c r="AM8" s="376"/>
      <c r="AN8" s="377"/>
      <c r="AO8" s="376"/>
      <c r="AP8" s="382"/>
      <c r="AQ8" s="383"/>
      <c r="AR8" s="377"/>
      <c r="AS8" s="376"/>
      <c r="AT8" s="377"/>
      <c r="AU8" s="376"/>
      <c r="AV8" s="377"/>
      <c r="AW8" s="376"/>
      <c r="AX8" s="382"/>
      <c r="AY8" s="383"/>
      <c r="AZ8" s="377"/>
      <c r="BA8" s="376"/>
      <c r="BB8" s="377"/>
      <c r="BC8" s="376"/>
      <c r="BD8" s="377"/>
      <c r="BE8" s="376"/>
      <c r="BF8" s="382"/>
    </row>
    <row r="9" spans="1:58" ht="26.4" thickBot="1">
      <c r="A9" s="124" t="s">
        <v>95</v>
      </c>
      <c r="B9" s="125" t="s">
        <v>108</v>
      </c>
      <c r="C9" s="406"/>
      <c r="D9" s="407"/>
      <c r="E9" s="374"/>
      <c r="F9" s="375"/>
      <c r="G9" s="374"/>
      <c r="H9" s="375"/>
      <c r="I9" s="374"/>
      <c r="J9" s="380"/>
      <c r="K9" s="381"/>
      <c r="L9" s="375"/>
      <c r="M9" s="374"/>
      <c r="N9" s="375"/>
      <c r="O9" s="374"/>
      <c r="P9" s="375"/>
      <c r="Q9" s="374"/>
      <c r="R9" s="380"/>
      <c r="S9" s="381"/>
      <c r="T9" s="375"/>
      <c r="U9" s="374"/>
      <c r="V9" s="375"/>
      <c r="W9" s="374"/>
      <c r="X9" s="375"/>
      <c r="Y9" s="374"/>
      <c r="Z9" s="380"/>
      <c r="AA9" s="381"/>
      <c r="AB9" s="375"/>
      <c r="AC9" s="374"/>
      <c r="AD9" s="375"/>
      <c r="AE9" s="374"/>
      <c r="AF9" s="375"/>
      <c r="AG9" s="374"/>
      <c r="AH9" s="380"/>
      <c r="AI9" s="381"/>
      <c r="AJ9" s="375"/>
      <c r="AK9" s="374"/>
      <c r="AL9" s="375"/>
      <c r="AM9" s="374"/>
      <c r="AN9" s="375"/>
      <c r="AO9" s="374"/>
      <c r="AP9" s="380"/>
      <c r="AQ9" s="381"/>
      <c r="AR9" s="375"/>
      <c r="AS9" s="374"/>
      <c r="AT9" s="375"/>
      <c r="AU9" s="374"/>
      <c r="AV9" s="375"/>
      <c r="AW9" s="374"/>
      <c r="AX9" s="380"/>
      <c r="AY9" s="381"/>
      <c r="AZ9" s="375"/>
      <c r="BA9" s="374"/>
      <c r="BB9" s="375"/>
      <c r="BC9" s="374"/>
      <c r="BD9" s="375"/>
      <c r="BE9" s="374"/>
      <c r="BF9" s="380"/>
    </row>
    <row r="10" spans="1:58" ht="19.8" customHeight="1">
      <c r="A10" s="122" t="s">
        <v>96</v>
      </c>
      <c r="B10" s="126"/>
      <c r="C10" s="127"/>
      <c r="D10" s="128"/>
      <c r="E10" s="127"/>
      <c r="F10" s="128"/>
      <c r="G10" s="127"/>
      <c r="H10" s="128"/>
      <c r="I10" s="393"/>
      <c r="J10" s="394"/>
      <c r="K10" s="133"/>
      <c r="L10" s="130"/>
      <c r="M10" s="131"/>
      <c r="N10" s="130"/>
      <c r="O10" s="131"/>
      <c r="P10" s="130"/>
      <c r="Q10" s="131"/>
      <c r="R10" s="132"/>
      <c r="S10" s="129"/>
      <c r="T10" s="130"/>
      <c r="U10" s="131"/>
      <c r="V10" s="130"/>
      <c r="W10" s="131"/>
      <c r="X10" s="130"/>
      <c r="Y10" s="131"/>
      <c r="Z10" s="132"/>
      <c r="AA10" s="133"/>
      <c r="AB10" s="130"/>
      <c r="AC10" s="131"/>
      <c r="AD10" s="130"/>
      <c r="AE10" s="131"/>
      <c r="AF10" s="130"/>
      <c r="AG10" s="131"/>
      <c r="AH10" s="132"/>
      <c r="AI10" s="134"/>
      <c r="AJ10" s="130"/>
      <c r="AK10" s="131"/>
      <c r="AL10" s="130"/>
      <c r="AM10" s="131"/>
      <c r="AN10" s="130"/>
      <c r="AO10" s="131"/>
      <c r="AP10" s="132"/>
      <c r="AQ10" s="134"/>
      <c r="AR10" s="130"/>
      <c r="AS10" s="131"/>
      <c r="AT10" s="130"/>
      <c r="AU10" s="131"/>
      <c r="AV10" s="130"/>
      <c r="AW10" s="131"/>
      <c r="AX10" s="132"/>
      <c r="AY10" s="134"/>
      <c r="AZ10" s="130"/>
      <c r="BA10" s="131"/>
      <c r="BB10" s="130"/>
      <c r="BC10" s="131"/>
      <c r="BD10" s="130"/>
      <c r="BE10" s="131"/>
      <c r="BF10" s="132"/>
    </row>
    <row r="11" spans="1:58" ht="19.8" customHeight="1" thickBot="1">
      <c r="A11" s="150" t="s">
        <v>125</v>
      </c>
      <c r="B11" s="124" t="s">
        <v>108</v>
      </c>
      <c r="C11" s="239"/>
      <c r="D11" s="136"/>
      <c r="E11" s="135"/>
      <c r="F11" s="137"/>
      <c r="G11" s="138"/>
      <c r="H11" s="137"/>
      <c r="I11" s="141"/>
      <c r="J11" s="142"/>
      <c r="K11" s="143"/>
      <c r="L11" s="140"/>
      <c r="M11" s="141"/>
      <c r="N11" s="140"/>
      <c r="O11" s="141"/>
      <c r="P11" s="140"/>
      <c r="Q11" s="141"/>
      <c r="R11" s="142"/>
      <c r="S11" s="139"/>
      <c r="T11" s="140"/>
      <c r="U11" s="141"/>
      <c r="V11" s="140"/>
      <c r="W11" s="141"/>
      <c r="X11" s="140"/>
      <c r="Y11" s="141"/>
      <c r="Z11" s="142"/>
      <c r="AA11" s="143"/>
      <c r="AB11" s="140"/>
      <c r="AC11" s="141"/>
      <c r="AD11" s="140"/>
      <c r="AE11" s="141"/>
      <c r="AF11" s="140"/>
      <c r="AG11" s="141"/>
      <c r="AH11" s="142"/>
      <c r="AI11" s="144"/>
      <c r="AJ11" s="140"/>
      <c r="AK11" s="141"/>
      <c r="AL11" s="140"/>
      <c r="AM11" s="141"/>
      <c r="AN11" s="140"/>
      <c r="AO11" s="141"/>
      <c r="AP11" s="142"/>
      <c r="AQ11" s="144"/>
      <c r="AR11" s="140"/>
      <c r="AS11" s="141"/>
      <c r="AT11" s="140"/>
      <c r="AU11" s="141"/>
      <c r="AV11" s="140"/>
      <c r="AW11" s="141"/>
      <c r="AX11" s="142"/>
      <c r="AY11" s="144"/>
      <c r="AZ11" s="140"/>
      <c r="BA11" s="141"/>
      <c r="BB11" s="140"/>
      <c r="BC11" s="141"/>
      <c r="BD11" s="140"/>
      <c r="BE11" s="141"/>
      <c r="BF11" s="142"/>
    </row>
    <row r="12" spans="1:58" ht="19.8" customHeight="1" thickBot="1">
      <c r="A12" s="150" t="s">
        <v>126</v>
      </c>
      <c r="B12" s="124" t="s">
        <v>108</v>
      </c>
      <c r="C12" s="255"/>
      <c r="D12" s="256"/>
      <c r="E12" s="257"/>
      <c r="F12" s="258"/>
      <c r="G12" s="138"/>
      <c r="H12" s="137"/>
      <c r="I12" s="135"/>
      <c r="J12" s="254"/>
      <c r="K12" s="143"/>
      <c r="L12" s="140"/>
      <c r="M12" s="141"/>
      <c r="N12" s="140"/>
      <c r="O12" s="141"/>
      <c r="P12" s="140"/>
      <c r="Q12" s="141"/>
      <c r="R12" s="142"/>
      <c r="S12" s="139"/>
      <c r="T12" s="140"/>
      <c r="U12" s="141"/>
      <c r="V12" s="140"/>
      <c r="W12" s="141"/>
      <c r="X12" s="140"/>
      <c r="Y12" s="141"/>
      <c r="Z12" s="142"/>
      <c r="AA12" s="143"/>
      <c r="AB12" s="140"/>
      <c r="AC12" s="141"/>
      <c r="AD12" s="140"/>
      <c r="AE12" s="141"/>
      <c r="AF12" s="140"/>
      <c r="AG12" s="141"/>
      <c r="AH12" s="142"/>
      <c r="AI12" s="144"/>
      <c r="AJ12" s="140"/>
      <c r="AK12" s="141"/>
      <c r="AL12" s="140"/>
      <c r="AM12" s="141"/>
      <c r="AN12" s="140"/>
      <c r="AO12" s="141"/>
      <c r="AP12" s="142"/>
      <c r="AQ12" s="144"/>
      <c r="AR12" s="140"/>
      <c r="AS12" s="141"/>
      <c r="AT12" s="140"/>
      <c r="AU12" s="141"/>
      <c r="AV12" s="140"/>
      <c r="AW12" s="141"/>
      <c r="AX12" s="142"/>
      <c r="AY12" s="144"/>
      <c r="AZ12" s="140"/>
      <c r="BA12" s="141"/>
      <c r="BB12" s="140"/>
      <c r="BC12" s="141"/>
      <c r="BD12" s="140"/>
      <c r="BE12" s="141"/>
      <c r="BF12" s="142"/>
    </row>
    <row r="13" spans="1:58" ht="19.8" customHeight="1" thickBot="1">
      <c r="A13" s="124" t="s">
        <v>121</v>
      </c>
      <c r="B13" s="124" t="s">
        <v>108</v>
      </c>
      <c r="C13" s="141"/>
      <c r="D13" s="140"/>
      <c r="E13" s="141"/>
      <c r="F13" s="152"/>
      <c r="G13" s="157"/>
      <c r="H13" s="152"/>
      <c r="I13" s="135"/>
      <c r="J13" s="254"/>
      <c r="K13" s="143"/>
      <c r="L13" s="140"/>
      <c r="M13" s="141"/>
      <c r="N13" s="140"/>
      <c r="O13" s="141"/>
      <c r="P13" s="140"/>
      <c r="Q13" s="141"/>
      <c r="R13" s="142"/>
      <c r="S13" s="139"/>
      <c r="T13" s="140"/>
      <c r="U13" s="141"/>
      <c r="V13" s="140"/>
      <c r="W13" s="141"/>
      <c r="X13" s="140"/>
      <c r="Y13" s="141"/>
      <c r="Z13" s="142"/>
      <c r="AA13" s="143"/>
      <c r="AB13" s="140"/>
      <c r="AC13" s="141"/>
      <c r="AD13" s="140"/>
      <c r="AE13" s="141"/>
      <c r="AF13" s="140"/>
      <c r="AG13" s="141"/>
      <c r="AH13" s="142"/>
      <c r="AI13" s="144"/>
      <c r="AJ13" s="140"/>
      <c r="AK13" s="141"/>
      <c r="AL13" s="140"/>
      <c r="AM13" s="141"/>
      <c r="AN13" s="140"/>
      <c r="AO13" s="141"/>
      <c r="AP13" s="142"/>
      <c r="AQ13" s="144"/>
      <c r="AR13" s="140"/>
      <c r="AS13" s="141"/>
      <c r="AT13" s="140"/>
      <c r="AU13" s="141"/>
      <c r="AV13" s="140"/>
      <c r="AW13" s="141"/>
      <c r="AX13" s="142"/>
      <c r="AY13" s="144"/>
      <c r="AZ13" s="140"/>
      <c r="BA13" s="141"/>
      <c r="BB13" s="140"/>
      <c r="BC13" s="141"/>
      <c r="BD13" s="140"/>
      <c r="BE13" s="141"/>
      <c r="BF13" s="142"/>
    </row>
    <row r="14" spans="1:58" ht="19.8" customHeight="1">
      <c r="A14" s="259" t="s">
        <v>92</v>
      </c>
      <c r="B14" s="145"/>
      <c r="C14" s="134"/>
      <c r="D14" s="130"/>
      <c r="E14" s="131"/>
      <c r="F14" s="130"/>
      <c r="G14" s="131"/>
      <c r="H14" s="130"/>
      <c r="I14" s="131"/>
      <c r="J14" s="132"/>
      <c r="K14" s="279"/>
      <c r="L14" s="277"/>
      <c r="M14" s="276"/>
      <c r="N14" s="277"/>
      <c r="O14" s="276"/>
      <c r="P14" s="277"/>
      <c r="Q14" s="276"/>
      <c r="R14" s="278"/>
      <c r="S14" s="279"/>
      <c r="T14" s="277"/>
      <c r="U14" s="276"/>
      <c r="V14" s="277"/>
      <c r="W14" s="276"/>
      <c r="X14" s="277"/>
      <c r="Y14" s="276"/>
      <c r="Z14" s="278"/>
      <c r="AA14" s="134"/>
      <c r="AB14" s="130"/>
      <c r="AC14" s="395"/>
      <c r="AD14" s="396"/>
      <c r="AE14" s="395"/>
      <c r="AF14" s="396"/>
      <c r="AG14" s="395"/>
      <c r="AH14" s="405"/>
      <c r="AI14" s="134"/>
      <c r="AJ14" s="130"/>
      <c r="AK14" s="131"/>
      <c r="AL14" s="130"/>
      <c r="AM14" s="131"/>
      <c r="AN14" s="130"/>
      <c r="AO14" s="131"/>
      <c r="AP14" s="132"/>
      <c r="AQ14" s="134"/>
      <c r="AR14" s="130"/>
      <c r="AS14" s="131"/>
      <c r="AT14" s="130"/>
      <c r="AU14" s="131"/>
      <c r="AV14" s="130"/>
      <c r="AW14" s="131"/>
      <c r="AX14" s="132"/>
      <c r="AY14" s="134"/>
      <c r="AZ14" s="130"/>
      <c r="BA14" s="131"/>
      <c r="BB14" s="130"/>
      <c r="BC14" s="131"/>
      <c r="BD14" s="130"/>
      <c r="BE14" s="131"/>
      <c r="BF14" s="132"/>
    </row>
    <row r="15" spans="1:58" ht="19.8" customHeight="1" thickBot="1">
      <c r="A15" s="150" t="s">
        <v>97</v>
      </c>
      <c r="B15" s="150" t="s">
        <v>109</v>
      </c>
      <c r="C15" s="151"/>
      <c r="D15" s="152"/>
      <c r="E15" s="157"/>
      <c r="F15" s="152"/>
      <c r="G15" s="157"/>
      <c r="H15" s="152"/>
      <c r="I15" s="157"/>
      <c r="J15" s="158"/>
      <c r="K15" s="156"/>
      <c r="L15" s="154"/>
      <c r="M15" s="153"/>
      <c r="N15" s="154"/>
      <c r="O15" s="153"/>
      <c r="P15" s="154"/>
      <c r="Q15" s="153"/>
      <c r="R15" s="155"/>
      <c r="S15" s="156"/>
      <c r="T15" s="154"/>
      <c r="U15" s="153"/>
      <c r="V15" s="154"/>
      <c r="W15" s="288"/>
      <c r="X15" s="289"/>
      <c r="Y15" s="288"/>
      <c r="Z15" s="290"/>
      <c r="AA15" s="151"/>
      <c r="AB15" s="152"/>
      <c r="AC15" s="370"/>
      <c r="AD15" s="371"/>
      <c r="AE15" s="157"/>
      <c r="AF15" s="152"/>
      <c r="AG15" s="157"/>
      <c r="AH15" s="158"/>
      <c r="AI15" s="151"/>
      <c r="AJ15" s="152"/>
      <c r="AK15" s="157"/>
      <c r="AL15" s="152"/>
      <c r="AM15" s="157"/>
      <c r="AN15" s="152"/>
      <c r="AO15" s="157"/>
      <c r="AP15" s="158"/>
      <c r="AQ15" s="151"/>
      <c r="AR15" s="152"/>
      <c r="AS15" s="157"/>
      <c r="AT15" s="152"/>
      <c r="AU15" s="157"/>
      <c r="AV15" s="152"/>
      <c r="AW15" s="157"/>
      <c r="AX15" s="158"/>
      <c r="AY15" s="151"/>
      <c r="AZ15" s="152"/>
      <c r="BA15" s="157"/>
      <c r="BB15" s="152"/>
      <c r="BC15" s="157"/>
      <c r="BD15" s="152"/>
      <c r="BE15" s="157"/>
      <c r="BF15" s="158"/>
    </row>
    <row r="16" spans="1:58" ht="19.8" customHeight="1">
      <c r="A16" s="259" t="s">
        <v>98</v>
      </c>
      <c r="B16" s="160"/>
      <c r="C16" s="134"/>
      <c r="D16" s="130"/>
      <c r="E16" s="131"/>
      <c r="F16" s="130"/>
      <c r="G16" s="161"/>
      <c r="H16" s="130"/>
      <c r="I16" s="131"/>
      <c r="J16" s="132"/>
      <c r="K16" s="133"/>
      <c r="L16" s="130"/>
      <c r="M16" s="133"/>
      <c r="N16" s="130"/>
      <c r="O16" s="131"/>
      <c r="P16" s="130"/>
      <c r="Q16" s="131"/>
      <c r="R16" s="132"/>
      <c r="S16" s="133"/>
      <c r="T16" s="130"/>
      <c r="U16" s="207"/>
      <c r="V16" s="208"/>
      <c r="W16" s="367"/>
      <c r="X16" s="368"/>
      <c r="Y16" s="367"/>
      <c r="Z16" s="369"/>
      <c r="AA16" s="162"/>
      <c r="AB16" s="163"/>
      <c r="AC16" s="164"/>
      <c r="AD16" s="163"/>
      <c r="AE16" s="164"/>
      <c r="AF16" s="163"/>
      <c r="AG16" s="164"/>
      <c r="AH16" s="165"/>
      <c r="AI16" s="166"/>
      <c r="AJ16" s="163"/>
      <c r="AK16" s="164"/>
      <c r="AL16" s="267"/>
      <c r="AM16" s="164"/>
      <c r="AN16" s="267"/>
      <c r="AO16" s="131"/>
      <c r="AP16" s="132"/>
      <c r="AQ16" s="134"/>
      <c r="AR16" s="130"/>
      <c r="AS16" s="131"/>
      <c r="AT16" s="130"/>
      <c r="AU16" s="131"/>
      <c r="AV16" s="130"/>
      <c r="AW16" s="131"/>
      <c r="AX16" s="132"/>
      <c r="AY16" s="134"/>
      <c r="AZ16" s="130"/>
      <c r="BA16" s="131"/>
      <c r="BB16" s="130"/>
      <c r="BC16" s="131"/>
      <c r="BD16" s="130"/>
      <c r="BE16" s="131"/>
      <c r="BF16" s="132"/>
    </row>
    <row r="17" spans="1:58" ht="19.8" customHeight="1">
      <c r="A17" s="167" t="s">
        <v>101</v>
      </c>
      <c r="B17" s="167" t="s">
        <v>110</v>
      </c>
      <c r="C17" s="179"/>
      <c r="D17" s="180"/>
      <c r="E17" s="181"/>
      <c r="F17" s="180"/>
      <c r="G17" s="206"/>
      <c r="H17" s="180"/>
      <c r="I17" s="181"/>
      <c r="J17" s="184"/>
      <c r="K17" s="182"/>
      <c r="L17" s="180"/>
      <c r="M17" s="182"/>
      <c r="N17" s="180"/>
      <c r="O17" s="181"/>
      <c r="P17" s="180"/>
      <c r="Q17" s="181"/>
      <c r="R17" s="184"/>
      <c r="S17" s="182"/>
      <c r="T17" s="180"/>
      <c r="U17" s="182"/>
      <c r="V17" s="180"/>
      <c r="W17" s="272"/>
      <c r="X17" s="273"/>
      <c r="Y17" s="272"/>
      <c r="Z17" s="274"/>
      <c r="AA17" s="280"/>
      <c r="AB17" s="270"/>
      <c r="AC17" s="269"/>
      <c r="AD17" s="270"/>
      <c r="AE17" s="181"/>
      <c r="AF17" s="212"/>
      <c r="AG17" s="181"/>
      <c r="AH17" s="213"/>
      <c r="AI17" s="182"/>
      <c r="AJ17" s="212"/>
      <c r="AK17" s="181"/>
      <c r="AL17" s="180"/>
      <c r="AM17" s="181"/>
      <c r="AN17" s="180"/>
      <c r="AO17" s="181"/>
      <c r="AP17" s="184"/>
      <c r="AQ17" s="179"/>
      <c r="AR17" s="180"/>
      <c r="AS17" s="181"/>
      <c r="AT17" s="180"/>
      <c r="AU17" s="181"/>
      <c r="AV17" s="180"/>
      <c r="AW17" s="181"/>
      <c r="AX17" s="184"/>
      <c r="AY17" s="179"/>
      <c r="AZ17" s="180"/>
      <c r="BA17" s="181"/>
      <c r="BB17" s="180"/>
      <c r="BC17" s="181"/>
      <c r="BD17" s="180"/>
      <c r="BE17" s="181"/>
      <c r="BF17" s="184"/>
    </row>
    <row r="18" spans="1:58" ht="19.8" customHeight="1">
      <c r="A18" s="167" t="s">
        <v>136</v>
      </c>
      <c r="B18" s="167" t="s">
        <v>110</v>
      </c>
      <c r="C18" s="151"/>
      <c r="D18" s="152"/>
      <c r="E18" s="157"/>
      <c r="F18" s="152"/>
      <c r="G18" s="159"/>
      <c r="H18" s="152"/>
      <c r="I18" s="157"/>
      <c r="J18" s="158"/>
      <c r="K18" s="168"/>
      <c r="L18" s="152"/>
      <c r="M18" s="157"/>
      <c r="N18" s="152"/>
      <c r="O18" s="157"/>
      <c r="P18" s="152"/>
      <c r="Q18" s="157"/>
      <c r="R18" s="158"/>
      <c r="S18" s="168"/>
      <c r="T18" s="152"/>
      <c r="U18" s="157"/>
      <c r="V18" s="152"/>
      <c r="W18" s="370"/>
      <c r="X18" s="371"/>
      <c r="Y18" s="372"/>
      <c r="Z18" s="373"/>
      <c r="AA18" s="275"/>
      <c r="AB18" s="218"/>
      <c r="AC18" s="217"/>
      <c r="AD18" s="218"/>
      <c r="AE18" s="216"/>
      <c r="AF18" s="215"/>
      <c r="AG18" s="169"/>
      <c r="AH18" s="173"/>
      <c r="AI18" s="168"/>
      <c r="AJ18" s="152"/>
      <c r="AK18" s="157"/>
      <c r="AL18" s="152"/>
      <c r="AM18" s="157"/>
      <c r="AN18" s="152"/>
      <c r="AO18" s="157"/>
      <c r="AP18" s="158"/>
      <c r="AQ18" s="151"/>
      <c r="AR18" s="152"/>
      <c r="AS18" s="157"/>
      <c r="AT18" s="152"/>
      <c r="AU18" s="157"/>
      <c r="AV18" s="152"/>
      <c r="AW18" s="157"/>
      <c r="AX18" s="158"/>
      <c r="AY18" s="151"/>
      <c r="AZ18" s="152"/>
      <c r="BA18" s="157"/>
      <c r="BB18" s="152"/>
      <c r="BC18" s="157"/>
      <c r="BD18" s="152"/>
      <c r="BE18" s="157"/>
      <c r="BF18" s="158"/>
    </row>
    <row r="19" spans="1:58" ht="19.8" customHeight="1" thickBot="1">
      <c r="A19" s="150" t="s">
        <v>99</v>
      </c>
      <c r="B19" s="124" t="s">
        <v>100</v>
      </c>
      <c r="C19" s="174"/>
      <c r="D19" s="152"/>
      <c r="E19" s="157"/>
      <c r="F19" s="152"/>
      <c r="G19" s="157"/>
      <c r="H19" s="152"/>
      <c r="I19" s="157"/>
      <c r="J19" s="158"/>
      <c r="K19" s="168"/>
      <c r="L19" s="152"/>
      <c r="M19" s="157"/>
      <c r="N19" s="152"/>
      <c r="O19" s="157"/>
      <c r="P19" s="152"/>
      <c r="Q19" s="157"/>
      <c r="R19" s="158"/>
      <c r="S19" s="168"/>
      <c r="T19" s="152"/>
      <c r="U19" s="157"/>
      <c r="V19" s="152"/>
      <c r="W19" s="157"/>
      <c r="X19" s="152"/>
      <c r="Y19" s="157"/>
      <c r="Z19" s="158"/>
      <c r="AA19" s="400"/>
      <c r="AB19" s="371"/>
      <c r="AC19" s="401"/>
      <c r="AD19" s="402"/>
      <c r="AE19" s="157"/>
      <c r="AF19" s="152"/>
      <c r="AG19" s="168"/>
      <c r="AH19" s="158"/>
      <c r="AI19" s="172"/>
      <c r="AJ19" s="171"/>
      <c r="AK19" s="169"/>
      <c r="AL19" s="171"/>
      <c r="AM19" s="169"/>
      <c r="AN19" s="171"/>
      <c r="AO19" s="157"/>
      <c r="AP19" s="158"/>
      <c r="AQ19" s="174"/>
      <c r="AR19" s="175"/>
      <c r="AS19" s="176"/>
      <c r="AT19" s="175"/>
      <c r="AU19" s="176"/>
      <c r="AV19" s="175"/>
      <c r="AW19" s="176"/>
      <c r="AX19" s="177"/>
      <c r="AY19" s="174"/>
      <c r="AZ19" s="175"/>
      <c r="BA19" s="176"/>
      <c r="BB19" s="175"/>
      <c r="BC19" s="176"/>
      <c r="BD19" s="175"/>
      <c r="BE19" s="176"/>
      <c r="BF19" s="177"/>
    </row>
    <row r="20" spans="1:58" ht="19.8" customHeight="1">
      <c r="A20" s="259" t="s">
        <v>127</v>
      </c>
      <c r="B20" s="145"/>
      <c r="C20" s="134"/>
      <c r="D20" s="130"/>
      <c r="E20" s="189"/>
      <c r="F20" s="130"/>
      <c r="G20" s="178"/>
      <c r="H20" s="178"/>
      <c r="I20" s="189"/>
      <c r="J20" s="132"/>
      <c r="K20" s="134"/>
      <c r="L20" s="130"/>
      <c r="M20" s="189"/>
      <c r="N20" s="130"/>
      <c r="O20" s="178"/>
      <c r="P20" s="178"/>
      <c r="Q20" s="189"/>
      <c r="R20" s="132"/>
      <c r="S20" s="133"/>
      <c r="T20" s="130"/>
      <c r="U20" s="133"/>
      <c r="V20" s="130"/>
      <c r="W20" s="178"/>
      <c r="X20" s="178"/>
      <c r="Y20" s="189"/>
      <c r="Z20" s="132"/>
      <c r="AA20" s="134"/>
      <c r="AB20" s="130"/>
      <c r="AC20" s="133"/>
      <c r="AD20" s="130"/>
      <c r="AE20" s="178"/>
      <c r="AF20" s="178"/>
      <c r="AG20" s="189"/>
      <c r="AH20" s="132"/>
      <c r="AI20" s="220"/>
      <c r="AJ20" s="130"/>
      <c r="AK20" s="131"/>
      <c r="AL20" s="178"/>
      <c r="AM20" s="190"/>
      <c r="AN20" s="260"/>
      <c r="AO20" s="190"/>
      <c r="AP20" s="191"/>
      <c r="AQ20" s="284"/>
      <c r="AR20" s="282"/>
      <c r="AS20" s="281"/>
      <c r="AT20" s="283"/>
      <c r="AU20" s="281"/>
      <c r="AV20" s="282"/>
      <c r="AW20" s="181"/>
      <c r="AX20" s="184"/>
      <c r="AY20" s="221"/>
      <c r="AZ20" s="180"/>
      <c r="BA20" s="181"/>
      <c r="BB20" s="183"/>
      <c r="BC20" s="181"/>
      <c r="BD20" s="180"/>
      <c r="BE20" s="181"/>
      <c r="BF20" s="184"/>
    </row>
    <row r="21" spans="1:58" ht="19.8" customHeight="1">
      <c r="A21" s="167" t="s">
        <v>135</v>
      </c>
      <c r="B21" s="167" t="s">
        <v>74</v>
      </c>
      <c r="C21" s="179"/>
      <c r="D21" s="180"/>
      <c r="E21" s="183"/>
      <c r="F21" s="180"/>
      <c r="G21" s="183"/>
      <c r="H21" s="180"/>
      <c r="I21" s="192"/>
      <c r="J21" s="184"/>
      <c r="K21" s="179"/>
      <c r="L21" s="180"/>
      <c r="M21" s="183"/>
      <c r="N21" s="180"/>
      <c r="O21" s="183"/>
      <c r="P21" s="180"/>
      <c r="Q21" s="192"/>
      <c r="R21" s="184"/>
      <c r="S21" s="182"/>
      <c r="T21" s="180"/>
      <c r="U21" s="182"/>
      <c r="V21" s="180"/>
      <c r="W21" s="183"/>
      <c r="X21" s="183"/>
      <c r="Y21" s="192"/>
      <c r="Z21" s="184"/>
      <c r="AA21" s="179"/>
      <c r="AB21" s="180"/>
      <c r="AC21" s="182"/>
      <c r="AD21" s="180"/>
      <c r="AE21" s="183"/>
      <c r="AF21" s="183"/>
      <c r="AG21" s="192"/>
      <c r="AH21" s="184"/>
      <c r="AI21" s="221"/>
      <c r="AJ21" s="180"/>
      <c r="AK21" s="181"/>
      <c r="AL21" s="180"/>
      <c r="AM21" s="222"/>
      <c r="AN21" s="223"/>
      <c r="AO21" s="222"/>
      <c r="AP21" s="286"/>
      <c r="AQ21" s="221"/>
      <c r="AR21" s="180"/>
      <c r="AS21" s="181"/>
      <c r="AT21" s="183"/>
      <c r="AU21" s="181"/>
      <c r="AV21" s="183"/>
      <c r="AW21" s="181"/>
      <c r="AX21" s="184"/>
      <c r="AY21" s="221"/>
      <c r="AZ21" s="180"/>
      <c r="BA21" s="181"/>
      <c r="BB21" s="183"/>
      <c r="BC21" s="181"/>
      <c r="BD21" s="183"/>
      <c r="BE21" s="181"/>
      <c r="BF21" s="184"/>
    </row>
    <row r="22" spans="1:58" ht="19.8" customHeight="1">
      <c r="A22" s="167" t="s">
        <v>102</v>
      </c>
      <c r="B22" s="167" t="s">
        <v>74</v>
      </c>
      <c r="C22" s="179"/>
      <c r="D22" s="180"/>
      <c r="E22" s="183"/>
      <c r="F22" s="180"/>
      <c r="G22" s="183"/>
      <c r="H22" s="180"/>
      <c r="I22" s="192"/>
      <c r="J22" s="184"/>
      <c r="K22" s="179"/>
      <c r="L22" s="180"/>
      <c r="M22" s="183"/>
      <c r="N22" s="180"/>
      <c r="O22" s="183"/>
      <c r="P22" s="180"/>
      <c r="Q22" s="192"/>
      <c r="R22" s="184"/>
      <c r="S22" s="182"/>
      <c r="T22" s="180"/>
      <c r="U22" s="182"/>
      <c r="V22" s="180"/>
      <c r="W22" s="183"/>
      <c r="X22" s="183"/>
      <c r="Y22" s="192"/>
      <c r="Z22" s="184"/>
      <c r="AA22" s="179"/>
      <c r="AB22" s="180"/>
      <c r="AC22" s="182"/>
      <c r="AD22" s="180"/>
      <c r="AE22" s="183"/>
      <c r="AF22" s="183"/>
      <c r="AG22" s="192"/>
      <c r="AH22" s="184"/>
      <c r="AI22" s="221"/>
      <c r="AJ22" s="180"/>
      <c r="AK22" s="181"/>
      <c r="AL22" s="180"/>
      <c r="AM22" s="181"/>
      <c r="AN22" s="180"/>
      <c r="AO22" s="181"/>
      <c r="AP22" s="183"/>
      <c r="AQ22" s="285"/>
      <c r="AR22" s="223"/>
      <c r="AS22" s="222"/>
      <c r="AT22" s="286"/>
      <c r="AU22" s="181"/>
      <c r="AV22" s="183"/>
      <c r="AW22" s="181"/>
      <c r="AX22" s="184"/>
      <c r="AY22" s="221"/>
      <c r="AZ22" s="180"/>
      <c r="BA22" s="181"/>
      <c r="BB22" s="183"/>
      <c r="BC22" s="181"/>
      <c r="BD22" s="183"/>
      <c r="BE22" s="181"/>
      <c r="BF22" s="184"/>
    </row>
    <row r="23" spans="1:58" ht="21" customHeight="1">
      <c r="A23" s="167" t="s">
        <v>103</v>
      </c>
      <c r="B23" s="193" t="s">
        <v>104</v>
      </c>
      <c r="C23" s="151"/>
      <c r="D23" s="152"/>
      <c r="E23" s="157"/>
      <c r="F23" s="152"/>
      <c r="G23" s="157"/>
      <c r="H23" s="152"/>
      <c r="I23" s="181"/>
      <c r="J23" s="184"/>
      <c r="K23" s="151"/>
      <c r="L23" s="152"/>
      <c r="M23" s="157"/>
      <c r="N23" s="152"/>
      <c r="O23" s="157"/>
      <c r="P23" s="152"/>
      <c r="Q23" s="181"/>
      <c r="R23" s="184"/>
      <c r="S23" s="151"/>
      <c r="T23" s="152"/>
      <c r="U23" s="157"/>
      <c r="V23" s="152"/>
      <c r="W23" s="157"/>
      <c r="X23" s="152"/>
      <c r="Y23" s="181"/>
      <c r="Z23" s="184"/>
      <c r="AA23" s="151"/>
      <c r="AB23" s="152"/>
      <c r="AC23" s="157"/>
      <c r="AD23" s="152"/>
      <c r="AE23" s="157"/>
      <c r="AF23" s="170"/>
      <c r="AG23" s="194"/>
      <c r="AH23" s="195"/>
      <c r="AI23" s="403"/>
      <c r="AJ23" s="404"/>
      <c r="AK23" s="370"/>
      <c r="AL23" s="371"/>
      <c r="AM23" s="157"/>
      <c r="AN23" s="170"/>
      <c r="AO23" s="194"/>
      <c r="AP23" s="168"/>
      <c r="AQ23" s="151"/>
      <c r="AR23" s="152"/>
      <c r="AS23" s="168"/>
      <c r="AT23" s="152"/>
      <c r="AU23" s="391"/>
      <c r="AV23" s="392"/>
      <c r="AW23" s="168"/>
      <c r="AX23" s="158"/>
      <c r="AY23" s="151"/>
      <c r="AZ23" s="152"/>
      <c r="BA23" s="168"/>
      <c r="BB23" s="152"/>
      <c r="BC23" s="372"/>
      <c r="BD23" s="379"/>
      <c r="BE23" s="168"/>
      <c r="BF23" s="158"/>
    </row>
    <row r="24" spans="1:58" ht="19.8" customHeight="1" thickBot="1">
      <c r="A24" s="125" t="s">
        <v>122</v>
      </c>
      <c r="B24" s="125" t="s">
        <v>105</v>
      </c>
      <c r="C24" s="174"/>
      <c r="D24" s="175"/>
      <c r="E24" s="176"/>
      <c r="F24" s="175"/>
      <c r="G24" s="176"/>
      <c r="H24" s="175"/>
      <c r="I24" s="186"/>
      <c r="J24" s="188"/>
      <c r="K24" s="174"/>
      <c r="L24" s="175"/>
      <c r="M24" s="176"/>
      <c r="N24" s="175"/>
      <c r="O24" s="176"/>
      <c r="P24" s="175"/>
      <c r="Q24" s="186"/>
      <c r="R24" s="188"/>
      <c r="S24" s="174"/>
      <c r="T24" s="175"/>
      <c r="U24" s="176"/>
      <c r="V24" s="175"/>
      <c r="W24" s="176"/>
      <c r="X24" s="175"/>
      <c r="Y24" s="186"/>
      <c r="Z24" s="188"/>
      <c r="AA24" s="174"/>
      <c r="AB24" s="175"/>
      <c r="AC24" s="176"/>
      <c r="AD24" s="175"/>
      <c r="AE24" s="176"/>
      <c r="AF24" s="197"/>
      <c r="AG24" s="198"/>
      <c r="AH24" s="199"/>
      <c r="AI24" s="200"/>
      <c r="AJ24" s="197"/>
      <c r="AK24" s="397"/>
      <c r="AL24" s="398"/>
      <c r="AM24" s="187"/>
      <c r="AN24" s="185"/>
      <c r="AO24" s="374"/>
      <c r="AP24" s="399"/>
      <c r="AQ24" s="174"/>
      <c r="AR24" s="175"/>
      <c r="AS24" s="168"/>
      <c r="AT24" s="152"/>
      <c r="AU24" s="332"/>
      <c r="AV24" s="325"/>
      <c r="AW24" s="176"/>
      <c r="AX24" s="177"/>
      <c r="AY24" s="174"/>
      <c r="AZ24" s="175"/>
      <c r="BA24" s="168"/>
      <c r="BB24" s="152"/>
      <c r="BC24" s="201"/>
      <c r="BD24" s="175"/>
      <c r="BE24" s="176"/>
      <c r="BF24" s="177"/>
    </row>
    <row r="25" spans="1:58" ht="19.8" customHeight="1">
      <c r="A25" s="122" t="s">
        <v>106</v>
      </c>
      <c r="B25" s="145"/>
      <c r="C25" s="134"/>
      <c r="D25" s="130"/>
      <c r="E25" s="189"/>
      <c r="F25" s="130"/>
      <c r="G25" s="178"/>
      <c r="H25" s="178"/>
      <c r="I25" s="189"/>
      <c r="J25" s="132"/>
      <c r="K25" s="134"/>
      <c r="L25" s="130"/>
      <c r="M25" s="189"/>
      <c r="N25" s="130"/>
      <c r="O25" s="178"/>
      <c r="P25" s="178"/>
      <c r="Q25" s="189"/>
      <c r="R25" s="132"/>
      <c r="S25" s="134"/>
      <c r="T25" s="130"/>
      <c r="U25" s="133"/>
      <c r="V25" s="130"/>
      <c r="W25" s="178"/>
      <c r="X25" s="178"/>
      <c r="Y25" s="189"/>
      <c r="Z25" s="132"/>
      <c r="AA25" s="134"/>
      <c r="AB25" s="130"/>
      <c r="AC25" s="133"/>
      <c r="AD25" s="130"/>
      <c r="AE25" s="178"/>
      <c r="AF25" s="178"/>
      <c r="AG25" s="189"/>
      <c r="AH25" s="132"/>
      <c r="AI25" s="134"/>
      <c r="AJ25" s="130"/>
      <c r="AK25" s="133"/>
      <c r="AL25" s="130"/>
      <c r="AM25" s="178"/>
      <c r="AN25" s="178"/>
      <c r="AO25" s="189"/>
      <c r="AP25" s="132"/>
      <c r="AQ25" s="134"/>
      <c r="AR25" s="130"/>
      <c r="AS25" s="178"/>
      <c r="AT25" s="178"/>
      <c r="AU25" s="189"/>
      <c r="AV25" s="130"/>
      <c r="AW25" s="232"/>
      <c r="AX25" s="204"/>
      <c r="AY25" s="261"/>
      <c r="AZ25" s="202"/>
      <c r="BA25" s="203"/>
      <c r="BB25" s="203"/>
      <c r="BC25" s="224"/>
      <c r="BD25" s="202"/>
      <c r="BE25" s="131"/>
      <c r="BF25" s="132"/>
    </row>
    <row r="26" spans="1:58" ht="19.8" customHeight="1" thickBot="1">
      <c r="A26" s="124" t="s">
        <v>107</v>
      </c>
      <c r="B26" s="167" t="s">
        <v>111</v>
      </c>
      <c r="C26" s="174"/>
      <c r="D26" s="175"/>
      <c r="E26" s="205"/>
      <c r="F26" s="175"/>
      <c r="G26" s="205"/>
      <c r="H26" s="175"/>
      <c r="I26" s="186"/>
      <c r="J26" s="188"/>
      <c r="K26" s="174"/>
      <c r="L26" s="175"/>
      <c r="M26" s="205"/>
      <c r="N26" s="175"/>
      <c r="O26" s="205"/>
      <c r="P26" s="175"/>
      <c r="Q26" s="186"/>
      <c r="R26" s="188"/>
      <c r="S26" s="174"/>
      <c r="T26" s="175"/>
      <c r="U26" s="176"/>
      <c r="V26" s="175"/>
      <c r="W26" s="205"/>
      <c r="X26" s="175"/>
      <c r="Y26" s="186"/>
      <c r="Z26" s="188"/>
      <c r="AA26" s="174"/>
      <c r="AB26" s="175"/>
      <c r="AC26" s="176"/>
      <c r="AD26" s="175"/>
      <c r="AE26" s="205"/>
      <c r="AF26" s="175"/>
      <c r="AG26" s="186"/>
      <c r="AH26" s="188"/>
      <c r="AI26" s="174"/>
      <c r="AJ26" s="175"/>
      <c r="AK26" s="176"/>
      <c r="AL26" s="175"/>
      <c r="AM26" s="205"/>
      <c r="AN26" s="175"/>
      <c r="AO26" s="186"/>
      <c r="AP26" s="188"/>
      <c r="AQ26" s="174"/>
      <c r="AR26" s="175"/>
      <c r="AS26" s="205"/>
      <c r="AT26" s="175"/>
      <c r="AU26" s="186"/>
      <c r="AV26" s="185"/>
      <c r="AW26" s="233"/>
      <c r="AX26" s="230"/>
      <c r="AY26" s="262"/>
      <c r="AZ26" s="226"/>
      <c r="BA26" s="225"/>
      <c r="BB26" s="226"/>
      <c r="BC26" s="227"/>
      <c r="BD26" s="231"/>
      <c r="BE26" s="176"/>
      <c r="BF26" s="177"/>
    </row>
  </sheetData>
  <mergeCells count="111">
    <mergeCell ref="A6:A7"/>
    <mergeCell ref="B6:B7"/>
    <mergeCell ref="C6:J6"/>
    <mergeCell ref="K6:R6"/>
    <mergeCell ref="S6:Z6"/>
    <mergeCell ref="AA6:AH6"/>
    <mergeCell ref="AI6:AP6"/>
    <mergeCell ref="AQ6:AX6"/>
    <mergeCell ref="C7:D7"/>
    <mergeCell ref="E7:F7"/>
    <mergeCell ref="G7:H7"/>
    <mergeCell ref="I7:J7"/>
    <mergeCell ref="K7:L7"/>
    <mergeCell ref="M7:N7"/>
    <mergeCell ref="O7:P7"/>
    <mergeCell ref="Q7:R7"/>
    <mergeCell ref="S7:T7"/>
    <mergeCell ref="U7:V7"/>
    <mergeCell ref="W7:X7"/>
    <mergeCell ref="Y7:Z7"/>
    <mergeCell ref="AA7:AB7"/>
    <mergeCell ref="AC7:AD7"/>
    <mergeCell ref="AE7:AF7"/>
    <mergeCell ref="AG7:AH7"/>
    <mergeCell ref="AI7:AJ7"/>
    <mergeCell ref="AK7:AL7"/>
    <mergeCell ref="AM7:AN7"/>
    <mergeCell ref="AO7:AP7"/>
    <mergeCell ref="AQ7:AR7"/>
    <mergeCell ref="AS7:AT7"/>
    <mergeCell ref="AU7:AV7"/>
    <mergeCell ref="AW7:AX7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U8:V8"/>
    <mergeCell ref="W8:X8"/>
    <mergeCell ref="Y8:Z8"/>
    <mergeCell ref="AA8:AB8"/>
    <mergeCell ref="AC8:AD8"/>
    <mergeCell ref="AE8:AF8"/>
    <mergeCell ref="AG8:AH8"/>
    <mergeCell ref="AW8:AX8"/>
    <mergeCell ref="C9:D9"/>
    <mergeCell ref="E9:F9"/>
    <mergeCell ref="G9:H9"/>
    <mergeCell ref="I9:J9"/>
    <mergeCell ref="K9:L9"/>
    <mergeCell ref="M9:N9"/>
    <mergeCell ref="O9:P9"/>
    <mergeCell ref="Q9:R9"/>
    <mergeCell ref="S9:T9"/>
    <mergeCell ref="U9:V9"/>
    <mergeCell ref="W9:X9"/>
    <mergeCell ref="Y9:Z9"/>
    <mergeCell ref="AA9:AB9"/>
    <mergeCell ref="AC9:AD9"/>
    <mergeCell ref="AE9:AF9"/>
    <mergeCell ref="AG9:AH9"/>
    <mergeCell ref="AI9:AJ9"/>
    <mergeCell ref="AU8:AV8"/>
    <mergeCell ref="AI8:AJ8"/>
    <mergeCell ref="AK8:AL8"/>
    <mergeCell ref="AM8:AN8"/>
    <mergeCell ref="AO8:AP8"/>
    <mergeCell ref="AQ8:AR8"/>
    <mergeCell ref="AI23:AJ23"/>
    <mergeCell ref="AK23:AL23"/>
    <mergeCell ref="AE14:AF14"/>
    <mergeCell ref="AG14:AH14"/>
    <mergeCell ref="AK9:AL9"/>
    <mergeCell ref="AM9:AN9"/>
    <mergeCell ref="AO9:AP9"/>
    <mergeCell ref="AQ9:AR9"/>
    <mergeCell ref="I10:J10"/>
    <mergeCell ref="AC14:AD14"/>
    <mergeCell ref="AK24:AL24"/>
    <mergeCell ref="AO24:AP24"/>
    <mergeCell ref="AA19:AB19"/>
    <mergeCell ref="AC19:AD19"/>
    <mergeCell ref="AC15:AD15"/>
    <mergeCell ref="W16:X16"/>
    <mergeCell ref="Y16:Z16"/>
    <mergeCell ref="W18:X18"/>
    <mergeCell ref="Y18:Z18"/>
    <mergeCell ref="AS9:AT9"/>
    <mergeCell ref="AS8:AT8"/>
    <mergeCell ref="A5:BF5"/>
    <mergeCell ref="BC23:BD23"/>
    <mergeCell ref="BE9:BF9"/>
    <mergeCell ref="BC9:BD9"/>
    <mergeCell ref="BA9:BB9"/>
    <mergeCell ref="AY9:AZ9"/>
    <mergeCell ref="BE8:BF8"/>
    <mergeCell ref="BC8:BD8"/>
    <mergeCell ref="BA8:BB8"/>
    <mergeCell ref="AY8:AZ8"/>
    <mergeCell ref="BE7:BF7"/>
    <mergeCell ref="BC7:BD7"/>
    <mergeCell ref="BA7:BB7"/>
    <mergeCell ref="AY7:AZ7"/>
    <mergeCell ref="AY6:BF6"/>
    <mergeCell ref="AU23:AV23"/>
    <mergeCell ref="AU9:AV9"/>
    <mergeCell ref="AW9:AX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D52C4-7287-462F-AD7B-8E27F46918F2}">
  <dimension ref="A1:BV44"/>
  <sheetViews>
    <sheetView topLeftCell="A3" zoomScale="70" zoomScaleNormal="70" workbookViewId="0">
      <pane ySplit="4" topLeftCell="A7" activePane="bottomLeft" state="frozen"/>
      <selection activeCell="A3" sqref="A3"/>
      <selection pane="bottomLeft" activeCell="BW29" sqref="BW29"/>
    </sheetView>
  </sheetViews>
  <sheetFormatPr defaultColWidth="8.6640625" defaultRowHeight="25.8"/>
  <cols>
    <col min="1" max="1" width="42.77734375" style="57" customWidth="1"/>
    <col min="2" max="2" width="19.109375" style="57" hidden="1" customWidth="1"/>
    <col min="3" max="56" width="2.21875" style="57" customWidth="1"/>
    <col min="57" max="57" width="2.33203125" style="57" customWidth="1"/>
    <col min="58" max="74" width="2.21875" style="57" customWidth="1"/>
    <col min="75" max="16384" width="8.6640625" style="57"/>
  </cols>
  <sheetData>
    <row r="1" spans="1:74" s="59" customFormat="1" ht="18" hidden="1" customHeight="1">
      <c r="A1" s="58" t="str">
        <f>Total!B1</f>
        <v>โครงการ ENH-PTTEP-iCMS 2026 Enhancement</v>
      </c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74" s="59" customFormat="1" ht="18" hidden="1" customHeight="1">
      <c r="A2" s="61" t="str">
        <f>DGT_Manday!A2</f>
        <v>ระยะเวลาโครงการ 172 วัน</v>
      </c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spans="1:74" s="59" customFormat="1" ht="14.4"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74" ht="26.4" thickBot="1">
      <c r="A4" s="378" t="s">
        <v>124</v>
      </c>
      <c r="B4" s="378"/>
      <c r="C4" s="378"/>
      <c r="D4" s="378"/>
      <c r="E4" s="378"/>
      <c r="F4" s="378"/>
      <c r="G4" s="378"/>
      <c r="H4" s="378"/>
      <c r="I4" s="378"/>
      <c r="J4" s="378"/>
      <c r="K4" s="378"/>
      <c r="L4" s="378"/>
      <c r="M4" s="378"/>
      <c r="N4" s="378"/>
      <c r="O4" s="378"/>
      <c r="P4" s="378"/>
      <c r="Q4" s="378"/>
      <c r="R4" s="378"/>
      <c r="S4" s="378"/>
      <c r="T4" s="378"/>
      <c r="U4" s="378"/>
      <c r="V4" s="378"/>
      <c r="W4" s="378"/>
      <c r="X4" s="378"/>
      <c r="Y4" s="378"/>
      <c r="Z4" s="378"/>
      <c r="AA4" s="378"/>
      <c r="AB4" s="378"/>
      <c r="AC4" s="378"/>
      <c r="AD4" s="378"/>
      <c r="AE4" s="378"/>
      <c r="AF4" s="378"/>
      <c r="AG4" s="378"/>
      <c r="AH4" s="378"/>
      <c r="AI4" s="378"/>
      <c r="AJ4" s="378"/>
      <c r="AK4" s="378"/>
      <c r="AL4" s="378"/>
      <c r="AM4" s="378"/>
      <c r="AN4" s="378"/>
      <c r="AO4" s="378"/>
      <c r="AP4" s="378"/>
      <c r="AQ4" s="378"/>
      <c r="AR4" s="378"/>
      <c r="AS4" s="378"/>
      <c r="AT4" s="378"/>
      <c r="AU4" s="378"/>
      <c r="AV4" s="378"/>
      <c r="AW4" s="378"/>
      <c r="AX4" s="378"/>
      <c r="AY4" s="378"/>
      <c r="AZ4" s="378"/>
      <c r="BA4" s="378"/>
      <c r="BB4" s="378"/>
      <c r="BC4" s="378"/>
      <c r="BD4" s="378"/>
      <c r="BE4" s="378"/>
      <c r="BF4" s="378"/>
      <c r="BG4" s="378"/>
      <c r="BH4" s="378"/>
      <c r="BI4" s="378"/>
      <c r="BJ4" s="378"/>
      <c r="BK4" s="378"/>
      <c r="BL4" s="378"/>
      <c r="BM4" s="378"/>
      <c r="BN4" s="378"/>
      <c r="BO4" s="378"/>
      <c r="BP4" s="378"/>
      <c r="BQ4" s="378"/>
      <c r="BR4" s="378"/>
      <c r="BS4" s="378"/>
      <c r="BT4" s="378"/>
      <c r="BU4" s="378"/>
      <c r="BV4" s="378"/>
    </row>
    <row r="5" spans="1:74">
      <c r="A5" s="410" t="s">
        <v>93</v>
      </c>
      <c r="B5" s="410" t="s">
        <v>67</v>
      </c>
      <c r="C5" s="388" t="s">
        <v>138</v>
      </c>
      <c r="D5" s="389"/>
      <c r="E5" s="389"/>
      <c r="F5" s="389"/>
      <c r="G5" s="389"/>
      <c r="H5" s="389"/>
      <c r="I5" s="389"/>
      <c r="J5" s="390"/>
      <c r="K5" s="388" t="s">
        <v>139</v>
      </c>
      <c r="L5" s="389"/>
      <c r="M5" s="389"/>
      <c r="N5" s="389"/>
      <c r="O5" s="389"/>
      <c r="P5" s="389"/>
      <c r="Q5" s="389"/>
      <c r="R5" s="390"/>
      <c r="S5" s="388" t="s">
        <v>140</v>
      </c>
      <c r="T5" s="389"/>
      <c r="U5" s="389"/>
      <c r="V5" s="389"/>
      <c r="W5" s="389"/>
      <c r="X5" s="389"/>
      <c r="Y5" s="389"/>
      <c r="Z5" s="390"/>
      <c r="AA5" s="388" t="s">
        <v>141</v>
      </c>
      <c r="AB5" s="389"/>
      <c r="AC5" s="389"/>
      <c r="AD5" s="389"/>
      <c r="AE5" s="389"/>
      <c r="AF5" s="389"/>
      <c r="AG5" s="389"/>
      <c r="AH5" s="390"/>
      <c r="AI5" s="388" t="s">
        <v>142</v>
      </c>
      <c r="AJ5" s="389"/>
      <c r="AK5" s="389"/>
      <c r="AL5" s="389"/>
      <c r="AM5" s="389"/>
      <c r="AN5" s="389"/>
      <c r="AO5" s="389"/>
      <c r="AP5" s="390"/>
      <c r="AQ5" s="388" t="s">
        <v>143</v>
      </c>
      <c r="AR5" s="389"/>
      <c r="AS5" s="389"/>
      <c r="AT5" s="389"/>
      <c r="AU5" s="389"/>
      <c r="AV5" s="389"/>
      <c r="AW5" s="389"/>
      <c r="AX5" s="390"/>
      <c r="AY5" s="388" t="s">
        <v>144</v>
      </c>
      <c r="AZ5" s="389"/>
      <c r="BA5" s="389"/>
      <c r="BB5" s="389"/>
      <c r="BC5" s="389"/>
      <c r="BD5" s="389"/>
      <c r="BE5" s="389"/>
      <c r="BF5" s="390"/>
      <c r="BG5" s="388" t="s">
        <v>145</v>
      </c>
      <c r="BH5" s="389"/>
      <c r="BI5" s="389"/>
      <c r="BJ5" s="389"/>
      <c r="BK5" s="389"/>
      <c r="BL5" s="389"/>
      <c r="BM5" s="389"/>
      <c r="BN5" s="390"/>
      <c r="BO5" s="388" t="s">
        <v>146</v>
      </c>
      <c r="BP5" s="389"/>
      <c r="BQ5" s="389"/>
      <c r="BR5" s="389"/>
      <c r="BS5" s="389"/>
      <c r="BT5" s="389"/>
      <c r="BU5" s="389"/>
      <c r="BV5" s="390"/>
    </row>
    <row r="6" spans="1:74" ht="26.4" thickBot="1">
      <c r="A6" s="411"/>
      <c r="B6" s="411"/>
      <c r="C6" s="412" t="s">
        <v>52</v>
      </c>
      <c r="D6" s="386"/>
      <c r="E6" s="384" t="s">
        <v>53</v>
      </c>
      <c r="F6" s="386"/>
      <c r="G6" s="384" t="s">
        <v>54</v>
      </c>
      <c r="H6" s="386"/>
      <c r="I6" s="384" t="s">
        <v>55</v>
      </c>
      <c r="J6" s="385"/>
      <c r="K6" s="387" t="s">
        <v>52</v>
      </c>
      <c r="L6" s="386"/>
      <c r="M6" s="384" t="s">
        <v>53</v>
      </c>
      <c r="N6" s="386"/>
      <c r="O6" s="384" t="s">
        <v>54</v>
      </c>
      <c r="P6" s="386"/>
      <c r="Q6" s="384" t="s">
        <v>55</v>
      </c>
      <c r="R6" s="385"/>
      <c r="S6" s="387" t="s">
        <v>52</v>
      </c>
      <c r="T6" s="386"/>
      <c r="U6" s="384" t="s">
        <v>53</v>
      </c>
      <c r="V6" s="386"/>
      <c r="W6" s="384" t="s">
        <v>54</v>
      </c>
      <c r="X6" s="386"/>
      <c r="Y6" s="384" t="s">
        <v>55</v>
      </c>
      <c r="Z6" s="385"/>
      <c r="AA6" s="387" t="s">
        <v>52</v>
      </c>
      <c r="AB6" s="386"/>
      <c r="AC6" s="384" t="s">
        <v>53</v>
      </c>
      <c r="AD6" s="386"/>
      <c r="AE6" s="384" t="s">
        <v>54</v>
      </c>
      <c r="AF6" s="386"/>
      <c r="AG6" s="384" t="s">
        <v>55</v>
      </c>
      <c r="AH6" s="385"/>
      <c r="AI6" s="387" t="s">
        <v>52</v>
      </c>
      <c r="AJ6" s="386"/>
      <c r="AK6" s="384" t="s">
        <v>53</v>
      </c>
      <c r="AL6" s="386"/>
      <c r="AM6" s="384" t="s">
        <v>54</v>
      </c>
      <c r="AN6" s="386"/>
      <c r="AO6" s="384" t="s">
        <v>55</v>
      </c>
      <c r="AP6" s="385"/>
      <c r="AQ6" s="387" t="s">
        <v>52</v>
      </c>
      <c r="AR6" s="386"/>
      <c r="AS6" s="384" t="s">
        <v>53</v>
      </c>
      <c r="AT6" s="386"/>
      <c r="AU6" s="384" t="s">
        <v>54</v>
      </c>
      <c r="AV6" s="386"/>
      <c r="AW6" s="384" t="s">
        <v>55</v>
      </c>
      <c r="AX6" s="385"/>
      <c r="AY6" s="387" t="s">
        <v>52</v>
      </c>
      <c r="AZ6" s="386"/>
      <c r="BA6" s="384" t="s">
        <v>53</v>
      </c>
      <c r="BB6" s="386"/>
      <c r="BC6" s="384" t="s">
        <v>54</v>
      </c>
      <c r="BD6" s="386"/>
      <c r="BE6" s="384" t="s">
        <v>55</v>
      </c>
      <c r="BF6" s="385"/>
      <c r="BG6" s="387" t="s">
        <v>52</v>
      </c>
      <c r="BH6" s="386"/>
      <c r="BI6" s="384" t="s">
        <v>53</v>
      </c>
      <c r="BJ6" s="386"/>
      <c r="BK6" s="384" t="s">
        <v>54</v>
      </c>
      <c r="BL6" s="386"/>
      <c r="BM6" s="384" t="s">
        <v>55</v>
      </c>
      <c r="BN6" s="385"/>
      <c r="BO6" s="387" t="s">
        <v>52</v>
      </c>
      <c r="BP6" s="386"/>
      <c r="BQ6" s="384" t="s">
        <v>53</v>
      </c>
      <c r="BR6" s="386"/>
      <c r="BS6" s="384" t="s">
        <v>54</v>
      </c>
      <c r="BT6" s="386"/>
      <c r="BU6" s="384" t="s">
        <v>55</v>
      </c>
      <c r="BV6" s="385"/>
    </row>
    <row r="7" spans="1:74">
      <c r="A7" s="122" t="s">
        <v>94</v>
      </c>
      <c r="B7" s="123"/>
      <c r="C7" s="408"/>
      <c r="D7" s="409"/>
      <c r="E7" s="376"/>
      <c r="F7" s="377"/>
      <c r="G7" s="376"/>
      <c r="H7" s="377"/>
      <c r="I7" s="376"/>
      <c r="J7" s="382"/>
      <c r="K7" s="383"/>
      <c r="L7" s="377"/>
      <c r="M7" s="376"/>
      <c r="N7" s="377"/>
      <c r="O7" s="376"/>
      <c r="P7" s="377"/>
      <c r="Q7" s="376"/>
      <c r="R7" s="382"/>
      <c r="S7" s="383"/>
      <c r="T7" s="377"/>
      <c r="U7" s="376"/>
      <c r="V7" s="377"/>
      <c r="W7" s="376"/>
      <c r="X7" s="377"/>
      <c r="Y7" s="376"/>
      <c r="Z7" s="382"/>
      <c r="AA7" s="383"/>
      <c r="AB7" s="377"/>
      <c r="AC7" s="376"/>
      <c r="AD7" s="377"/>
      <c r="AE7" s="376"/>
      <c r="AF7" s="377"/>
      <c r="AG7" s="376"/>
      <c r="AH7" s="382"/>
      <c r="AI7" s="383"/>
      <c r="AJ7" s="377"/>
      <c r="AK7" s="376"/>
      <c r="AL7" s="377"/>
      <c r="AM7" s="376"/>
      <c r="AN7" s="377"/>
      <c r="AO7" s="376"/>
      <c r="AP7" s="382"/>
      <c r="AQ7" s="383"/>
      <c r="AR7" s="377"/>
      <c r="AS7" s="376"/>
      <c r="AT7" s="377"/>
      <c r="AU7" s="376"/>
      <c r="AV7" s="377"/>
      <c r="AW7" s="376"/>
      <c r="AX7" s="382"/>
      <c r="AY7" s="383"/>
      <c r="AZ7" s="377"/>
      <c r="BA7" s="376"/>
      <c r="BB7" s="377"/>
      <c r="BC7" s="376"/>
      <c r="BD7" s="377"/>
      <c r="BE7" s="376"/>
      <c r="BF7" s="382"/>
      <c r="BG7" s="383"/>
      <c r="BH7" s="377"/>
      <c r="BI7" s="376"/>
      <c r="BJ7" s="377"/>
      <c r="BK7" s="376"/>
      <c r="BL7" s="377"/>
      <c r="BM7" s="376"/>
      <c r="BN7" s="382"/>
      <c r="BO7" s="383"/>
      <c r="BP7" s="377"/>
      <c r="BQ7" s="376"/>
      <c r="BR7" s="377"/>
      <c r="BS7" s="376"/>
      <c r="BT7" s="377"/>
      <c r="BU7" s="376"/>
      <c r="BV7" s="382"/>
    </row>
    <row r="8" spans="1:74" ht="26.4" thickBot="1">
      <c r="A8" s="124" t="s">
        <v>95</v>
      </c>
      <c r="B8" s="125" t="s">
        <v>108</v>
      </c>
      <c r="C8" s="406"/>
      <c r="D8" s="407"/>
      <c r="E8" s="374"/>
      <c r="F8" s="375"/>
      <c r="G8" s="374"/>
      <c r="H8" s="375"/>
      <c r="I8" s="374"/>
      <c r="J8" s="380"/>
      <c r="K8" s="381"/>
      <c r="L8" s="375"/>
      <c r="M8" s="374"/>
      <c r="N8" s="375"/>
      <c r="O8" s="374"/>
      <c r="P8" s="375"/>
      <c r="Q8" s="374"/>
      <c r="R8" s="380"/>
      <c r="S8" s="381"/>
      <c r="T8" s="375"/>
      <c r="U8" s="374"/>
      <c r="V8" s="375"/>
      <c r="W8" s="374"/>
      <c r="X8" s="375"/>
      <c r="Y8" s="374"/>
      <c r="Z8" s="380"/>
      <c r="AA8" s="381"/>
      <c r="AB8" s="375"/>
      <c r="AC8" s="374"/>
      <c r="AD8" s="375"/>
      <c r="AE8" s="374"/>
      <c r="AF8" s="375"/>
      <c r="AG8" s="374"/>
      <c r="AH8" s="380"/>
      <c r="AI8" s="381"/>
      <c r="AJ8" s="375"/>
      <c r="AK8" s="374"/>
      <c r="AL8" s="375"/>
      <c r="AM8" s="374"/>
      <c r="AN8" s="375"/>
      <c r="AO8" s="374"/>
      <c r="AP8" s="380"/>
      <c r="AQ8" s="381"/>
      <c r="AR8" s="375"/>
      <c r="AS8" s="374"/>
      <c r="AT8" s="375"/>
      <c r="AU8" s="374"/>
      <c r="AV8" s="375"/>
      <c r="AW8" s="374"/>
      <c r="AX8" s="380"/>
      <c r="AY8" s="381"/>
      <c r="AZ8" s="375"/>
      <c r="BA8" s="374"/>
      <c r="BB8" s="375"/>
      <c r="BC8" s="374"/>
      <c r="BD8" s="375"/>
      <c r="BE8" s="374"/>
      <c r="BF8" s="380"/>
      <c r="BG8" s="381"/>
      <c r="BH8" s="375"/>
      <c r="BI8" s="374"/>
      <c r="BJ8" s="375"/>
      <c r="BK8" s="374"/>
      <c r="BL8" s="375"/>
      <c r="BM8" s="374"/>
      <c r="BN8" s="380"/>
      <c r="BO8" s="381"/>
      <c r="BP8" s="375"/>
      <c r="BQ8" s="374"/>
      <c r="BR8" s="375"/>
      <c r="BS8" s="374"/>
      <c r="BT8" s="375"/>
      <c r="BU8" s="374"/>
      <c r="BV8" s="380"/>
    </row>
    <row r="9" spans="1:74" ht="19.8" customHeight="1">
      <c r="A9" s="122" t="s">
        <v>96</v>
      </c>
      <c r="B9" s="126"/>
      <c r="C9" s="127"/>
      <c r="D9" s="128"/>
      <c r="E9" s="127"/>
      <c r="F9" s="128"/>
      <c r="G9" s="127"/>
      <c r="H9" s="128"/>
      <c r="I9" s="393"/>
      <c r="J9" s="394"/>
      <c r="K9" s="133"/>
      <c r="L9" s="130"/>
      <c r="M9" s="131"/>
      <c r="N9" s="130"/>
      <c r="O9" s="131"/>
      <c r="P9" s="130"/>
      <c r="Q9" s="131"/>
      <c r="R9" s="132"/>
      <c r="S9" s="129"/>
      <c r="T9" s="130"/>
      <c r="U9" s="131"/>
      <c r="V9" s="130"/>
      <c r="W9" s="131"/>
      <c r="X9" s="130"/>
      <c r="Y9" s="131"/>
      <c r="Z9" s="132"/>
      <c r="AA9" s="133"/>
      <c r="AB9" s="130"/>
      <c r="AC9" s="131"/>
      <c r="AD9" s="130"/>
      <c r="AE9" s="131"/>
      <c r="AF9" s="130"/>
      <c r="AG9" s="131"/>
      <c r="AH9" s="132"/>
      <c r="AI9" s="134"/>
      <c r="AJ9" s="130"/>
      <c r="AK9" s="131"/>
      <c r="AL9" s="130"/>
      <c r="AM9" s="131"/>
      <c r="AN9" s="130"/>
      <c r="AO9" s="131"/>
      <c r="AP9" s="132"/>
      <c r="AQ9" s="134"/>
      <c r="AR9" s="130"/>
      <c r="AS9" s="131"/>
      <c r="AT9" s="130"/>
      <c r="AU9" s="131"/>
      <c r="AV9" s="130"/>
      <c r="AW9" s="131"/>
      <c r="AX9" s="132"/>
      <c r="AY9" s="134"/>
      <c r="AZ9" s="130"/>
      <c r="BA9" s="131"/>
      <c r="BB9" s="130"/>
      <c r="BC9" s="131"/>
      <c r="BD9" s="130"/>
      <c r="BE9" s="131"/>
      <c r="BF9" s="132"/>
      <c r="BG9" s="134"/>
      <c r="BH9" s="130"/>
      <c r="BI9" s="131"/>
      <c r="BJ9" s="130"/>
      <c r="BK9" s="131"/>
      <c r="BL9" s="130"/>
      <c r="BM9" s="131"/>
      <c r="BN9" s="132"/>
      <c r="BO9" s="134"/>
      <c r="BP9" s="130"/>
      <c r="BQ9" s="131"/>
      <c r="BR9" s="130"/>
      <c r="BS9" s="131"/>
      <c r="BT9" s="130"/>
      <c r="BU9" s="131"/>
      <c r="BV9" s="132"/>
    </row>
    <row r="10" spans="1:74" ht="19.8" customHeight="1" thickBot="1">
      <c r="A10" s="150" t="s">
        <v>125</v>
      </c>
      <c r="B10" s="124" t="s">
        <v>108</v>
      </c>
      <c r="C10" s="239"/>
      <c r="D10" s="136"/>
      <c r="E10" s="135"/>
      <c r="F10" s="137"/>
      <c r="G10" s="138"/>
      <c r="H10" s="137"/>
      <c r="I10" s="141"/>
      <c r="J10" s="142"/>
      <c r="K10" s="143"/>
      <c r="L10" s="140"/>
      <c r="M10" s="141"/>
      <c r="N10" s="140"/>
      <c r="O10" s="141"/>
      <c r="P10" s="140"/>
      <c r="Q10" s="141"/>
      <c r="R10" s="142"/>
      <c r="S10" s="139"/>
      <c r="T10" s="140"/>
      <c r="U10" s="141"/>
      <c r="V10" s="140"/>
      <c r="W10" s="141"/>
      <c r="X10" s="140"/>
      <c r="Y10" s="141"/>
      <c r="Z10" s="142"/>
      <c r="AA10" s="143"/>
      <c r="AB10" s="140"/>
      <c r="AC10" s="141"/>
      <c r="AD10" s="140"/>
      <c r="AE10" s="141"/>
      <c r="AF10" s="140"/>
      <c r="AG10" s="141"/>
      <c r="AH10" s="142"/>
      <c r="AI10" s="144"/>
      <c r="AJ10" s="140"/>
      <c r="AK10" s="141"/>
      <c r="AL10" s="140"/>
      <c r="AM10" s="141"/>
      <c r="AN10" s="140"/>
      <c r="AO10" s="141"/>
      <c r="AP10" s="142"/>
      <c r="AQ10" s="144"/>
      <c r="AR10" s="140"/>
      <c r="AS10" s="141"/>
      <c r="AT10" s="140"/>
      <c r="AU10" s="141"/>
      <c r="AV10" s="140"/>
      <c r="AW10" s="141"/>
      <c r="AX10" s="142"/>
      <c r="AY10" s="144"/>
      <c r="AZ10" s="140"/>
      <c r="BA10" s="141"/>
      <c r="BB10" s="140"/>
      <c r="BC10" s="141"/>
      <c r="BD10" s="140"/>
      <c r="BE10" s="141"/>
      <c r="BF10" s="142"/>
      <c r="BG10" s="144"/>
      <c r="BH10" s="140"/>
      <c r="BI10" s="141"/>
      <c r="BJ10" s="140"/>
      <c r="BK10" s="141"/>
      <c r="BL10" s="140"/>
      <c r="BM10" s="141"/>
      <c r="BN10" s="142"/>
      <c r="BO10" s="144"/>
      <c r="BP10" s="140"/>
      <c r="BQ10" s="141"/>
      <c r="BR10" s="140"/>
      <c r="BS10" s="141"/>
      <c r="BT10" s="140"/>
      <c r="BU10" s="141"/>
      <c r="BV10" s="142"/>
    </row>
    <row r="11" spans="1:74" ht="19.8" customHeight="1" thickBot="1">
      <c r="A11" s="150" t="s">
        <v>126</v>
      </c>
      <c r="B11" s="124" t="s">
        <v>108</v>
      </c>
      <c r="C11" s="255"/>
      <c r="D11" s="256"/>
      <c r="E11" s="257"/>
      <c r="F11" s="258"/>
      <c r="G11" s="138"/>
      <c r="H11" s="137"/>
      <c r="I11" s="135"/>
      <c r="J11" s="254"/>
      <c r="K11" s="143"/>
      <c r="L11" s="140"/>
      <c r="M11" s="141"/>
      <c r="N11" s="140"/>
      <c r="O11" s="141"/>
      <c r="P11" s="140"/>
      <c r="Q11" s="141"/>
      <c r="R11" s="142"/>
      <c r="S11" s="139"/>
      <c r="T11" s="140"/>
      <c r="U11" s="141"/>
      <c r="V11" s="140"/>
      <c r="W11" s="141"/>
      <c r="X11" s="140"/>
      <c r="Y11" s="141"/>
      <c r="Z11" s="142"/>
      <c r="AA11" s="143"/>
      <c r="AB11" s="140"/>
      <c r="AC11" s="141"/>
      <c r="AD11" s="140"/>
      <c r="AE11" s="141"/>
      <c r="AF11" s="140"/>
      <c r="AG11" s="141"/>
      <c r="AH11" s="142"/>
      <c r="AI11" s="144"/>
      <c r="AJ11" s="140"/>
      <c r="AK11" s="141"/>
      <c r="AL11" s="140"/>
      <c r="AM11" s="141"/>
      <c r="AN11" s="140"/>
      <c r="AO11" s="141"/>
      <c r="AP11" s="142"/>
      <c r="AQ11" s="144"/>
      <c r="AR11" s="140"/>
      <c r="AS11" s="141"/>
      <c r="AT11" s="140"/>
      <c r="AU11" s="141"/>
      <c r="AV11" s="140"/>
      <c r="AW11" s="141"/>
      <c r="AX11" s="142"/>
      <c r="AY11" s="144"/>
      <c r="AZ11" s="140"/>
      <c r="BA11" s="141"/>
      <c r="BB11" s="140"/>
      <c r="BC11" s="141"/>
      <c r="BD11" s="140"/>
      <c r="BE11" s="141"/>
      <c r="BF11" s="142"/>
      <c r="BG11" s="144"/>
      <c r="BH11" s="140"/>
      <c r="BI11" s="141"/>
      <c r="BJ11" s="140"/>
      <c r="BK11" s="141"/>
      <c r="BL11" s="140"/>
      <c r="BM11" s="141"/>
      <c r="BN11" s="142"/>
      <c r="BO11" s="144"/>
      <c r="BP11" s="140"/>
      <c r="BQ11" s="141"/>
      <c r="BR11" s="140"/>
      <c r="BS11" s="141"/>
      <c r="BT11" s="140"/>
      <c r="BU11" s="141"/>
      <c r="BV11" s="142"/>
    </row>
    <row r="12" spans="1:74" ht="19.8" customHeight="1" thickBot="1">
      <c r="A12" s="124" t="s">
        <v>121</v>
      </c>
      <c r="B12" s="124" t="s">
        <v>108</v>
      </c>
      <c r="C12" s="141"/>
      <c r="D12" s="140"/>
      <c r="E12" s="141"/>
      <c r="F12" s="152"/>
      <c r="G12" s="157"/>
      <c r="H12" s="152"/>
      <c r="I12" s="135"/>
      <c r="J12" s="254"/>
      <c r="K12" s="143"/>
      <c r="L12" s="140"/>
      <c r="M12" s="141"/>
      <c r="N12" s="140"/>
      <c r="O12" s="141"/>
      <c r="P12" s="140"/>
      <c r="Q12" s="141"/>
      <c r="R12" s="142"/>
      <c r="S12" s="139"/>
      <c r="T12" s="140"/>
      <c r="U12" s="141"/>
      <c r="V12" s="140"/>
      <c r="W12" s="141"/>
      <c r="X12" s="140"/>
      <c r="Y12" s="141"/>
      <c r="Z12" s="142"/>
      <c r="AA12" s="143"/>
      <c r="AB12" s="140"/>
      <c r="AC12" s="141"/>
      <c r="AD12" s="140"/>
      <c r="AE12" s="141"/>
      <c r="AF12" s="140"/>
      <c r="AG12" s="141"/>
      <c r="AH12" s="142"/>
      <c r="AI12" s="144"/>
      <c r="AJ12" s="140"/>
      <c r="AK12" s="141"/>
      <c r="AL12" s="140"/>
      <c r="AM12" s="141"/>
      <c r="AN12" s="140"/>
      <c r="AO12" s="141"/>
      <c r="AP12" s="142"/>
      <c r="AQ12" s="144"/>
      <c r="AR12" s="140"/>
      <c r="AS12" s="141"/>
      <c r="AT12" s="140"/>
      <c r="AU12" s="141"/>
      <c r="AV12" s="140"/>
      <c r="AW12" s="141"/>
      <c r="AX12" s="142"/>
      <c r="AY12" s="144"/>
      <c r="AZ12" s="140"/>
      <c r="BA12" s="141"/>
      <c r="BB12" s="140"/>
      <c r="BC12" s="141"/>
      <c r="BD12" s="140"/>
      <c r="BE12" s="141"/>
      <c r="BF12" s="142"/>
      <c r="BG12" s="144"/>
      <c r="BH12" s="140"/>
      <c r="BI12" s="141"/>
      <c r="BJ12" s="140"/>
      <c r="BK12" s="141"/>
      <c r="BL12" s="140"/>
      <c r="BM12" s="141"/>
      <c r="BN12" s="142"/>
      <c r="BO12" s="144"/>
      <c r="BP12" s="140"/>
      <c r="BQ12" s="141"/>
      <c r="BR12" s="140"/>
      <c r="BS12" s="141"/>
      <c r="BT12" s="140"/>
      <c r="BU12" s="141"/>
      <c r="BV12" s="142"/>
    </row>
    <row r="13" spans="1:74" ht="19.8" customHeight="1">
      <c r="A13" s="259" t="s">
        <v>92</v>
      </c>
      <c r="B13" s="145"/>
      <c r="C13" s="134"/>
      <c r="D13" s="130"/>
      <c r="E13" s="131"/>
      <c r="F13" s="130"/>
      <c r="G13" s="131"/>
      <c r="H13" s="130"/>
      <c r="I13" s="131"/>
      <c r="J13" s="132"/>
      <c r="K13" s="146"/>
      <c r="L13" s="147"/>
      <c r="M13" s="148"/>
      <c r="N13" s="147"/>
      <c r="O13" s="148"/>
      <c r="P13" s="147"/>
      <c r="Q13" s="148"/>
      <c r="R13" s="149"/>
      <c r="S13" s="146"/>
      <c r="T13" s="147"/>
      <c r="U13" s="148"/>
      <c r="V13" s="147"/>
      <c r="W13" s="131"/>
      <c r="X13" s="130"/>
      <c r="Y13" s="131"/>
      <c r="Z13" s="132"/>
      <c r="AA13" s="134"/>
      <c r="AB13" s="130"/>
      <c r="AC13" s="395"/>
      <c r="AD13" s="396"/>
      <c r="AE13" s="395"/>
      <c r="AF13" s="396"/>
      <c r="AG13" s="395"/>
      <c r="AH13" s="405"/>
      <c r="AI13" s="134"/>
      <c r="AJ13" s="130"/>
      <c r="AK13" s="131"/>
      <c r="AL13" s="130"/>
      <c r="AM13" s="131"/>
      <c r="AN13" s="130"/>
      <c r="AO13" s="131"/>
      <c r="AP13" s="132"/>
      <c r="AQ13" s="134"/>
      <c r="AR13" s="130"/>
      <c r="AS13" s="131"/>
      <c r="AT13" s="130"/>
      <c r="AU13" s="131"/>
      <c r="AV13" s="130"/>
      <c r="AW13" s="131"/>
      <c r="AX13" s="132"/>
      <c r="AY13" s="134"/>
      <c r="AZ13" s="130"/>
      <c r="BA13" s="131"/>
      <c r="BB13" s="130"/>
      <c r="BC13" s="131"/>
      <c r="BD13" s="130"/>
      <c r="BE13" s="131"/>
      <c r="BF13" s="132"/>
      <c r="BG13" s="134"/>
      <c r="BH13" s="130"/>
      <c r="BI13" s="131"/>
      <c r="BJ13" s="130"/>
      <c r="BK13" s="131"/>
      <c r="BL13" s="130"/>
      <c r="BM13" s="131"/>
      <c r="BN13" s="132"/>
      <c r="BO13" s="134"/>
      <c r="BP13" s="130"/>
      <c r="BQ13" s="131"/>
      <c r="BR13" s="130"/>
      <c r="BS13" s="131"/>
      <c r="BT13" s="130"/>
      <c r="BU13" s="131"/>
      <c r="BV13" s="132"/>
    </row>
    <row r="14" spans="1:74" ht="19.8" customHeight="1" thickBot="1">
      <c r="A14" s="150" t="s">
        <v>97</v>
      </c>
      <c r="B14" s="150" t="s">
        <v>109</v>
      </c>
      <c r="C14" s="151"/>
      <c r="D14" s="152"/>
      <c r="E14" s="157"/>
      <c r="F14" s="152"/>
      <c r="G14" s="157"/>
      <c r="H14" s="152"/>
      <c r="I14" s="157"/>
      <c r="J14" s="158"/>
      <c r="K14" s="156"/>
      <c r="L14" s="154"/>
      <c r="M14" s="153"/>
      <c r="N14" s="154"/>
      <c r="O14" s="153"/>
      <c r="P14" s="154"/>
      <c r="Q14" s="153"/>
      <c r="R14" s="155"/>
      <c r="S14" s="156"/>
      <c r="T14" s="154"/>
      <c r="U14" s="153"/>
      <c r="V14" s="154"/>
      <c r="W14" s="157"/>
      <c r="X14" s="152"/>
      <c r="Y14" s="157"/>
      <c r="Z14" s="158"/>
      <c r="AA14" s="151"/>
      <c r="AB14" s="152"/>
      <c r="AC14" s="370"/>
      <c r="AD14" s="371"/>
      <c r="AE14" s="157"/>
      <c r="AF14" s="152"/>
      <c r="AG14" s="157"/>
      <c r="AH14" s="158"/>
      <c r="AI14" s="151"/>
      <c r="AJ14" s="152"/>
      <c r="AK14" s="157"/>
      <c r="AL14" s="152"/>
      <c r="AM14" s="157"/>
      <c r="AN14" s="152"/>
      <c r="AO14" s="157"/>
      <c r="AP14" s="158"/>
      <c r="AQ14" s="151"/>
      <c r="AR14" s="152"/>
      <c r="AS14" s="157"/>
      <c r="AT14" s="152"/>
      <c r="AU14" s="157"/>
      <c r="AV14" s="152"/>
      <c r="AW14" s="157"/>
      <c r="AX14" s="158"/>
      <c r="AY14" s="151"/>
      <c r="AZ14" s="152"/>
      <c r="BA14" s="157"/>
      <c r="BB14" s="152"/>
      <c r="BC14" s="157"/>
      <c r="BD14" s="152"/>
      <c r="BE14" s="157"/>
      <c r="BF14" s="158"/>
      <c r="BG14" s="151"/>
      <c r="BH14" s="152"/>
      <c r="BI14" s="157"/>
      <c r="BJ14" s="152"/>
      <c r="BK14" s="157"/>
      <c r="BL14" s="152"/>
      <c r="BM14" s="157"/>
      <c r="BN14" s="158"/>
      <c r="BO14" s="151"/>
      <c r="BP14" s="152"/>
      <c r="BQ14" s="157"/>
      <c r="BR14" s="152"/>
      <c r="BS14" s="157"/>
      <c r="BT14" s="152"/>
      <c r="BU14" s="157"/>
      <c r="BV14" s="158"/>
    </row>
    <row r="15" spans="1:74" ht="19.8" customHeight="1">
      <c r="A15" s="259" t="s">
        <v>98</v>
      </c>
      <c r="B15" s="160"/>
      <c r="C15" s="134"/>
      <c r="D15" s="130"/>
      <c r="E15" s="131"/>
      <c r="F15" s="130"/>
      <c r="G15" s="161"/>
      <c r="H15" s="130"/>
      <c r="I15" s="131"/>
      <c r="J15" s="132"/>
      <c r="K15" s="133"/>
      <c r="L15" s="130"/>
      <c r="M15" s="133"/>
      <c r="N15" s="130"/>
      <c r="O15" s="131"/>
      <c r="P15" s="130"/>
      <c r="Q15" s="131"/>
      <c r="R15" s="132"/>
      <c r="S15" s="133"/>
      <c r="T15" s="130"/>
      <c r="U15" s="207"/>
      <c r="V15" s="208"/>
      <c r="W15" s="420"/>
      <c r="X15" s="421"/>
      <c r="Y15" s="420"/>
      <c r="Z15" s="422"/>
      <c r="AA15" s="162"/>
      <c r="AB15" s="163"/>
      <c r="AC15" s="164"/>
      <c r="AD15" s="163"/>
      <c r="AE15" s="164"/>
      <c r="AF15" s="163"/>
      <c r="AG15" s="164"/>
      <c r="AH15" s="165"/>
      <c r="AI15" s="166"/>
      <c r="AJ15" s="163"/>
      <c r="AK15" s="131"/>
      <c r="AL15" s="130"/>
      <c r="AM15" s="131"/>
      <c r="AN15" s="130"/>
      <c r="AO15" s="131"/>
      <c r="AP15" s="132"/>
      <c r="AQ15" s="134"/>
      <c r="AR15" s="130"/>
      <c r="AS15" s="131"/>
      <c r="AT15" s="130"/>
      <c r="AU15" s="131"/>
      <c r="AV15" s="130"/>
      <c r="AW15" s="131"/>
      <c r="AX15" s="132"/>
      <c r="AY15" s="134"/>
      <c r="AZ15" s="130"/>
      <c r="BA15" s="131"/>
      <c r="BB15" s="130"/>
      <c r="BC15" s="131"/>
      <c r="BD15" s="130"/>
      <c r="BE15" s="131"/>
      <c r="BF15" s="132"/>
      <c r="BG15" s="134"/>
      <c r="BH15" s="130"/>
      <c r="BI15" s="131"/>
      <c r="BJ15" s="130"/>
      <c r="BK15" s="131"/>
      <c r="BL15" s="130"/>
      <c r="BM15" s="131"/>
      <c r="BN15" s="132"/>
      <c r="BO15" s="134"/>
      <c r="BP15" s="130"/>
      <c r="BQ15" s="131"/>
      <c r="BR15" s="130"/>
      <c r="BS15" s="131"/>
      <c r="BT15" s="130"/>
      <c r="BU15" s="131"/>
      <c r="BV15" s="132"/>
    </row>
    <row r="16" spans="1:74" ht="19.8" customHeight="1">
      <c r="A16" s="167" t="s">
        <v>101</v>
      </c>
      <c r="B16" s="167" t="s">
        <v>110</v>
      </c>
      <c r="C16" s="179"/>
      <c r="D16" s="180"/>
      <c r="E16" s="181"/>
      <c r="F16" s="180"/>
      <c r="G16" s="206"/>
      <c r="H16" s="180"/>
      <c r="I16" s="181"/>
      <c r="J16" s="184"/>
      <c r="K16" s="182"/>
      <c r="L16" s="180"/>
      <c r="M16" s="182"/>
      <c r="N16" s="180"/>
      <c r="O16" s="181"/>
      <c r="P16" s="180"/>
      <c r="Q16" s="181"/>
      <c r="R16" s="184"/>
      <c r="S16" s="182"/>
      <c r="T16" s="180"/>
      <c r="U16" s="182"/>
      <c r="V16" s="180"/>
      <c r="W16" s="209"/>
      <c r="X16" s="210"/>
      <c r="Y16" s="209"/>
      <c r="Z16" s="211"/>
      <c r="AA16" s="179"/>
      <c r="AB16" s="212"/>
      <c r="AC16" s="181"/>
      <c r="AD16" s="212"/>
      <c r="AE16" s="181"/>
      <c r="AF16" s="212"/>
      <c r="AG16" s="181"/>
      <c r="AH16" s="213"/>
      <c r="AI16" s="182"/>
      <c r="AJ16" s="212"/>
      <c r="AK16" s="181"/>
      <c r="AL16" s="180"/>
      <c r="AM16" s="181"/>
      <c r="AN16" s="180"/>
      <c r="AO16" s="181"/>
      <c r="AP16" s="184"/>
      <c r="AQ16" s="179"/>
      <c r="AR16" s="180"/>
      <c r="AS16" s="181"/>
      <c r="AT16" s="180"/>
      <c r="AU16" s="181"/>
      <c r="AV16" s="180"/>
      <c r="AW16" s="181"/>
      <c r="AX16" s="184"/>
      <c r="AY16" s="179"/>
      <c r="AZ16" s="180"/>
      <c r="BA16" s="181"/>
      <c r="BB16" s="180"/>
      <c r="BC16" s="181"/>
      <c r="BD16" s="180"/>
      <c r="BE16" s="181"/>
      <c r="BF16" s="184"/>
      <c r="BG16" s="179"/>
      <c r="BH16" s="180"/>
      <c r="BI16" s="181"/>
      <c r="BJ16" s="180"/>
      <c r="BK16" s="181"/>
      <c r="BL16" s="180"/>
      <c r="BM16" s="181"/>
      <c r="BN16" s="184"/>
      <c r="BO16" s="179"/>
      <c r="BP16" s="180"/>
      <c r="BQ16" s="181"/>
      <c r="BR16" s="180"/>
      <c r="BS16" s="181"/>
      <c r="BT16" s="180"/>
      <c r="BU16" s="181"/>
      <c r="BV16" s="184"/>
    </row>
    <row r="17" spans="1:74" ht="19.8" customHeight="1">
      <c r="A17" s="167" t="s">
        <v>136</v>
      </c>
      <c r="B17" s="167" t="s">
        <v>110</v>
      </c>
      <c r="C17" s="151"/>
      <c r="D17" s="152"/>
      <c r="E17" s="157"/>
      <c r="F17" s="152"/>
      <c r="G17" s="159"/>
      <c r="H17" s="152"/>
      <c r="I17" s="157"/>
      <c r="J17" s="158"/>
      <c r="K17" s="168"/>
      <c r="L17" s="152"/>
      <c r="M17" s="157"/>
      <c r="N17" s="152"/>
      <c r="O17" s="157"/>
      <c r="P17" s="152"/>
      <c r="Q17" s="157"/>
      <c r="R17" s="158"/>
      <c r="S17" s="168"/>
      <c r="T17" s="152"/>
      <c r="U17" s="157"/>
      <c r="V17" s="152"/>
      <c r="W17" s="370"/>
      <c r="X17" s="371"/>
      <c r="Y17" s="372"/>
      <c r="Z17" s="373"/>
      <c r="AA17" s="214"/>
      <c r="AB17" s="215"/>
      <c r="AC17" s="216"/>
      <c r="AD17" s="215"/>
      <c r="AE17" s="217"/>
      <c r="AF17" s="218"/>
      <c r="AG17" s="157"/>
      <c r="AH17" s="158"/>
      <c r="AI17" s="168"/>
      <c r="AJ17" s="152"/>
      <c r="AK17" s="157"/>
      <c r="AL17" s="152"/>
      <c r="AM17" s="157"/>
      <c r="AN17" s="152"/>
      <c r="AO17" s="157"/>
      <c r="AP17" s="158"/>
      <c r="AQ17" s="151"/>
      <c r="AR17" s="152"/>
      <c r="AS17" s="157"/>
      <c r="AT17" s="152"/>
      <c r="AU17" s="157"/>
      <c r="AV17" s="152"/>
      <c r="AW17" s="157"/>
      <c r="AX17" s="158"/>
      <c r="AY17" s="151"/>
      <c r="AZ17" s="152"/>
      <c r="BA17" s="157"/>
      <c r="BB17" s="152"/>
      <c r="BC17" s="157"/>
      <c r="BD17" s="152"/>
      <c r="BE17" s="157"/>
      <c r="BF17" s="158"/>
      <c r="BG17" s="151"/>
      <c r="BH17" s="152"/>
      <c r="BI17" s="157"/>
      <c r="BJ17" s="152"/>
      <c r="BK17" s="157"/>
      <c r="BL17" s="152"/>
      <c r="BM17" s="157"/>
      <c r="BN17" s="158"/>
      <c r="BO17" s="151"/>
      <c r="BP17" s="152"/>
      <c r="BQ17" s="157"/>
      <c r="BR17" s="152"/>
      <c r="BS17" s="157"/>
      <c r="BT17" s="152"/>
      <c r="BU17" s="157"/>
      <c r="BV17" s="158"/>
    </row>
    <row r="18" spans="1:74" ht="19.8" customHeight="1" thickBot="1">
      <c r="A18" s="150" t="s">
        <v>99</v>
      </c>
      <c r="B18" s="124" t="s">
        <v>100</v>
      </c>
      <c r="C18" s="174"/>
      <c r="D18" s="152"/>
      <c r="E18" s="157"/>
      <c r="F18" s="152"/>
      <c r="G18" s="157"/>
      <c r="H18" s="152"/>
      <c r="I18" s="157"/>
      <c r="J18" s="158"/>
      <c r="K18" s="168"/>
      <c r="L18" s="152"/>
      <c r="M18" s="157"/>
      <c r="N18" s="152"/>
      <c r="O18" s="157"/>
      <c r="P18" s="152"/>
      <c r="Q18" s="157"/>
      <c r="R18" s="158"/>
      <c r="S18" s="168"/>
      <c r="T18" s="152"/>
      <c r="U18" s="157"/>
      <c r="V18" s="152"/>
      <c r="W18" s="157"/>
      <c r="X18" s="152"/>
      <c r="Y18" s="157"/>
      <c r="Z18" s="158"/>
      <c r="AA18" s="400"/>
      <c r="AB18" s="371"/>
      <c r="AC18" s="401"/>
      <c r="AD18" s="402"/>
      <c r="AE18" s="169"/>
      <c r="AF18" s="171"/>
      <c r="AG18" s="172"/>
      <c r="AH18" s="173"/>
      <c r="AI18" s="172"/>
      <c r="AJ18" s="171"/>
      <c r="AK18" s="157"/>
      <c r="AL18" s="152"/>
      <c r="AM18" s="157"/>
      <c r="AN18" s="152"/>
      <c r="AO18" s="157"/>
      <c r="AP18" s="158"/>
      <c r="AQ18" s="174"/>
      <c r="AR18" s="175"/>
      <c r="AS18" s="176"/>
      <c r="AT18" s="175"/>
      <c r="AU18" s="176"/>
      <c r="AV18" s="175"/>
      <c r="AW18" s="176"/>
      <c r="AX18" s="177"/>
      <c r="AY18" s="174"/>
      <c r="AZ18" s="175"/>
      <c r="BA18" s="176"/>
      <c r="BB18" s="175"/>
      <c r="BC18" s="176"/>
      <c r="BD18" s="175"/>
      <c r="BE18" s="176"/>
      <c r="BF18" s="177"/>
      <c r="BG18" s="174"/>
      <c r="BH18" s="175"/>
      <c r="BI18" s="176"/>
      <c r="BJ18" s="175"/>
      <c r="BK18" s="176"/>
      <c r="BL18" s="175"/>
      <c r="BM18" s="176"/>
      <c r="BN18" s="177"/>
      <c r="BO18" s="174"/>
      <c r="BP18" s="175"/>
      <c r="BQ18" s="176"/>
      <c r="BR18" s="175"/>
      <c r="BS18" s="176"/>
      <c r="BT18" s="175"/>
      <c r="BU18" s="176"/>
      <c r="BV18" s="177"/>
    </row>
    <row r="19" spans="1:74" ht="19.8" customHeight="1">
      <c r="A19" s="259" t="s">
        <v>127</v>
      </c>
      <c r="B19" s="145"/>
      <c r="C19" s="134"/>
      <c r="D19" s="130"/>
      <c r="E19" s="189"/>
      <c r="F19" s="130"/>
      <c r="G19" s="178"/>
      <c r="H19" s="178"/>
      <c r="I19" s="189"/>
      <c r="J19" s="132"/>
      <c r="K19" s="134"/>
      <c r="L19" s="130"/>
      <c r="M19" s="189"/>
      <c r="N19" s="130"/>
      <c r="O19" s="178"/>
      <c r="P19" s="178"/>
      <c r="Q19" s="189"/>
      <c r="R19" s="132"/>
      <c r="S19" s="133"/>
      <c r="T19" s="130"/>
      <c r="U19" s="133"/>
      <c r="V19" s="130"/>
      <c r="W19" s="178"/>
      <c r="X19" s="178"/>
      <c r="Y19" s="189"/>
      <c r="Z19" s="132"/>
      <c r="AA19" s="134"/>
      <c r="AB19" s="130"/>
      <c r="AC19" s="133"/>
      <c r="AD19" s="130"/>
      <c r="AE19" s="178"/>
      <c r="AF19" s="178"/>
      <c r="AG19" s="189"/>
      <c r="AH19" s="132"/>
      <c r="AI19" s="220"/>
      <c r="AJ19" s="130"/>
      <c r="AK19" s="190"/>
      <c r="AL19" s="191"/>
      <c r="AM19" s="190"/>
      <c r="AN19" s="260"/>
      <c r="AO19" s="190"/>
      <c r="AP19" s="191"/>
      <c r="AQ19" s="221"/>
      <c r="AR19" s="180"/>
      <c r="AS19" s="181"/>
      <c r="AT19" s="183"/>
      <c r="AU19" s="181"/>
      <c r="AV19" s="180"/>
      <c r="AW19" s="181"/>
      <c r="AX19" s="184"/>
      <c r="AY19" s="221"/>
      <c r="AZ19" s="180"/>
      <c r="BA19" s="181"/>
      <c r="BB19" s="183"/>
      <c r="BC19" s="181"/>
      <c r="BD19" s="180"/>
      <c r="BE19" s="181"/>
      <c r="BF19" s="184"/>
      <c r="BG19" s="221"/>
      <c r="BH19" s="180"/>
      <c r="BI19" s="181"/>
      <c r="BJ19" s="183"/>
      <c r="BK19" s="181"/>
      <c r="BL19" s="180"/>
      <c r="BM19" s="181"/>
      <c r="BN19" s="184"/>
      <c r="BO19" s="221"/>
      <c r="BP19" s="180"/>
      <c r="BQ19" s="181"/>
      <c r="BR19" s="183"/>
      <c r="BS19" s="181"/>
      <c r="BT19" s="180"/>
      <c r="BU19" s="181"/>
      <c r="BV19" s="184"/>
    </row>
    <row r="20" spans="1:74" ht="19.8" customHeight="1">
      <c r="A20" s="167" t="s">
        <v>102</v>
      </c>
      <c r="B20" s="167" t="s">
        <v>74</v>
      </c>
      <c r="C20" s="179"/>
      <c r="D20" s="180"/>
      <c r="E20" s="183"/>
      <c r="F20" s="180"/>
      <c r="G20" s="219"/>
      <c r="H20" s="219"/>
      <c r="I20" s="192"/>
      <c r="J20" s="184"/>
      <c r="K20" s="179"/>
      <c r="L20" s="180"/>
      <c r="M20" s="183"/>
      <c r="N20" s="180"/>
      <c r="O20" s="219"/>
      <c r="P20" s="219"/>
      <c r="Q20" s="192"/>
      <c r="R20" s="184"/>
      <c r="S20" s="182"/>
      <c r="T20" s="180"/>
      <c r="U20" s="182"/>
      <c r="V20" s="180"/>
      <c r="W20" s="183"/>
      <c r="X20" s="183"/>
      <c r="Y20" s="192"/>
      <c r="Z20" s="184"/>
      <c r="AA20" s="179"/>
      <c r="AB20" s="180"/>
      <c r="AC20" s="182"/>
      <c r="AD20" s="180"/>
      <c r="AE20" s="183"/>
      <c r="AF20" s="183"/>
      <c r="AG20" s="192"/>
      <c r="AH20" s="184"/>
      <c r="AI20" s="221"/>
      <c r="AJ20" s="180"/>
      <c r="AK20" s="229"/>
      <c r="AL20" s="228"/>
      <c r="AM20" s="222"/>
      <c r="AN20" s="223"/>
      <c r="AO20" s="181"/>
      <c r="AP20" s="183"/>
      <c r="AQ20" s="221"/>
      <c r="AR20" s="180"/>
      <c r="AS20" s="181"/>
      <c r="AT20" s="183"/>
      <c r="AU20" s="181"/>
      <c r="AV20" s="183"/>
      <c r="AW20" s="181"/>
      <c r="AX20" s="184"/>
      <c r="AY20" s="221"/>
      <c r="AZ20" s="180"/>
      <c r="BA20" s="181"/>
      <c r="BB20" s="183"/>
      <c r="BC20" s="181"/>
      <c r="BD20" s="183"/>
      <c r="BE20" s="181"/>
      <c r="BF20" s="184"/>
      <c r="BG20" s="221"/>
      <c r="BH20" s="180"/>
      <c r="BI20" s="181"/>
      <c r="BJ20" s="183"/>
      <c r="BK20" s="181"/>
      <c r="BL20" s="183"/>
      <c r="BM20" s="181"/>
      <c r="BN20" s="184"/>
      <c r="BO20" s="221"/>
      <c r="BP20" s="180"/>
      <c r="BQ20" s="181"/>
      <c r="BR20" s="183"/>
      <c r="BS20" s="181"/>
      <c r="BT20" s="183"/>
      <c r="BU20" s="181"/>
      <c r="BV20" s="184"/>
    </row>
    <row r="21" spans="1:74">
      <c r="A21" s="167" t="s">
        <v>103</v>
      </c>
      <c r="B21" s="193" t="s">
        <v>104</v>
      </c>
      <c r="C21" s="151"/>
      <c r="D21" s="152"/>
      <c r="E21" s="157"/>
      <c r="F21" s="152"/>
      <c r="G21" s="157"/>
      <c r="H21" s="152"/>
      <c r="I21" s="181"/>
      <c r="J21" s="184"/>
      <c r="K21" s="151"/>
      <c r="L21" s="152"/>
      <c r="M21" s="157"/>
      <c r="N21" s="152"/>
      <c r="O21" s="157"/>
      <c r="P21" s="152"/>
      <c r="Q21" s="181"/>
      <c r="R21" s="184"/>
      <c r="S21" s="151"/>
      <c r="T21" s="152"/>
      <c r="U21" s="157"/>
      <c r="V21" s="152"/>
      <c r="W21" s="157"/>
      <c r="X21" s="152"/>
      <c r="Y21" s="181"/>
      <c r="Z21" s="184"/>
      <c r="AA21" s="151"/>
      <c r="AB21" s="152"/>
      <c r="AC21" s="157"/>
      <c r="AD21" s="152"/>
      <c r="AE21" s="157"/>
      <c r="AF21" s="170"/>
      <c r="AG21" s="194"/>
      <c r="AH21" s="195"/>
      <c r="AI21" s="403"/>
      <c r="AJ21" s="404"/>
      <c r="AK21" s="370"/>
      <c r="AL21" s="371"/>
      <c r="AM21" s="157"/>
      <c r="AN21" s="170"/>
      <c r="AO21" s="264"/>
      <c r="AP21" s="196"/>
      <c r="AQ21" s="151"/>
      <c r="AR21" s="152"/>
      <c r="AS21" s="168"/>
      <c r="AT21" s="152"/>
      <c r="AU21" s="372"/>
      <c r="AV21" s="379"/>
      <c r="AW21" s="168"/>
      <c r="AX21" s="158"/>
      <c r="AY21" s="151"/>
      <c r="AZ21" s="152"/>
      <c r="BA21" s="168"/>
      <c r="BB21" s="152"/>
      <c r="BC21" s="372"/>
      <c r="BD21" s="379"/>
      <c r="BE21" s="168"/>
      <c r="BF21" s="158"/>
      <c r="BG21" s="151"/>
      <c r="BH21" s="152"/>
      <c r="BI21" s="168"/>
      <c r="BJ21" s="152"/>
      <c r="BK21" s="372"/>
      <c r="BL21" s="379"/>
      <c r="BM21" s="168"/>
      <c r="BN21" s="158"/>
      <c r="BO21" s="151"/>
      <c r="BP21" s="152"/>
      <c r="BQ21" s="168"/>
      <c r="BR21" s="152"/>
      <c r="BS21" s="372"/>
      <c r="BT21" s="379"/>
      <c r="BU21" s="168"/>
      <c r="BV21" s="158"/>
    </row>
    <row r="22" spans="1:74" ht="19.8" customHeight="1" thickBot="1">
      <c r="A22" s="125" t="s">
        <v>122</v>
      </c>
      <c r="B22" s="125" t="s">
        <v>105</v>
      </c>
      <c r="C22" s="174"/>
      <c r="D22" s="175"/>
      <c r="E22" s="176"/>
      <c r="F22" s="175"/>
      <c r="G22" s="176"/>
      <c r="H22" s="175"/>
      <c r="I22" s="186"/>
      <c r="J22" s="188"/>
      <c r="K22" s="174"/>
      <c r="L22" s="175"/>
      <c r="M22" s="176"/>
      <c r="N22" s="175"/>
      <c r="O22" s="176"/>
      <c r="P22" s="175"/>
      <c r="Q22" s="186"/>
      <c r="R22" s="188"/>
      <c r="S22" s="174"/>
      <c r="T22" s="175"/>
      <c r="U22" s="176"/>
      <c r="V22" s="175"/>
      <c r="W22" s="176"/>
      <c r="X22" s="175"/>
      <c r="Y22" s="186"/>
      <c r="Z22" s="188"/>
      <c r="AA22" s="174"/>
      <c r="AB22" s="175"/>
      <c r="AC22" s="176"/>
      <c r="AD22" s="175"/>
      <c r="AE22" s="176"/>
      <c r="AF22" s="197"/>
      <c r="AG22" s="198"/>
      <c r="AH22" s="199"/>
      <c r="AI22" s="200"/>
      <c r="AJ22" s="197"/>
      <c r="AK22" s="397"/>
      <c r="AL22" s="398"/>
      <c r="AM22" s="187"/>
      <c r="AN22" s="185"/>
      <c r="AO22" s="418"/>
      <c r="AP22" s="419"/>
      <c r="AQ22" s="174"/>
      <c r="AR22" s="175"/>
      <c r="AS22" s="168"/>
      <c r="AT22" s="152"/>
      <c r="AU22" s="201"/>
      <c r="AV22" s="175"/>
      <c r="AW22" s="176"/>
      <c r="AX22" s="177"/>
      <c r="AY22" s="174"/>
      <c r="AZ22" s="175"/>
      <c r="BA22" s="168"/>
      <c r="BB22" s="152"/>
      <c r="BC22" s="201"/>
      <c r="BD22" s="175"/>
      <c r="BE22" s="176"/>
      <c r="BF22" s="177"/>
      <c r="BG22" s="174"/>
      <c r="BH22" s="175"/>
      <c r="BI22" s="168"/>
      <c r="BJ22" s="152"/>
      <c r="BK22" s="201"/>
      <c r="BL22" s="175"/>
      <c r="BM22" s="176"/>
      <c r="BN22" s="177"/>
      <c r="BO22" s="174"/>
      <c r="BP22" s="175"/>
      <c r="BQ22" s="168"/>
      <c r="BR22" s="152"/>
      <c r="BS22" s="201"/>
      <c r="BT22" s="175"/>
      <c r="BU22" s="176"/>
      <c r="BV22" s="177"/>
    </row>
    <row r="23" spans="1:74" ht="19.8" customHeight="1">
      <c r="A23" s="122" t="s">
        <v>106</v>
      </c>
      <c r="B23" s="145"/>
      <c r="C23" s="134"/>
      <c r="D23" s="130"/>
      <c r="E23" s="189"/>
      <c r="F23" s="130"/>
      <c r="G23" s="178"/>
      <c r="H23" s="178"/>
      <c r="I23" s="189"/>
      <c r="J23" s="132"/>
      <c r="K23" s="134"/>
      <c r="L23" s="130"/>
      <c r="M23" s="189"/>
      <c r="N23" s="130"/>
      <c r="O23" s="178"/>
      <c r="P23" s="178"/>
      <c r="Q23" s="189"/>
      <c r="R23" s="132"/>
      <c r="S23" s="134"/>
      <c r="T23" s="130"/>
      <c r="U23" s="133"/>
      <c r="V23" s="130"/>
      <c r="W23" s="178"/>
      <c r="X23" s="178"/>
      <c r="Y23" s="189"/>
      <c r="Z23" s="132"/>
      <c r="AA23" s="134"/>
      <c r="AB23" s="130"/>
      <c r="AC23" s="133"/>
      <c r="AD23" s="130"/>
      <c r="AE23" s="178"/>
      <c r="AF23" s="178"/>
      <c r="AG23" s="189"/>
      <c r="AH23" s="132"/>
      <c r="AI23" s="134"/>
      <c r="AJ23" s="130"/>
      <c r="AK23" s="133"/>
      <c r="AL23" s="130"/>
      <c r="AM23" s="178"/>
      <c r="AN23" s="178"/>
      <c r="AO23" s="189"/>
      <c r="AP23" s="132"/>
      <c r="AQ23" s="261"/>
      <c r="AR23" s="202"/>
      <c r="AS23" s="203"/>
      <c r="AT23" s="203"/>
      <c r="AU23" s="224"/>
      <c r="AV23" s="202"/>
      <c r="AW23" s="232"/>
      <c r="AX23" s="204"/>
      <c r="AY23" s="134"/>
      <c r="AZ23" s="130"/>
      <c r="BA23" s="133"/>
      <c r="BB23" s="130"/>
      <c r="BC23" s="178"/>
      <c r="BD23" s="178"/>
      <c r="BE23" s="189"/>
      <c r="BF23" s="132"/>
      <c r="BG23" s="134"/>
      <c r="BH23" s="130"/>
      <c r="BI23" s="133"/>
      <c r="BJ23" s="130"/>
      <c r="BK23" s="178"/>
      <c r="BL23" s="178"/>
      <c r="BM23" s="189"/>
      <c r="BN23" s="132"/>
      <c r="BO23" s="134"/>
      <c r="BP23" s="130"/>
      <c r="BQ23" s="133"/>
      <c r="BR23" s="130"/>
      <c r="BS23" s="178"/>
      <c r="BT23" s="178"/>
      <c r="BU23" s="189"/>
      <c r="BV23" s="132"/>
    </row>
    <row r="24" spans="1:74" ht="19.8" customHeight="1" thickBot="1">
      <c r="A24" s="124" t="s">
        <v>107</v>
      </c>
      <c r="B24" s="167" t="s">
        <v>111</v>
      </c>
      <c r="C24" s="174"/>
      <c r="D24" s="175"/>
      <c r="E24" s="205"/>
      <c r="F24" s="175"/>
      <c r="G24" s="205"/>
      <c r="H24" s="175"/>
      <c r="I24" s="186"/>
      <c r="J24" s="188"/>
      <c r="K24" s="174"/>
      <c r="L24" s="175"/>
      <c r="M24" s="205"/>
      <c r="N24" s="175"/>
      <c r="O24" s="205"/>
      <c r="P24" s="175"/>
      <c r="Q24" s="186"/>
      <c r="R24" s="188"/>
      <c r="S24" s="174"/>
      <c r="T24" s="175"/>
      <c r="U24" s="176"/>
      <c r="V24" s="175"/>
      <c r="W24" s="205"/>
      <c r="X24" s="175"/>
      <c r="Y24" s="186"/>
      <c r="Z24" s="188"/>
      <c r="AA24" s="174"/>
      <c r="AB24" s="175"/>
      <c r="AC24" s="176"/>
      <c r="AD24" s="175"/>
      <c r="AE24" s="205"/>
      <c r="AF24" s="175"/>
      <c r="AG24" s="186"/>
      <c r="AH24" s="188"/>
      <c r="AI24" s="174"/>
      <c r="AJ24" s="175"/>
      <c r="AK24" s="176"/>
      <c r="AL24" s="175"/>
      <c r="AM24" s="205"/>
      <c r="AN24" s="175"/>
      <c r="AO24" s="186"/>
      <c r="AP24" s="188"/>
      <c r="AQ24" s="262"/>
      <c r="AR24" s="226"/>
      <c r="AS24" s="225"/>
      <c r="AT24" s="226"/>
      <c r="AU24" s="227"/>
      <c r="AV24" s="231"/>
      <c r="AW24" s="233"/>
      <c r="AX24" s="230"/>
      <c r="AY24" s="174"/>
      <c r="AZ24" s="175"/>
      <c r="BA24" s="176"/>
      <c r="BB24" s="175"/>
      <c r="BC24" s="205"/>
      <c r="BD24" s="175"/>
      <c r="BE24" s="186"/>
      <c r="BF24" s="188"/>
      <c r="BG24" s="174"/>
      <c r="BH24" s="175"/>
      <c r="BI24" s="176"/>
      <c r="BJ24" s="175"/>
      <c r="BK24" s="205"/>
      <c r="BL24" s="175"/>
      <c r="BM24" s="186"/>
      <c r="BN24" s="188"/>
      <c r="BO24" s="174"/>
      <c r="BP24" s="175"/>
      <c r="BQ24" s="176"/>
      <c r="BR24" s="175"/>
      <c r="BS24" s="205"/>
      <c r="BT24" s="175"/>
      <c r="BU24" s="186"/>
      <c r="BV24" s="188"/>
    </row>
    <row r="25" spans="1:74" ht="26.4" thickBot="1">
      <c r="A25" s="378" t="s">
        <v>137</v>
      </c>
      <c r="B25" s="378"/>
      <c r="C25" s="378"/>
      <c r="D25" s="378"/>
      <c r="E25" s="378"/>
      <c r="F25" s="378"/>
      <c r="G25" s="378"/>
      <c r="H25" s="378"/>
      <c r="I25" s="378"/>
      <c r="J25" s="378"/>
      <c r="K25" s="378"/>
      <c r="L25" s="378"/>
      <c r="M25" s="378"/>
      <c r="N25" s="378"/>
      <c r="O25" s="378"/>
      <c r="P25" s="378"/>
      <c r="Q25" s="378"/>
      <c r="R25" s="378"/>
      <c r="S25" s="378"/>
      <c r="T25" s="378"/>
      <c r="U25" s="378"/>
      <c r="V25" s="378"/>
      <c r="W25" s="378"/>
      <c r="X25" s="378"/>
      <c r="Y25" s="378"/>
      <c r="Z25" s="378"/>
      <c r="AA25" s="378"/>
      <c r="AB25" s="378"/>
      <c r="AC25" s="378"/>
      <c r="AD25" s="378"/>
      <c r="AE25" s="378"/>
      <c r="AF25" s="378"/>
      <c r="AG25" s="378"/>
      <c r="AH25" s="378"/>
      <c r="AI25" s="378"/>
      <c r="AJ25" s="378"/>
      <c r="AK25" s="378"/>
      <c r="AL25" s="378"/>
      <c r="AM25" s="378"/>
      <c r="AN25" s="378"/>
      <c r="AO25" s="378"/>
      <c r="AP25" s="378"/>
      <c r="AQ25" s="378"/>
      <c r="AR25" s="378"/>
      <c r="AS25" s="378"/>
      <c r="AT25" s="378"/>
      <c r="AU25" s="378"/>
      <c r="AV25" s="378"/>
      <c r="AW25" s="378"/>
      <c r="AX25" s="378"/>
      <c r="AY25" s="378"/>
      <c r="AZ25" s="378"/>
      <c r="BA25" s="378"/>
      <c r="BB25" s="378"/>
      <c r="BC25" s="378"/>
      <c r="BD25" s="378"/>
      <c r="BE25" s="378"/>
      <c r="BF25" s="378"/>
      <c r="BG25" s="378"/>
      <c r="BH25" s="378"/>
      <c r="BI25" s="378"/>
      <c r="BJ25" s="378"/>
      <c r="BK25" s="378"/>
      <c r="BL25" s="378"/>
      <c r="BM25" s="378"/>
      <c r="BN25" s="378"/>
      <c r="BO25" s="378"/>
      <c r="BP25" s="378"/>
      <c r="BQ25" s="378"/>
      <c r="BR25" s="378"/>
      <c r="BS25" s="378"/>
      <c r="BT25" s="378"/>
      <c r="BU25" s="378"/>
      <c r="BV25" s="378"/>
    </row>
    <row r="26" spans="1:74">
      <c r="A26" s="122" t="s">
        <v>94</v>
      </c>
      <c r="B26" s="123"/>
      <c r="C26" s="417"/>
      <c r="D26" s="396"/>
      <c r="E26" s="395"/>
      <c r="F26" s="396"/>
      <c r="G26" s="395"/>
      <c r="H26" s="396"/>
      <c r="I26" s="395"/>
      <c r="J26" s="405"/>
      <c r="K26" s="417"/>
      <c r="L26" s="396"/>
      <c r="M26" s="395"/>
      <c r="N26" s="396"/>
      <c r="O26" s="416"/>
      <c r="P26" s="409"/>
      <c r="Q26" s="376"/>
      <c r="R26" s="382"/>
      <c r="S26" s="243"/>
      <c r="T26" s="241"/>
      <c r="U26" s="240"/>
      <c r="V26" s="241"/>
      <c r="W26" s="294"/>
      <c r="X26" s="241"/>
      <c r="Y26" s="240"/>
      <c r="Z26" s="242"/>
      <c r="AA26" s="243"/>
      <c r="AB26" s="241"/>
      <c r="AC26" s="240"/>
      <c r="AD26" s="241"/>
      <c r="AE26" s="294"/>
      <c r="AF26" s="241"/>
      <c r="AG26" s="240"/>
      <c r="AH26" s="242"/>
      <c r="AI26" s="243"/>
      <c r="AJ26" s="241"/>
      <c r="AK26" s="240"/>
      <c r="AL26" s="241"/>
      <c r="AM26" s="294"/>
      <c r="AN26" s="241"/>
      <c r="AO26" s="240"/>
      <c r="AP26" s="242"/>
      <c r="AQ26" s="243"/>
      <c r="AR26" s="241"/>
      <c r="AS26" s="240"/>
      <c r="AT26" s="241"/>
      <c r="AU26" s="294"/>
      <c r="AV26" s="241"/>
      <c r="AW26" s="240"/>
      <c r="AX26" s="242"/>
      <c r="AY26" s="243"/>
      <c r="AZ26" s="241"/>
      <c r="BA26" s="240"/>
      <c r="BB26" s="241"/>
      <c r="BC26" s="294"/>
      <c r="BD26" s="241"/>
      <c r="BE26" s="240"/>
      <c r="BF26" s="242"/>
      <c r="BG26" s="243"/>
      <c r="BH26" s="241"/>
      <c r="BI26" s="240"/>
      <c r="BJ26" s="241"/>
      <c r="BK26" s="294"/>
      <c r="BL26" s="241"/>
      <c r="BM26" s="240"/>
      <c r="BN26" s="242"/>
      <c r="BO26" s="243"/>
      <c r="BP26" s="241"/>
      <c r="BQ26" s="240"/>
      <c r="BR26" s="241"/>
      <c r="BS26" s="294"/>
      <c r="BT26" s="241"/>
      <c r="BU26" s="240"/>
      <c r="BV26" s="242"/>
    </row>
    <row r="27" spans="1:74" ht="26.4" thickBot="1">
      <c r="A27" s="124" t="s">
        <v>95</v>
      </c>
      <c r="B27" s="125" t="s">
        <v>108</v>
      </c>
      <c r="C27" s="414"/>
      <c r="D27" s="398"/>
      <c r="E27" s="397"/>
      <c r="F27" s="398"/>
      <c r="G27" s="397"/>
      <c r="H27" s="398"/>
      <c r="I27" s="397"/>
      <c r="J27" s="415"/>
      <c r="K27" s="414"/>
      <c r="L27" s="398"/>
      <c r="M27" s="397"/>
      <c r="N27" s="398"/>
      <c r="O27" s="413"/>
      <c r="P27" s="407"/>
      <c r="Q27" s="374"/>
      <c r="R27" s="380"/>
      <c r="S27" s="244"/>
      <c r="T27" s="245"/>
      <c r="U27" s="246"/>
      <c r="V27" s="245"/>
      <c r="W27" s="287"/>
      <c r="X27" s="245"/>
      <c r="Y27" s="246"/>
      <c r="Z27" s="247"/>
      <c r="AA27" s="244"/>
      <c r="AB27" s="245"/>
      <c r="AC27" s="246"/>
      <c r="AD27" s="245"/>
      <c r="AE27" s="287"/>
      <c r="AF27" s="245"/>
      <c r="AG27" s="246"/>
      <c r="AH27" s="247"/>
      <c r="AI27" s="244"/>
      <c r="AJ27" s="245"/>
      <c r="AK27" s="246"/>
      <c r="AL27" s="245"/>
      <c r="AM27" s="287"/>
      <c r="AN27" s="245"/>
      <c r="AO27" s="246"/>
      <c r="AP27" s="247"/>
      <c r="AQ27" s="244"/>
      <c r="AR27" s="245"/>
      <c r="AS27" s="246"/>
      <c r="AT27" s="245"/>
      <c r="AU27" s="287"/>
      <c r="AV27" s="245"/>
      <c r="AW27" s="246"/>
      <c r="AX27" s="247"/>
      <c r="AY27" s="244"/>
      <c r="AZ27" s="245"/>
      <c r="BA27" s="246"/>
      <c r="BB27" s="245"/>
      <c r="BC27" s="287"/>
      <c r="BD27" s="245"/>
      <c r="BE27" s="246"/>
      <c r="BF27" s="247"/>
      <c r="BG27" s="244"/>
      <c r="BH27" s="245"/>
      <c r="BI27" s="246"/>
      <c r="BJ27" s="245"/>
      <c r="BK27" s="287"/>
      <c r="BL27" s="245"/>
      <c r="BM27" s="246"/>
      <c r="BN27" s="247"/>
      <c r="BO27" s="244"/>
      <c r="BP27" s="245"/>
      <c r="BQ27" s="246"/>
      <c r="BR27" s="245"/>
      <c r="BS27" s="287"/>
      <c r="BT27" s="245"/>
      <c r="BU27" s="246"/>
      <c r="BV27" s="247"/>
    </row>
    <row r="28" spans="1:74" ht="19.8" customHeight="1">
      <c r="A28" s="122" t="s">
        <v>96</v>
      </c>
      <c r="B28" s="126"/>
      <c r="C28" s="134"/>
      <c r="D28" s="130"/>
      <c r="E28" s="131"/>
      <c r="F28" s="130"/>
      <c r="G28" s="131"/>
      <c r="H28" s="130"/>
      <c r="I28" s="131"/>
      <c r="J28" s="132"/>
      <c r="K28" s="134"/>
      <c r="L28" s="130"/>
      <c r="M28" s="131"/>
      <c r="N28" s="130"/>
      <c r="O28" s="291"/>
      <c r="P28" s="128"/>
      <c r="Q28" s="127"/>
      <c r="R28" s="296"/>
      <c r="S28" s="301"/>
      <c r="T28" s="128"/>
      <c r="U28" s="253"/>
      <c r="V28" s="302"/>
      <c r="W28" s="133"/>
      <c r="X28" s="130"/>
      <c r="Y28" s="131"/>
      <c r="Z28" s="132"/>
      <c r="AA28" s="134"/>
      <c r="AB28" s="130"/>
      <c r="AC28" s="131"/>
      <c r="AD28" s="130"/>
      <c r="AE28" s="295"/>
      <c r="AF28" s="130"/>
      <c r="AG28" s="131"/>
      <c r="AH28" s="132"/>
      <c r="AI28" s="134"/>
      <c r="AJ28" s="130"/>
      <c r="AK28" s="131"/>
      <c r="AL28" s="130"/>
      <c r="AM28" s="133"/>
      <c r="AN28" s="130"/>
      <c r="AO28" s="131"/>
      <c r="AP28" s="132"/>
      <c r="AQ28" s="134"/>
      <c r="AR28" s="130"/>
      <c r="AS28" s="131"/>
      <c r="AT28" s="130"/>
      <c r="AU28" s="133"/>
      <c r="AV28" s="130"/>
      <c r="AW28" s="131"/>
      <c r="AX28" s="132"/>
      <c r="AY28" s="134"/>
      <c r="AZ28" s="130"/>
      <c r="BA28" s="131"/>
      <c r="BB28" s="130"/>
      <c r="BC28" s="133"/>
      <c r="BD28" s="130"/>
      <c r="BE28" s="131"/>
      <c r="BF28" s="132"/>
      <c r="BG28" s="134"/>
      <c r="BH28" s="130"/>
      <c r="BI28" s="131"/>
      <c r="BJ28" s="130"/>
      <c r="BK28" s="133"/>
      <c r="BL28" s="130"/>
      <c r="BM28" s="131"/>
      <c r="BN28" s="132"/>
      <c r="BO28" s="134"/>
      <c r="BP28" s="130"/>
      <c r="BQ28" s="131"/>
      <c r="BR28" s="130"/>
      <c r="BS28" s="133"/>
      <c r="BT28" s="130"/>
      <c r="BU28" s="131"/>
      <c r="BV28" s="132"/>
    </row>
    <row r="29" spans="1:74" ht="19.8" customHeight="1" thickBot="1">
      <c r="A29" s="150" t="s">
        <v>125</v>
      </c>
      <c r="B29" s="124" t="s">
        <v>108</v>
      </c>
      <c r="C29" s="144"/>
      <c r="D29" s="140"/>
      <c r="E29" s="141"/>
      <c r="F29" s="140"/>
      <c r="G29" s="141"/>
      <c r="H29" s="140"/>
      <c r="I29" s="141"/>
      <c r="J29" s="142"/>
      <c r="K29" s="144"/>
      <c r="L29" s="140"/>
      <c r="M29" s="141"/>
      <c r="N29" s="140"/>
      <c r="O29" s="292"/>
      <c r="P29" s="136"/>
      <c r="Q29" s="135"/>
      <c r="R29" s="297"/>
      <c r="S29" s="239"/>
      <c r="T29" s="137"/>
      <c r="U29" s="141"/>
      <c r="V29" s="140"/>
      <c r="W29" s="143"/>
      <c r="X29" s="140"/>
      <c r="Y29" s="141"/>
      <c r="Z29" s="142"/>
      <c r="AA29" s="144"/>
      <c r="AB29" s="140"/>
      <c r="AC29" s="141"/>
      <c r="AD29" s="140"/>
      <c r="AE29" s="305"/>
      <c r="AF29" s="140"/>
      <c r="AG29" s="141"/>
      <c r="AH29" s="142"/>
      <c r="AI29" s="144"/>
      <c r="AJ29" s="140"/>
      <c r="AK29" s="141"/>
      <c r="AL29" s="140"/>
      <c r="AM29" s="143"/>
      <c r="AN29" s="140"/>
      <c r="AO29" s="141"/>
      <c r="AP29" s="142"/>
      <c r="AQ29" s="144"/>
      <c r="AR29" s="140"/>
      <c r="AS29" s="141"/>
      <c r="AT29" s="140"/>
      <c r="AU29" s="143"/>
      <c r="AV29" s="140"/>
      <c r="AW29" s="141"/>
      <c r="AX29" s="142"/>
      <c r="AY29" s="144"/>
      <c r="AZ29" s="140"/>
      <c r="BA29" s="141"/>
      <c r="BB29" s="140"/>
      <c r="BC29" s="143"/>
      <c r="BD29" s="140"/>
      <c r="BE29" s="141"/>
      <c r="BF29" s="142"/>
      <c r="BG29" s="144"/>
      <c r="BH29" s="140"/>
      <c r="BI29" s="141"/>
      <c r="BJ29" s="140"/>
      <c r="BK29" s="143"/>
      <c r="BL29" s="140"/>
      <c r="BM29" s="141"/>
      <c r="BN29" s="142"/>
      <c r="BO29" s="144"/>
      <c r="BP29" s="140"/>
      <c r="BQ29" s="141"/>
      <c r="BR29" s="140"/>
      <c r="BS29" s="143"/>
      <c r="BT29" s="140"/>
      <c r="BU29" s="141"/>
      <c r="BV29" s="142"/>
    </row>
    <row r="30" spans="1:74" ht="19.8" customHeight="1" thickBot="1">
      <c r="A30" s="150" t="s">
        <v>126</v>
      </c>
      <c r="B30" s="124" t="s">
        <v>108</v>
      </c>
      <c r="C30" s="144"/>
      <c r="D30" s="140"/>
      <c r="E30" s="141"/>
      <c r="F30" s="140"/>
      <c r="G30" s="141"/>
      <c r="H30" s="140"/>
      <c r="I30" s="141"/>
      <c r="J30" s="142"/>
      <c r="K30" s="144"/>
      <c r="L30" s="140"/>
      <c r="M30" s="141"/>
      <c r="N30" s="140"/>
      <c r="O30" s="293"/>
      <c r="P30" s="256"/>
      <c r="Q30" s="257"/>
      <c r="R30" s="298"/>
      <c r="S30" s="239"/>
      <c r="T30" s="137"/>
      <c r="U30" s="135"/>
      <c r="V30" s="136"/>
      <c r="W30" s="143"/>
      <c r="X30" s="140"/>
      <c r="Y30" s="141"/>
      <c r="Z30" s="142"/>
      <c r="AA30" s="144"/>
      <c r="AB30" s="140"/>
      <c r="AC30" s="141"/>
      <c r="AD30" s="140"/>
      <c r="AE30" s="305"/>
      <c r="AF30" s="140"/>
      <c r="AG30" s="141"/>
      <c r="AH30" s="142"/>
      <c r="AI30" s="144"/>
      <c r="AJ30" s="140"/>
      <c r="AK30" s="141"/>
      <c r="AL30" s="140"/>
      <c r="AM30" s="143"/>
      <c r="AN30" s="140"/>
      <c r="AO30" s="141"/>
      <c r="AP30" s="142"/>
      <c r="AQ30" s="144"/>
      <c r="AR30" s="140"/>
      <c r="AS30" s="141"/>
      <c r="AT30" s="140"/>
      <c r="AU30" s="143"/>
      <c r="AV30" s="140"/>
      <c r="AW30" s="141"/>
      <c r="AX30" s="142"/>
      <c r="AY30" s="144"/>
      <c r="AZ30" s="140"/>
      <c r="BA30" s="141"/>
      <c r="BB30" s="140"/>
      <c r="BC30" s="143"/>
      <c r="BD30" s="140"/>
      <c r="BE30" s="141"/>
      <c r="BF30" s="142"/>
      <c r="BG30" s="144"/>
      <c r="BH30" s="140"/>
      <c r="BI30" s="141"/>
      <c r="BJ30" s="140"/>
      <c r="BK30" s="143"/>
      <c r="BL30" s="140"/>
      <c r="BM30" s="141"/>
      <c r="BN30" s="142"/>
      <c r="BO30" s="144"/>
      <c r="BP30" s="140"/>
      <c r="BQ30" s="141"/>
      <c r="BR30" s="140"/>
      <c r="BS30" s="143"/>
      <c r="BT30" s="140"/>
      <c r="BU30" s="141"/>
      <c r="BV30" s="142"/>
    </row>
    <row r="31" spans="1:74" ht="19.8" customHeight="1" thickBot="1">
      <c r="A31" s="124" t="s">
        <v>121</v>
      </c>
      <c r="B31" s="124" t="s">
        <v>108</v>
      </c>
      <c r="C31" s="174"/>
      <c r="D31" s="140"/>
      <c r="E31" s="141"/>
      <c r="F31" s="140"/>
      <c r="G31" s="141"/>
      <c r="H31" s="140"/>
      <c r="I31" s="141"/>
      <c r="J31" s="142"/>
      <c r="K31" s="174"/>
      <c r="L31" s="140"/>
      <c r="M31" s="141"/>
      <c r="N31" s="140"/>
      <c r="O31" s="143"/>
      <c r="P31" s="140"/>
      <c r="Q31" s="141"/>
      <c r="R31" s="158"/>
      <c r="S31" s="151"/>
      <c r="T31" s="152"/>
      <c r="U31" s="135"/>
      <c r="V31" s="136"/>
      <c r="W31" s="143"/>
      <c r="X31" s="140"/>
      <c r="Y31" s="141"/>
      <c r="Z31" s="142"/>
      <c r="AA31" s="144"/>
      <c r="AB31" s="140"/>
      <c r="AC31" s="141"/>
      <c r="AD31" s="140"/>
      <c r="AE31" s="305"/>
      <c r="AF31" s="140"/>
      <c r="AG31" s="141"/>
      <c r="AH31" s="142"/>
      <c r="AI31" s="144"/>
      <c r="AJ31" s="140"/>
      <c r="AK31" s="141"/>
      <c r="AL31" s="140"/>
      <c r="AM31" s="143"/>
      <c r="AN31" s="140"/>
      <c r="AO31" s="141"/>
      <c r="AP31" s="142"/>
      <c r="AQ31" s="144"/>
      <c r="AR31" s="140"/>
      <c r="AS31" s="141"/>
      <c r="AT31" s="140"/>
      <c r="AU31" s="143"/>
      <c r="AV31" s="140"/>
      <c r="AW31" s="141"/>
      <c r="AX31" s="142"/>
      <c r="AY31" s="144"/>
      <c r="AZ31" s="140"/>
      <c r="BA31" s="141"/>
      <c r="BB31" s="140"/>
      <c r="BC31" s="143"/>
      <c r="BD31" s="140"/>
      <c r="BE31" s="141"/>
      <c r="BF31" s="142"/>
      <c r="BG31" s="144"/>
      <c r="BH31" s="140"/>
      <c r="BI31" s="141"/>
      <c r="BJ31" s="140"/>
      <c r="BK31" s="143"/>
      <c r="BL31" s="140"/>
      <c r="BM31" s="141"/>
      <c r="BN31" s="142"/>
      <c r="BO31" s="144"/>
      <c r="BP31" s="140"/>
      <c r="BQ31" s="141"/>
      <c r="BR31" s="140"/>
      <c r="BS31" s="143"/>
      <c r="BT31" s="140"/>
      <c r="BU31" s="141"/>
      <c r="BV31" s="142"/>
    </row>
    <row r="32" spans="1:74" ht="19.8" customHeight="1">
      <c r="A32" s="259" t="s">
        <v>92</v>
      </c>
      <c r="B32" s="145"/>
      <c r="C32" s="134"/>
      <c r="D32" s="130"/>
      <c r="E32" s="131"/>
      <c r="F32" s="130"/>
      <c r="G32" s="133"/>
      <c r="H32" s="130"/>
      <c r="I32" s="131"/>
      <c r="J32" s="132"/>
      <c r="K32" s="134"/>
      <c r="L32" s="130"/>
      <c r="M32" s="131"/>
      <c r="N32" s="130"/>
      <c r="O32" s="133"/>
      <c r="P32" s="130"/>
      <c r="Q32" s="131"/>
      <c r="R32" s="132"/>
      <c r="S32" s="134"/>
      <c r="T32" s="130"/>
      <c r="U32" s="131"/>
      <c r="V32" s="130"/>
      <c r="W32" s="299"/>
      <c r="X32" s="277"/>
      <c r="Y32" s="276"/>
      <c r="Z32" s="278"/>
      <c r="AA32" s="279"/>
      <c r="AB32" s="277"/>
      <c r="AC32" s="276"/>
      <c r="AD32" s="277"/>
      <c r="AE32" s="299"/>
      <c r="AF32" s="277"/>
      <c r="AG32" s="276"/>
      <c r="AH32" s="278"/>
      <c r="AI32" s="279"/>
      <c r="AJ32" s="277"/>
      <c r="AK32" s="276"/>
      <c r="AL32" s="277"/>
      <c r="AM32" s="133"/>
      <c r="AN32" s="130"/>
      <c r="AO32" s="141"/>
      <c r="AP32" s="142"/>
      <c r="AQ32" s="134"/>
      <c r="AR32" s="130"/>
      <c r="AS32" s="131"/>
      <c r="AT32" s="130"/>
      <c r="AU32" s="133"/>
      <c r="AV32" s="130"/>
      <c r="AW32" s="131"/>
      <c r="AX32" s="132"/>
      <c r="AY32" s="134"/>
      <c r="AZ32" s="130"/>
      <c r="BA32" s="131"/>
      <c r="BB32" s="130"/>
      <c r="BC32" s="133"/>
      <c r="BD32" s="130"/>
      <c r="BE32" s="131"/>
      <c r="BF32" s="132"/>
      <c r="BG32" s="134"/>
      <c r="BH32" s="130"/>
      <c r="BI32" s="131"/>
      <c r="BJ32" s="130"/>
      <c r="BK32" s="133"/>
      <c r="BL32" s="130"/>
      <c r="BM32" s="131"/>
      <c r="BN32" s="132"/>
      <c r="BO32" s="134"/>
      <c r="BP32" s="130"/>
      <c r="BQ32" s="131"/>
      <c r="BR32" s="130"/>
      <c r="BS32" s="133"/>
      <c r="BT32" s="130"/>
      <c r="BU32" s="131"/>
      <c r="BV32" s="132"/>
    </row>
    <row r="33" spans="1:74" ht="19.8" customHeight="1" thickBot="1">
      <c r="A33" s="150" t="s">
        <v>97</v>
      </c>
      <c r="B33" s="150" t="s">
        <v>109</v>
      </c>
      <c r="C33" s="151"/>
      <c r="D33" s="152"/>
      <c r="E33" s="157"/>
      <c r="F33" s="152"/>
      <c r="G33" s="157"/>
      <c r="H33" s="152"/>
      <c r="I33" s="157"/>
      <c r="J33" s="158"/>
      <c r="K33" s="151"/>
      <c r="L33" s="152"/>
      <c r="M33" s="157"/>
      <c r="N33" s="152"/>
      <c r="O33" s="168"/>
      <c r="P33" s="152"/>
      <c r="Q33" s="157"/>
      <c r="R33" s="158"/>
      <c r="S33" s="151"/>
      <c r="T33" s="152"/>
      <c r="U33" s="157"/>
      <c r="V33" s="152"/>
      <c r="W33" s="300"/>
      <c r="X33" s="154"/>
      <c r="Y33" s="153"/>
      <c r="Z33" s="155"/>
      <c r="AA33" s="156"/>
      <c r="AB33" s="154"/>
      <c r="AC33" s="153"/>
      <c r="AD33" s="154"/>
      <c r="AE33" s="300"/>
      <c r="AF33" s="154"/>
      <c r="AG33" s="153"/>
      <c r="AH33" s="155"/>
      <c r="AI33" s="310"/>
      <c r="AJ33" s="289"/>
      <c r="AK33" s="288"/>
      <c r="AL33" s="289"/>
      <c r="AM33" s="168"/>
      <c r="AN33" s="152"/>
      <c r="AO33" s="141"/>
      <c r="AP33" s="142"/>
      <c r="AQ33" s="151"/>
      <c r="AR33" s="152"/>
      <c r="AS33" s="157"/>
      <c r="AT33" s="152"/>
      <c r="AU33" s="168"/>
      <c r="AV33" s="152"/>
      <c r="AW33" s="157"/>
      <c r="AX33" s="158"/>
      <c r="AY33" s="151"/>
      <c r="AZ33" s="152"/>
      <c r="BA33" s="157"/>
      <c r="BB33" s="152"/>
      <c r="BC33" s="168"/>
      <c r="BD33" s="152"/>
      <c r="BE33" s="157"/>
      <c r="BF33" s="158"/>
      <c r="BG33" s="151"/>
      <c r="BH33" s="152"/>
      <c r="BI33" s="157"/>
      <c r="BJ33" s="152"/>
      <c r="BK33" s="168"/>
      <c r="BL33" s="152"/>
      <c r="BM33" s="157"/>
      <c r="BN33" s="158"/>
      <c r="BO33" s="151"/>
      <c r="BP33" s="152"/>
      <c r="BQ33" s="157"/>
      <c r="BR33" s="152"/>
      <c r="BS33" s="168"/>
      <c r="BT33" s="152"/>
      <c r="BU33" s="157"/>
      <c r="BV33" s="158"/>
    </row>
    <row r="34" spans="1:74" ht="19.8" customHeight="1">
      <c r="A34" s="259" t="s">
        <v>98</v>
      </c>
      <c r="B34" s="160"/>
      <c r="C34" s="134"/>
      <c r="D34" s="130"/>
      <c r="E34" s="131"/>
      <c r="F34" s="130"/>
      <c r="G34" s="161"/>
      <c r="H34" s="130"/>
      <c r="I34" s="131"/>
      <c r="J34" s="132"/>
      <c r="K34" s="134"/>
      <c r="L34" s="130"/>
      <c r="M34" s="131"/>
      <c r="N34" s="130"/>
      <c r="O34" s="133"/>
      <c r="P34" s="130"/>
      <c r="Q34" s="131"/>
      <c r="R34" s="132"/>
      <c r="S34" s="129"/>
      <c r="T34" s="130"/>
      <c r="U34" s="131"/>
      <c r="V34" s="130"/>
      <c r="W34" s="133"/>
      <c r="X34" s="130"/>
      <c r="Y34" s="133"/>
      <c r="Z34" s="132"/>
      <c r="AA34" s="134"/>
      <c r="AB34" s="130"/>
      <c r="AC34" s="131"/>
      <c r="AD34" s="130"/>
      <c r="AE34" s="133"/>
      <c r="AF34" s="130"/>
      <c r="AG34" s="207"/>
      <c r="AH34" s="307"/>
      <c r="AI34" s="311"/>
      <c r="AJ34" s="266"/>
      <c r="AK34" s="265"/>
      <c r="AL34" s="266"/>
      <c r="AM34" s="166"/>
      <c r="AN34" s="163"/>
      <c r="AO34" s="164"/>
      <c r="AP34" s="165"/>
      <c r="AQ34" s="162"/>
      <c r="AR34" s="163"/>
      <c r="AS34" s="164"/>
      <c r="AT34" s="163"/>
      <c r="AU34" s="166"/>
      <c r="AV34" s="163"/>
      <c r="AW34" s="164"/>
      <c r="AX34" s="268"/>
      <c r="AY34" s="162"/>
      <c r="AZ34" s="267"/>
      <c r="BA34" s="131"/>
      <c r="BB34" s="130"/>
      <c r="BC34" s="133"/>
      <c r="BD34" s="130"/>
      <c r="BE34" s="131"/>
      <c r="BF34" s="132"/>
      <c r="BG34" s="134"/>
      <c r="BH34" s="130"/>
      <c r="BI34" s="131"/>
      <c r="BJ34" s="130"/>
      <c r="BK34" s="133"/>
      <c r="BL34" s="130"/>
      <c r="BM34" s="131"/>
      <c r="BN34" s="132"/>
      <c r="BO34" s="134"/>
      <c r="BP34" s="130"/>
      <c r="BQ34" s="131"/>
      <c r="BR34" s="130"/>
      <c r="BS34" s="133"/>
      <c r="BT34" s="130"/>
      <c r="BU34" s="131"/>
      <c r="BV34" s="132"/>
    </row>
    <row r="35" spans="1:74" ht="19.8" customHeight="1">
      <c r="A35" s="167" t="s">
        <v>101</v>
      </c>
      <c r="B35" s="167" t="s">
        <v>110</v>
      </c>
      <c r="C35" s="179"/>
      <c r="D35" s="180"/>
      <c r="E35" s="181"/>
      <c r="F35" s="180"/>
      <c r="G35" s="206"/>
      <c r="H35" s="180"/>
      <c r="I35" s="181"/>
      <c r="J35" s="184"/>
      <c r="K35" s="179"/>
      <c r="L35" s="180"/>
      <c r="M35" s="181"/>
      <c r="N35" s="180"/>
      <c r="O35" s="182"/>
      <c r="P35" s="180"/>
      <c r="Q35" s="181"/>
      <c r="R35" s="184"/>
      <c r="S35" s="303"/>
      <c r="T35" s="180"/>
      <c r="U35" s="181"/>
      <c r="V35" s="180"/>
      <c r="W35" s="182"/>
      <c r="X35" s="180"/>
      <c r="Y35" s="182"/>
      <c r="Z35" s="184"/>
      <c r="AA35" s="179"/>
      <c r="AB35" s="180"/>
      <c r="AC35" s="181"/>
      <c r="AD35" s="180"/>
      <c r="AE35" s="182"/>
      <c r="AF35" s="180"/>
      <c r="AG35" s="182"/>
      <c r="AH35" s="184"/>
      <c r="AI35" s="312"/>
      <c r="AJ35" s="273"/>
      <c r="AK35" s="272"/>
      <c r="AL35" s="273"/>
      <c r="AM35" s="308"/>
      <c r="AN35" s="270"/>
      <c r="AO35" s="269"/>
      <c r="AP35" s="271"/>
      <c r="AQ35" s="179"/>
      <c r="AR35" s="212"/>
      <c r="AS35" s="181"/>
      <c r="AT35" s="212"/>
      <c r="AU35" s="182"/>
      <c r="AV35" s="212"/>
      <c r="AW35" s="181"/>
      <c r="AX35" s="184"/>
      <c r="AY35" s="179"/>
      <c r="AZ35" s="180"/>
      <c r="BA35" s="181"/>
      <c r="BB35" s="180"/>
      <c r="BC35" s="182"/>
      <c r="BD35" s="180"/>
      <c r="BE35" s="181"/>
      <c r="BF35" s="184"/>
      <c r="BG35" s="179"/>
      <c r="BH35" s="180"/>
      <c r="BI35" s="181"/>
      <c r="BJ35" s="180"/>
      <c r="BK35" s="182"/>
      <c r="BL35" s="180"/>
      <c r="BM35" s="181"/>
      <c r="BN35" s="184"/>
      <c r="BO35" s="179"/>
      <c r="BP35" s="180"/>
      <c r="BQ35" s="181"/>
      <c r="BR35" s="180"/>
      <c r="BS35" s="182"/>
      <c r="BT35" s="180"/>
      <c r="BU35" s="181"/>
      <c r="BV35" s="184"/>
    </row>
    <row r="36" spans="1:74" ht="19.8" customHeight="1">
      <c r="A36" s="167" t="s">
        <v>136</v>
      </c>
      <c r="B36" s="167" t="s">
        <v>110</v>
      </c>
      <c r="C36" s="151"/>
      <c r="D36" s="152"/>
      <c r="E36" s="157"/>
      <c r="F36" s="152"/>
      <c r="G36" s="159"/>
      <c r="H36" s="152"/>
      <c r="I36" s="157"/>
      <c r="J36" s="158"/>
      <c r="K36" s="151"/>
      <c r="L36" s="152"/>
      <c r="M36" s="157"/>
      <c r="N36" s="152"/>
      <c r="O36" s="168"/>
      <c r="P36" s="152"/>
      <c r="Q36" s="157"/>
      <c r="R36" s="158"/>
      <c r="S36" s="304"/>
      <c r="T36" s="152"/>
      <c r="U36" s="157"/>
      <c r="V36" s="152"/>
      <c r="W36" s="168"/>
      <c r="X36" s="152"/>
      <c r="Y36" s="157"/>
      <c r="Z36" s="158"/>
      <c r="AA36" s="151"/>
      <c r="AB36" s="152"/>
      <c r="AC36" s="157"/>
      <c r="AD36" s="152"/>
      <c r="AE36" s="168"/>
      <c r="AF36" s="152"/>
      <c r="AG36" s="157"/>
      <c r="AH36" s="158"/>
      <c r="AI36" s="249"/>
      <c r="AJ36" s="248"/>
      <c r="AK36" s="250"/>
      <c r="AL36" s="251"/>
      <c r="AM36" s="309"/>
      <c r="AN36" s="218"/>
      <c r="AO36" s="217"/>
      <c r="AP36" s="313"/>
      <c r="AQ36" s="214"/>
      <c r="AR36" s="215"/>
      <c r="AS36" s="169"/>
      <c r="AT36" s="171"/>
      <c r="AU36" s="168"/>
      <c r="AV36" s="152"/>
      <c r="AW36" s="157"/>
      <c r="AX36" s="158"/>
      <c r="AY36" s="151"/>
      <c r="AZ36" s="152"/>
      <c r="BA36" s="157"/>
      <c r="BB36" s="152"/>
      <c r="BC36" s="168"/>
      <c r="BD36" s="152"/>
      <c r="BE36" s="157"/>
      <c r="BF36" s="158"/>
      <c r="BG36" s="151"/>
      <c r="BH36" s="152"/>
      <c r="BI36" s="157"/>
      <c r="BJ36" s="152"/>
      <c r="BK36" s="168"/>
      <c r="BL36" s="152"/>
      <c r="BM36" s="157"/>
      <c r="BN36" s="158"/>
      <c r="BO36" s="151"/>
      <c r="BP36" s="152"/>
      <c r="BQ36" s="157"/>
      <c r="BR36" s="152"/>
      <c r="BS36" s="168"/>
      <c r="BT36" s="152"/>
      <c r="BU36" s="157"/>
      <c r="BV36" s="158"/>
    </row>
    <row r="37" spans="1:74" ht="19.8" customHeight="1" thickBot="1">
      <c r="A37" s="150" t="s">
        <v>99</v>
      </c>
      <c r="B37" s="124" t="s">
        <v>100</v>
      </c>
      <c r="C37" s="174"/>
      <c r="D37" s="152"/>
      <c r="E37" s="157"/>
      <c r="F37" s="152"/>
      <c r="G37" s="157"/>
      <c r="H37" s="152"/>
      <c r="I37" s="157"/>
      <c r="J37" s="158"/>
      <c r="K37" s="174"/>
      <c r="L37" s="152"/>
      <c r="M37" s="157"/>
      <c r="N37" s="152"/>
      <c r="O37" s="201"/>
      <c r="P37" s="152"/>
      <c r="Q37" s="157"/>
      <c r="R37" s="158"/>
      <c r="S37" s="151"/>
      <c r="T37" s="152"/>
      <c r="U37" s="157"/>
      <c r="V37" s="152"/>
      <c r="W37" s="168"/>
      <c r="X37" s="152"/>
      <c r="Y37" s="157"/>
      <c r="Z37" s="158"/>
      <c r="AA37" s="151"/>
      <c r="AB37" s="152"/>
      <c r="AC37" s="157"/>
      <c r="AD37" s="152"/>
      <c r="AE37" s="168"/>
      <c r="AF37" s="152"/>
      <c r="AG37" s="157"/>
      <c r="AH37" s="158"/>
      <c r="AI37" s="151"/>
      <c r="AJ37" s="152"/>
      <c r="AK37" s="157"/>
      <c r="AL37" s="152"/>
      <c r="AM37" s="306"/>
      <c r="AN37" s="248"/>
      <c r="AO37" s="252"/>
      <c r="AP37" s="314"/>
      <c r="AQ37" s="151"/>
      <c r="AR37" s="152"/>
      <c r="AS37" s="168"/>
      <c r="AT37" s="152"/>
      <c r="AU37" s="172"/>
      <c r="AV37" s="171"/>
      <c r="AW37" s="169"/>
      <c r="AX37" s="173"/>
      <c r="AY37" s="315"/>
      <c r="AZ37" s="171"/>
      <c r="BA37" s="157"/>
      <c r="BB37" s="152"/>
      <c r="BC37" s="201"/>
      <c r="BD37" s="175"/>
      <c r="BE37" s="176"/>
      <c r="BF37" s="177"/>
      <c r="BG37" s="174"/>
      <c r="BH37" s="175"/>
      <c r="BI37" s="176"/>
      <c r="BJ37" s="175"/>
      <c r="BK37" s="201"/>
      <c r="BL37" s="175"/>
      <c r="BM37" s="176"/>
      <c r="BN37" s="177"/>
      <c r="BO37" s="174"/>
      <c r="BP37" s="175"/>
      <c r="BQ37" s="176"/>
      <c r="BR37" s="175"/>
      <c r="BS37" s="201"/>
      <c r="BT37" s="175"/>
      <c r="BU37" s="176"/>
      <c r="BV37" s="177"/>
    </row>
    <row r="38" spans="1:74" ht="19.8" customHeight="1">
      <c r="A38" s="259" t="s">
        <v>127</v>
      </c>
      <c r="B38" s="145"/>
      <c r="C38" s="134"/>
      <c r="D38" s="130"/>
      <c r="E38" s="189"/>
      <c r="F38" s="130"/>
      <c r="G38" s="178"/>
      <c r="H38" s="178"/>
      <c r="I38" s="189"/>
      <c r="J38" s="132"/>
      <c r="K38" s="134"/>
      <c r="L38" s="130"/>
      <c r="M38" s="189"/>
      <c r="N38" s="130"/>
      <c r="O38" s="133"/>
      <c r="P38" s="130"/>
      <c r="Q38" s="189"/>
      <c r="R38" s="132"/>
      <c r="S38" s="220"/>
      <c r="T38" s="178"/>
      <c r="U38" s="189"/>
      <c r="V38" s="130"/>
      <c r="W38" s="133"/>
      <c r="X38" s="130"/>
      <c r="Y38" s="189"/>
      <c r="Z38" s="132"/>
      <c r="AA38" s="220"/>
      <c r="AB38" s="178"/>
      <c r="AC38" s="189"/>
      <c r="AD38" s="130"/>
      <c r="AE38" s="133"/>
      <c r="AF38" s="130"/>
      <c r="AG38" s="133"/>
      <c r="AH38" s="132"/>
      <c r="AI38" s="220"/>
      <c r="AJ38" s="178"/>
      <c r="AK38" s="189"/>
      <c r="AL38" s="130"/>
      <c r="AM38" s="133"/>
      <c r="AN38" s="130"/>
      <c r="AO38" s="133"/>
      <c r="AP38" s="132"/>
      <c r="AQ38" s="220"/>
      <c r="AR38" s="178"/>
      <c r="AS38" s="189"/>
      <c r="AT38" s="130"/>
      <c r="AU38" s="178"/>
      <c r="AV38" s="130"/>
      <c r="AW38" s="131"/>
      <c r="AX38" s="132"/>
      <c r="AY38" s="328"/>
      <c r="AZ38" s="260"/>
      <c r="BA38" s="190"/>
      <c r="BB38" s="260"/>
      <c r="BC38" s="283"/>
      <c r="BD38" s="282"/>
      <c r="BE38" s="281"/>
      <c r="BF38" s="318"/>
      <c r="BG38" s="322"/>
      <c r="BH38" s="282"/>
      <c r="BI38" s="181"/>
      <c r="BJ38" s="180"/>
      <c r="BK38" s="183"/>
      <c r="BL38" s="180"/>
      <c r="BM38" s="181"/>
      <c r="BN38" s="184"/>
      <c r="BO38" s="179"/>
      <c r="BP38" s="180"/>
      <c r="BQ38" s="181"/>
      <c r="BR38" s="180"/>
      <c r="BS38" s="182"/>
      <c r="BT38" s="180"/>
      <c r="BU38" s="181"/>
      <c r="BV38" s="184"/>
    </row>
    <row r="39" spans="1:74" ht="19.8" customHeight="1">
      <c r="A39" s="167" t="s">
        <v>135</v>
      </c>
      <c r="B39" s="167" t="s">
        <v>74</v>
      </c>
      <c r="C39" s="179"/>
      <c r="D39" s="180"/>
      <c r="E39" s="183"/>
      <c r="F39" s="180"/>
      <c r="G39" s="183"/>
      <c r="H39" s="180"/>
      <c r="I39" s="192"/>
      <c r="J39" s="184"/>
      <c r="K39" s="179"/>
      <c r="L39" s="180"/>
      <c r="M39" s="183"/>
      <c r="N39" s="180"/>
      <c r="O39" s="182"/>
      <c r="P39" s="180"/>
      <c r="Q39" s="192"/>
      <c r="R39" s="184"/>
      <c r="S39" s="221"/>
      <c r="T39" s="180"/>
      <c r="U39" s="192"/>
      <c r="V39" s="180"/>
      <c r="W39" s="182"/>
      <c r="X39" s="180"/>
      <c r="Y39" s="183"/>
      <c r="Z39" s="184"/>
      <c r="AA39" s="221"/>
      <c r="AB39" s="180"/>
      <c r="AC39" s="192"/>
      <c r="AD39" s="180"/>
      <c r="AE39" s="182"/>
      <c r="AF39" s="180"/>
      <c r="AG39" s="182"/>
      <c r="AH39" s="184"/>
      <c r="AI39" s="221"/>
      <c r="AJ39" s="183"/>
      <c r="AK39" s="192"/>
      <c r="AL39" s="180"/>
      <c r="AM39" s="182"/>
      <c r="AN39" s="180"/>
      <c r="AO39" s="182"/>
      <c r="AP39" s="184"/>
      <c r="AQ39" s="221"/>
      <c r="AR39" s="183"/>
      <c r="AS39" s="192"/>
      <c r="AT39" s="180"/>
      <c r="AU39" s="183"/>
      <c r="AV39" s="180"/>
      <c r="AW39" s="181"/>
      <c r="AX39" s="184"/>
      <c r="AY39" s="323"/>
      <c r="AZ39" s="223"/>
      <c r="BA39" s="222"/>
      <c r="BB39" s="223"/>
      <c r="BC39" s="183"/>
      <c r="BD39" s="180"/>
      <c r="BE39" s="181"/>
      <c r="BF39" s="184"/>
      <c r="BG39" s="179"/>
      <c r="BH39" s="183"/>
      <c r="BI39" s="181"/>
      <c r="BJ39" s="180"/>
      <c r="BK39" s="183"/>
      <c r="BL39" s="180"/>
      <c r="BM39" s="181"/>
      <c r="BN39" s="184"/>
      <c r="BO39" s="179"/>
      <c r="BP39" s="183"/>
      <c r="BQ39" s="181"/>
      <c r="BR39" s="180"/>
      <c r="BS39" s="182"/>
      <c r="BT39" s="183"/>
      <c r="BU39" s="181"/>
      <c r="BV39" s="184"/>
    </row>
    <row r="40" spans="1:74" ht="19.8" customHeight="1">
      <c r="A40" s="167" t="s">
        <v>102</v>
      </c>
      <c r="B40" s="167" t="s">
        <v>74</v>
      </c>
      <c r="C40" s="179"/>
      <c r="D40" s="180"/>
      <c r="E40" s="183"/>
      <c r="F40" s="180"/>
      <c r="G40" s="183"/>
      <c r="H40" s="180"/>
      <c r="I40" s="192"/>
      <c r="J40" s="184"/>
      <c r="K40" s="179"/>
      <c r="L40" s="180"/>
      <c r="M40" s="183"/>
      <c r="N40" s="180"/>
      <c r="O40" s="182"/>
      <c r="P40" s="180"/>
      <c r="Q40" s="192"/>
      <c r="R40" s="184"/>
      <c r="S40" s="221"/>
      <c r="T40" s="180"/>
      <c r="U40" s="192"/>
      <c r="V40" s="180"/>
      <c r="W40" s="182"/>
      <c r="X40" s="180"/>
      <c r="Y40" s="183"/>
      <c r="Z40" s="184"/>
      <c r="AA40" s="221"/>
      <c r="AB40" s="180"/>
      <c r="AC40" s="192"/>
      <c r="AD40" s="180"/>
      <c r="AE40" s="182"/>
      <c r="AF40" s="180"/>
      <c r="AG40" s="182"/>
      <c r="AH40" s="184"/>
      <c r="AI40" s="221"/>
      <c r="AJ40" s="183"/>
      <c r="AK40" s="192"/>
      <c r="AL40" s="180"/>
      <c r="AM40" s="182"/>
      <c r="AN40" s="180"/>
      <c r="AO40" s="182"/>
      <c r="AP40" s="184"/>
      <c r="AQ40" s="221"/>
      <c r="AR40" s="183"/>
      <c r="AS40" s="192"/>
      <c r="AT40" s="180"/>
      <c r="AU40" s="183"/>
      <c r="AV40" s="180"/>
      <c r="AW40" s="181"/>
      <c r="AX40" s="184"/>
      <c r="AY40" s="179"/>
      <c r="AZ40" s="180"/>
      <c r="BA40" s="181"/>
      <c r="BB40" s="180"/>
      <c r="BC40" s="286"/>
      <c r="BD40" s="223"/>
      <c r="BE40" s="222"/>
      <c r="BF40" s="319"/>
      <c r="BG40" s="179"/>
      <c r="BH40" s="183"/>
      <c r="BI40" s="181"/>
      <c r="BJ40" s="180"/>
      <c r="BK40" s="183"/>
      <c r="BL40" s="180"/>
      <c r="BM40" s="181"/>
      <c r="BN40" s="184"/>
      <c r="BO40" s="179"/>
      <c r="BP40" s="183"/>
      <c r="BQ40" s="181"/>
      <c r="BR40" s="180"/>
      <c r="BS40" s="182"/>
      <c r="BT40" s="183"/>
      <c r="BU40" s="181"/>
      <c r="BV40" s="184"/>
    </row>
    <row r="41" spans="1:74" ht="21" customHeight="1">
      <c r="A41" s="167" t="s">
        <v>103</v>
      </c>
      <c r="B41" s="193" t="s">
        <v>104</v>
      </c>
      <c r="C41" s="151"/>
      <c r="D41" s="152"/>
      <c r="E41" s="157"/>
      <c r="F41" s="152"/>
      <c r="G41" s="157"/>
      <c r="H41" s="152"/>
      <c r="I41" s="181"/>
      <c r="J41" s="184"/>
      <c r="K41" s="151"/>
      <c r="L41" s="152"/>
      <c r="M41" s="157"/>
      <c r="N41" s="152"/>
      <c r="O41" s="168"/>
      <c r="P41" s="152"/>
      <c r="Q41" s="157"/>
      <c r="R41" s="158"/>
      <c r="S41" s="151"/>
      <c r="T41" s="152"/>
      <c r="U41" s="181"/>
      <c r="V41" s="180"/>
      <c r="W41" s="168"/>
      <c r="X41" s="152"/>
      <c r="Y41" s="157"/>
      <c r="Z41" s="158"/>
      <c r="AA41" s="151"/>
      <c r="AB41" s="152"/>
      <c r="AC41" s="181"/>
      <c r="AD41" s="180"/>
      <c r="AE41" s="168"/>
      <c r="AF41" s="152"/>
      <c r="AG41" s="157"/>
      <c r="AH41" s="158"/>
      <c r="AI41" s="151"/>
      <c r="AJ41" s="152"/>
      <c r="AK41" s="181"/>
      <c r="AL41" s="180"/>
      <c r="AM41" s="168"/>
      <c r="AN41" s="152"/>
      <c r="AO41" s="157"/>
      <c r="AP41" s="158"/>
      <c r="AQ41" s="151"/>
      <c r="AR41" s="170"/>
      <c r="AS41" s="194"/>
      <c r="AT41" s="170"/>
      <c r="AU41" s="168"/>
      <c r="AV41" s="152"/>
      <c r="AW41" s="157"/>
      <c r="AX41" s="158"/>
      <c r="AY41" s="151"/>
      <c r="AZ41" s="170"/>
      <c r="BA41" s="194"/>
      <c r="BB41" s="170"/>
      <c r="BC41" s="168"/>
      <c r="BD41" s="152"/>
      <c r="BE41" s="168"/>
      <c r="BF41" s="158"/>
      <c r="BG41" s="329"/>
      <c r="BH41" s="330"/>
      <c r="BI41" s="168"/>
      <c r="BJ41" s="152"/>
      <c r="BK41" s="168"/>
      <c r="BL41" s="152"/>
      <c r="BM41" s="168"/>
      <c r="BN41" s="158"/>
      <c r="BO41" s="324"/>
      <c r="BP41" s="251"/>
      <c r="BQ41" s="168"/>
      <c r="BR41" s="152"/>
      <c r="BS41" s="317"/>
      <c r="BT41" s="251"/>
      <c r="BU41" s="168"/>
      <c r="BV41" s="158"/>
    </row>
    <row r="42" spans="1:74" ht="19.8" customHeight="1" thickBot="1">
      <c r="A42" s="125" t="s">
        <v>122</v>
      </c>
      <c r="B42" s="125" t="s">
        <v>105</v>
      </c>
      <c r="C42" s="174"/>
      <c r="D42" s="175"/>
      <c r="E42" s="176"/>
      <c r="F42" s="175"/>
      <c r="G42" s="176"/>
      <c r="H42" s="175"/>
      <c r="I42" s="186"/>
      <c r="J42" s="188"/>
      <c r="K42" s="174"/>
      <c r="L42" s="175"/>
      <c r="M42" s="176"/>
      <c r="N42" s="175"/>
      <c r="O42" s="201"/>
      <c r="P42" s="175"/>
      <c r="Q42" s="176"/>
      <c r="R42" s="177"/>
      <c r="S42" s="174"/>
      <c r="T42" s="175"/>
      <c r="U42" s="186"/>
      <c r="V42" s="185"/>
      <c r="W42" s="201"/>
      <c r="X42" s="175"/>
      <c r="Y42" s="176"/>
      <c r="Z42" s="177"/>
      <c r="AA42" s="174"/>
      <c r="AB42" s="175"/>
      <c r="AC42" s="186"/>
      <c r="AD42" s="185"/>
      <c r="AE42" s="201"/>
      <c r="AF42" s="175"/>
      <c r="AG42" s="176"/>
      <c r="AH42" s="177"/>
      <c r="AI42" s="174"/>
      <c r="AJ42" s="175"/>
      <c r="AK42" s="186"/>
      <c r="AL42" s="185"/>
      <c r="AM42" s="201"/>
      <c r="AN42" s="175"/>
      <c r="AO42" s="176"/>
      <c r="AP42" s="177"/>
      <c r="AQ42" s="174"/>
      <c r="AR42" s="197"/>
      <c r="AS42" s="198"/>
      <c r="AT42" s="197"/>
      <c r="AU42" s="201"/>
      <c r="AV42" s="175"/>
      <c r="AW42" s="176"/>
      <c r="AX42" s="177"/>
      <c r="AY42" s="316"/>
      <c r="AZ42" s="185"/>
      <c r="BA42" s="246"/>
      <c r="BB42" s="245"/>
      <c r="BC42" s="201"/>
      <c r="BD42" s="175"/>
      <c r="BE42" s="168"/>
      <c r="BF42" s="158"/>
      <c r="BG42" s="331"/>
      <c r="BH42" s="325"/>
      <c r="BI42" s="176"/>
      <c r="BJ42" s="175"/>
      <c r="BK42" s="201"/>
      <c r="BL42" s="175"/>
      <c r="BM42" s="168"/>
      <c r="BN42" s="158"/>
      <c r="BO42" s="174"/>
      <c r="BP42" s="175"/>
      <c r="BQ42" s="176"/>
      <c r="BR42" s="175"/>
      <c r="BS42" s="201"/>
      <c r="BT42" s="175"/>
      <c r="BU42" s="176"/>
      <c r="BV42" s="177"/>
    </row>
    <row r="43" spans="1:74" ht="19.8" customHeight="1">
      <c r="A43" s="122" t="s">
        <v>106</v>
      </c>
      <c r="B43" s="145"/>
      <c r="C43" s="134"/>
      <c r="D43" s="130"/>
      <c r="E43" s="189"/>
      <c r="F43" s="130"/>
      <c r="G43" s="178"/>
      <c r="H43" s="178"/>
      <c r="I43" s="189"/>
      <c r="J43" s="132"/>
      <c r="K43" s="134"/>
      <c r="L43" s="130"/>
      <c r="M43" s="189"/>
      <c r="N43" s="130"/>
      <c r="O43" s="133"/>
      <c r="P43" s="130"/>
      <c r="Q43" s="189"/>
      <c r="R43" s="132"/>
      <c r="S43" s="220"/>
      <c r="T43" s="178"/>
      <c r="U43" s="189"/>
      <c r="V43" s="130"/>
      <c r="W43" s="133"/>
      <c r="X43" s="130"/>
      <c r="Y43" s="189"/>
      <c r="Z43" s="132"/>
      <c r="AA43" s="220"/>
      <c r="AB43" s="178"/>
      <c r="AC43" s="189"/>
      <c r="AD43" s="130"/>
      <c r="AE43" s="133"/>
      <c r="AF43" s="130"/>
      <c r="AG43" s="133"/>
      <c r="AH43" s="132"/>
      <c r="AI43" s="220"/>
      <c r="AJ43" s="178"/>
      <c r="AK43" s="189"/>
      <c r="AL43" s="130"/>
      <c r="AM43" s="133"/>
      <c r="AN43" s="130"/>
      <c r="AO43" s="133"/>
      <c r="AP43" s="132"/>
      <c r="AQ43" s="220"/>
      <c r="AR43" s="178"/>
      <c r="AS43" s="189"/>
      <c r="AT43" s="130"/>
      <c r="AU43" s="133"/>
      <c r="AV43" s="130"/>
      <c r="AW43" s="133"/>
      <c r="AX43" s="132"/>
      <c r="AY43" s="220"/>
      <c r="AZ43" s="178"/>
      <c r="BA43" s="189"/>
      <c r="BB43" s="130"/>
      <c r="BC43" s="133"/>
      <c r="BD43" s="130"/>
      <c r="BE43" s="178"/>
      <c r="BF43" s="132"/>
      <c r="BG43" s="220"/>
      <c r="BH43" s="130"/>
      <c r="BI43" s="232"/>
      <c r="BJ43" s="202"/>
      <c r="BK43" s="320"/>
      <c r="BL43" s="202"/>
      <c r="BM43" s="203"/>
      <c r="BN43" s="204"/>
      <c r="BO43" s="326"/>
      <c r="BP43" s="202"/>
      <c r="BQ43" s="131"/>
      <c r="BR43" s="130"/>
      <c r="BS43" s="317"/>
      <c r="BT43" s="251"/>
      <c r="BU43" s="168"/>
      <c r="BV43" s="158"/>
    </row>
    <row r="44" spans="1:74" ht="19.8" customHeight="1" thickBot="1">
      <c r="A44" s="124" t="s">
        <v>107</v>
      </c>
      <c r="B44" s="167" t="s">
        <v>111</v>
      </c>
      <c r="C44" s="174"/>
      <c r="D44" s="175"/>
      <c r="E44" s="205"/>
      <c r="F44" s="175"/>
      <c r="G44" s="205"/>
      <c r="H44" s="175"/>
      <c r="I44" s="186"/>
      <c r="J44" s="188"/>
      <c r="K44" s="174"/>
      <c r="L44" s="175"/>
      <c r="M44" s="205"/>
      <c r="N44" s="175"/>
      <c r="O44" s="201"/>
      <c r="P44" s="175"/>
      <c r="Q44" s="198"/>
      <c r="R44" s="177"/>
      <c r="S44" s="200"/>
      <c r="T44" s="175"/>
      <c r="U44" s="186"/>
      <c r="V44" s="185"/>
      <c r="W44" s="201"/>
      <c r="X44" s="175"/>
      <c r="Y44" s="205"/>
      <c r="Z44" s="177"/>
      <c r="AA44" s="200"/>
      <c r="AB44" s="175"/>
      <c r="AC44" s="186"/>
      <c r="AD44" s="185"/>
      <c r="AE44" s="201"/>
      <c r="AF44" s="175"/>
      <c r="AG44" s="176"/>
      <c r="AH44" s="177"/>
      <c r="AI44" s="200"/>
      <c r="AJ44" s="175"/>
      <c r="AK44" s="186"/>
      <c r="AL44" s="185"/>
      <c r="AM44" s="201"/>
      <c r="AN44" s="175"/>
      <c r="AO44" s="176"/>
      <c r="AP44" s="177"/>
      <c r="AQ44" s="200"/>
      <c r="AR44" s="175"/>
      <c r="AS44" s="186"/>
      <c r="AT44" s="185"/>
      <c r="AU44" s="201"/>
      <c r="AV44" s="175"/>
      <c r="AW44" s="176"/>
      <c r="AX44" s="177"/>
      <c r="AY44" s="200"/>
      <c r="AZ44" s="175"/>
      <c r="BA44" s="186"/>
      <c r="BB44" s="185"/>
      <c r="BC44" s="201"/>
      <c r="BD44" s="175"/>
      <c r="BE44" s="205"/>
      <c r="BF44" s="177"/>
      <c r="BG44" s="316"/>
      <c r="BH44" s="185"/>
      <c r="BI44" s="233"/>
      <c r="BJ44" s="226"/>
      <c r="BK44" s="321"/>
      <c r="BL44" s="226"/>
      <c r="BM44" s="225"/>
      <c r="BN44" s="230"/>
      <c r="BO44" s="327"/>
      <c r="BP44" s="231"/>
      <c r="BQ44" s="176"/>
      <c r="BR44" s="175"/>
      <c r="BS44" s="201"/>
      <c r="BT44" s="175"/>
      <c r="BU44" s="176"/>
      <c r="BV44" s="177"/>
    </row>
  </sheetData>
  <mergeCells count="156">
    <mergeCell ref="A5:A6"/>
    <mergeCell ref="B5:B6"/>
    <mergeCell ref="C5:J5"/>
    <mergeCell ref="K5:R5"/>
    <mergeCell ref="S5:Z5"/>
    <mergeCell ref="AA5:AH5"/>
    <mergeCell ref="AI5:AP5"/>
    <mergeCell ref="AG7:AH7"/>
    <mergeCell ref="AI7:AJ7"/>
    <mergeCell ref="C7:D7"/>
    <mergeCell ref="E7:F7"/>
    <mergeCell ref="G7:H7"/>
    <mergeCell ref="I7:J7"/>
    <mergeCell ref="K7:L7"/>
    <mergeCell ref="AC6:AD6"/>
    <mergeCell ref="AE6:AF6"/>
    <mergeCell ref="AG6:AH6"/>
    <mergeCell ref="AI6:AJ6"/>
    <mergeCell ref="Q6:R6"/>
    <mergeCell ref="S6:T6"/>
    <mergeCell ref="E6:F6"/>
    <mergeCell ref="G6:H6"/>
    <mergeCell ref="I6:J6"/>
    <mergeCell ref="K6:L6"/>
    <mergeCell ref="M6:N6"/>
    <mergeCell ref="O6:P6"/>
    <mergeCell ref="AQ5:AX5"/>
    <mergeCell ref="C6:D6"/>
    <mergeCell ref="S7:T7"/>
    <mergeCell ref="U7:V7"/>
    <mergeCell ref="Q7:R7"/>
    <mergeCell ref="AO6:AP6"/>
    <mergeCell ref="AQ6:AR6"/>
    <mergeCell ref="AS6:AT6"/>
    <mergeCell ref="AU6:AV6"/>
    <mergeCell ref="AW6:AX6"/>
    <mergeCell ref="AK6:AL6"/>
    <mergeCell ref="AM6:AN6"/>
    <mergeCell ref="AW7:AX7"/>
    <mergeCell ref="AK7:AL7"/>
    <mergeCell ref="AM7:AN7"/>
    <mergeCell ref="AO7:AP7"/>
    <mergeCell ref="AQ7:AR7"/>
    <mergeCell ref="AS7:AT7"/>
    <mergeCell ref="AU7:AV7"/>
    <mergeCell ref="U6:V6"/>
    <mergeCell ref="W6:X6"/>
    <mergeCell ref="Y6:Z6"/>
    <mergeCell ref="AA6:AB6"/>
    <mergeCell ref="C8:D8"/>
    <mergeCell ref="E8:F8"/>
    <mergeCell ref="G8:H8"/>
    <mergeCell ref="I8:J8"/>
    <mergeCell ref="K8:L8"/>
    <mergeCell ref="M8:N8"/>
    <mergeCell ref="O8:P8"/>
    <mergeCell ref="Q8:R8"/>
    <mergeCell ref="S8:T8"/>
    <mergeCell ref="M7:N7"/>
    <mergeCell ref="O7:P7"/>
    <mergeCell ref="AW8:AX8"/>
    <mergeCell ref="I9:J9"/>
    <mergeCell ref="AC13:AD13"/>
    <mergeCell ref="AE13:AF13"/>
    <mergeCell ref="AG13:AH13"/>
    <mergeCell ref="AG8:AH8"/>
    <mergeCell ref="AI8:AJ8"/>
    <mergeCell ref="AK8:AL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W7:X7"/>
    <mergeCell ref="Y7:Z7"/>
    <mergeCell ref="AA7:AB7"/>
    <mergeCell ref="AC7:AD7"/>
    <mergeCell ref="AE7:AF7"/>
    <mergeCell ref="AK22:AL22"/>
    <mergeCell ref="AO22:AP22"/>
    <mergeCell ref="BC21:BD21"/>
    <mergeCell ref="AC14:AD14"/>
    <mergeCell ref="W15:X15"/>
    <mergeCell ref="Y15:Z15"/>
    <mergeCell ref="W17:X17"/>
    <mergeCell ref="Y17:Z17"/>
    <mergeCell ref="AA18:AB18"/>
    <mergeCell ref="AC18:AD18"/>
    <mergeCell ref="M27:N27"/>
    <mergeCell ref="O27:P27"/>
    <mergeCell ref="Q27:R27"/>
    <mergeCell ref="C27:D27"/>
    <mergeCell ref="E27:F27"/>
    <mergeCell ref="G27:H27"/>
    <mergeCell ref="I27:J27"/>
    <mergeCell ref="K27:L27"/>
    <mergeCell ref="M26:N26"/>
    <mergeCell ref="O26:P26"/>
    <mergeCell ref="Q26:R26"/>
    <mergeCell ref="C26:D26"/>
    <mergeCell ref="E26:F26"/>
    <mergeCell ref="G26:H26"/>
    <mergeCell ref="I26:J26"/>
    <mergeCell ref="K26:L26"/>
    <mergeCell ref="A25:BV25"/>
    <mergeCell ref="BG8:BH8"/>
    <mergeCell ref="BI8:BJ8"/>
    <mergeCell ref="BK8:BL8"/>
    <mergeCell ref="BM8:BN8"/>
    <mergeCell ref="BK21:BL21"/>
    <mergeCell ref="BG5:BN5"/>
    <mergeCell ref="BG6:BH6"/>
    <mergeCell ref="BI6:BJ6"/>
    <mergeCell ref="BK6:BL6"/>
    <mergeCell ref="BM6:BN6"/>
    <mergeCell ref="BG7:BH7"/>
    <mergeCell ref="BI7:BJ7"/>
    <mergeCell ref="BK7:BL7"/>
    <mergeCell ref="BM7:BN7"/>
    <mergeCell ref="BA7:BB7"/>
    <mergeCell ref="BC7:BD7"/>
    <mergeCell ref="BE7:BF7"/>
    <mergeCell ref="AY8:AZ8"/>
    <mergeCell ref="BA8:BB8"/>
    <mergeCell ref="BC8:BD8"/>
    <mergeCell ref="BE8:BF8"/>
    <mergeCell ref="AY5:BF5"/>
    <mergeCell ref="AY6:AZ6"/>
    <mergeCell ref="BO8:BP8"/>
    <mergeCell ref="BQ8:BR8"/>
    <mergeCell ref="BS8:BT8"/>
    <mergeCell ref="BU8:BV8"/>
    <mergeCell ref="BS21:BT21"/>
    <mergeCell ref="A4:BV4"/>
    <mergeCell ref="BO5:BV5"/>
    <mergeCell ref="BO6:BP6"/>
    <mergeCell ref="BQ6:BR6"/>
    <mergeCell ref="BS6:BT6"/>
    <mergeCell ref="BU6:BV6"/>
    <mergeCell ref="BO7:BP7"/>
    <mergeCell ref="BQ7:BR7"/>
    <mergeCell ref="BS7:BT7"/>
    <mergeCell ref="BU7:BV7"/>
    <mergeCell ref="BA6:BB6"/>
    <mergeCell ref="BC6:BD6"/>
    <mergeCell ref="BE6:BF6"/>
    <mergeCell ref="AY7:AZ7"/>
    <mergeCell ref="AI21:AJ21"/>
    <mergeCell ref="AK21:AL21"/>
    <mergeCell ref="AU21:AV21"/>
    <mergeCell ref="AS8:AT8"/>
    <mergeCell ref="AU8:AV8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3" ma:contentTypeDescription="Create a new document." ma:contentTypeScope="" ma:versionID="722d95d4363024040424463134520e7a">
  <xsd:schema xmlns:xsd="http://www.w3.org/2001/XMLSchema" xmlns:xs="http://www.w3.org/2001/XMLSchema" xmlns:p="http://schemas.microsoft.com/office/2006/metadata/properties" xmlns:ns2="0d60e298-e065-4f1a-805f-2baba955768a" targetNamespace="http://schemas.microsoft.com/office/2006/metadata/properties" ma:root="true" ma:fieldsID="eee0e4e90eab3d4101eac401d0ef5437" ns2:_="">
    <xsd:import namespace="0d60e298-e065-4f1a-805f-2baba955768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60e298-e065-4f1a-805f-2baba95576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A3B68FB-0CD3-4C34-825F-A9E78F4C6EBB}">
  <ds:schemaRefs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purl.org/dc/terms/"/>
    <ds:schemaRef ds:uri="ec466598-fee1-4d68-82ac-322088c85ad8"/>
    <ds:schemaRef ds:uri="670ced93-801b-4ad2-a495-dfb81f68f832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E851C94-BB27-4C40-BE16-66571226E32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</vt:lpstr>
      <vt:lpstr>Total</vt:lpstr>
      <vt:lpstr>DGT_Manday</vt:lpstr>
      <vt:lpstr>Timeline</vt:lpstr>
      <vt:lpstr>Timeline 2 POT</vt:lpstr>
    </vt:vector>
  </TitlesOfParts>
  <Manager/>
  <Company>PTTICT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Wannika Jipibhop</dc:creator>
  <cp:keywords/>
  <dc:description/>
  <cp:lastModifiedBy>Wannaporn Jaemklam</cp:lastModifiedBy>
  <cp:revision/>
  <dcterms:created xsi:type="dcterms:W3CDTF">2014-03-05T16:20:38Z</dcterms:created>
  <dcterms:modified xsi:type="dcterms:W3CDTF">2026-03-20T03:54:37Z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  <property fmtid="{D5CDD505-2E9C-101B-9397-08002B2CF9AE}" pid="3" name="MediaServiceImageTags">
    <vt:lpwstr/>
  </property>
</Properties>
</file>