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dsarin.k\Downloads\"/>
    </mc:Choice>
  </mc:AlternateContent>
  <xr:revisionPtr revIDLastSave="0" documentId="13_ncr:1_{1EA9391A-35A6-4068-9ED1-641E18294788}" xr6:coauthVersionLast="47" xr6:coauthVersionMax="47" xr10:uidLastSave="{00000000-0000-0000-0000-000000000000}"/>
  <bookViews>
    <workbookView xWindow="28680" yWindow="-120" windowWidth="29040" windowHeight="15720" tabRatio="927" firstSheet="19" activeTab="19" xr2:uid="{9DE3CB6E-C744-4D1F-B5B2-4EEB7999DFC4}"/>
  </bookViews>
  <sheets>
    <sheet name="Requirement &amp; Action Plan" sheetId="1" state="hidden" r:id="rId1"/>
    <sheet name="ICT manday" sheetId="2" state="hidden" r:id="rId2"/>
    <sheet name="Sheet1" sheetId="4" state="hidden" r:id="rId3"/>
    <sheet name="enh2026 เพิ่มแก้ไข PIPO" sheetId="14" state="hidden" r:id="rId4"/>
    <sheet name="enh2026 เพิ่มแก้ไข PIPO PJ" sheetId="15" state="hidden" r:id="rId5"/>
    <sheet name="enh2026 เพิ่มแก้ไข PIPO PJ V.2" sheetId="16" state="hidden" r:id="rId6"/>
    <sheet name="enh2026" sheetId="8" state="hidden" r:id="rId7"/>
    <sheet name="enh2026(Interface SAP DIY)" sheetId="12" state="hidden" r:id="rId8"/>
    <sheet name="enh2026(Interface SAP DIY) (Re)" sheetId="13" state="hidden" r:id="rId9"/>
    <sheet name="enh202(Re)+security" sheetId="20" state="hidden" r:id="rId10"/>
    <sheet name="enh2026(Interface SAP DIY) CR" sheetId="17" state="hidden" r:id="rId11"/>
    <sheet name="enh2026(Interface SAP DIY) CPI" sheetId="18" state="hidden" r:id="rId12"/>
    <sheet name="enh202(Re)+security+CR" sheetId="22" state="hidden" r:id="rId13"/>
    <sheet name="enh2026(Interface SAP DIY bk" sheetId="21" state="hidden" r:id="rId14"/>
    <sheet name="enh2026(Interface SAP DIY) BK" sheetId="19" state="hidden" r:id="rId15"/>
    <sheet name="enh2026(security)" sheetId="11" state="hidden" r:id="rId16"/>
    <sheet name="enh2026 คงเงินกองทุน" sheetId="10" state="hidden" r:id="rId17"/>
    <sheet name="enh 2026_bk" sheetId="5" state="hidden" r:id="rId18"/>
    <sheet name="enh202(Re)+security+CR-HRcb" sheetId="23" state="hidden" r:id="rId19"/>
    <sheet name="enh202(Re)+security+CR V2" sheetId="24" r:id="rId20"/>
    <sheet name="timeline" sheetId="3" r:id="rId21"/>
  </sheets>
  <definedNames>
    <definedName name="_xlnm._FilterDatabase" localSheetId="12" hidden="1">'enh202(Re)+security+CR'!$A$2:$EE$56</definedName>
    <definedName name="_xlnm._FilterDatabase" localSheetId="19" hidden="1">'enh202(Re)+security+CR V2'!$A$2:$EE$56</definedName>
    <definedName name="_xlnm._FilterDatabase" localSheetId="18" hidden="1">'enh202(Re)+security+CR-HRcb'!$A$2:$EE$57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4" i="24" l="1"/>
  <c r="N86" i="24"/>
  <c r="U82" i="24" s="1"/>
  <c r="W82" i="24" s="1"/>
  <c r="H77" i="24"/>
  <c r="J76" i="24"/>
  <c r="J75" i="24"/>
  <c r="J74" i="24"/>
  <c r="P73" i="24"/>
  <c r="J73" i="24"/>
  <c r="J72" i="24"/>
  <c r="J71" i="24"/>
  <c r="J70" i="24"/>
  <c r="J69" i="24"/>
  <c r="J68" i="24"/>
  <c r="J67" i="24"/>
  <c r="J66" i="24"/>
  <c r="J65" i="24"/>
  <c r="J64" i="24"/>
  <c r="J63" i="24"/>
  <c r="J62" i="24"/>
  <c r="J61" i="24"/>
  <c r="J60" i="24"/>
  <c r="J59" i="24"/>
  <c r="BE52" i="24"/>
  <c r="BE54" i="24" s="1"/>
  <c r="BD52" i="24"/>
  <c r="BD54" i="24" s="1"/>
  <c r="BC52" i="24"/>
  <c r="BC54" i="24" s="1"/>
  <c r="BB52" i="24"/>
  <c r="BB54" i="24" s="1"/>
  <c r="BA52" i="24"/>
  <c r="BA54" i="24" s="1"/>
  <c r="AZ52" i="24"/>
  <c r="AZ54" i="24" s="1"/>
  <c r="AY52" i="24"/>
  <c r="AY54" i="24" s="1"/>
  <c r="AX52" i="24"/>
  <c r="AX56" i="24" s="1"/>
  <c r="AW52" i="24"/>
  <c r="AW54" i="24" s="1"/>
  <c r="AV52" i="24"/>
  <c r="AV54" i="24" s="1"/>
  <c r="AU52" i="24"/>
  <c r="AU56" i="24" s="1"/>
  <c r="AT52" i="24"/>
  <c r="AT54" i="24" s="1"/>
  <c r="AS52" i="24"/>
  <c r="AS54" i="24" s="1"/>
  <c r="AR52" i="24"/>
  <c r="AR54" i="24" s="1"/>
  <c r="AQ52" i="24"/>
  <c r="AQ54" i="24" s="1"/>
  <c r="AP52" i="24"/>
  <c r="AP56" i="24" s="1"/>
  <c r="AO52" i="24"/>
  <c r="AO54" i="24" s="1"/>
  <c r="AN52" i="24"/>
  <c r="AN54" i="24" s="1"/>
  <c r="AM52" i="24"/>
  <c r="AM56" i="24" s="1"/>
  <c r="AL52" i="24"/>
  <c r="AL54" i="24" s="1"/>
  <c r="AK52" i="24"/>
  <c r="AK54" i="24" s="1"/>
  <c r="AJ52" i="24"/>
  <c r="AJ54" i="24" s="1"/>
  <c r="AI52" i="24"/>
  <c r="AI54" i="24" s="1"/>
  <c r="AH52" i="24"/>
  <c r="AH56" i="24" s="1"/>
  <c r="AG52" i="24"/>
  <c r="AG54" i="24" s="1"/>
  <c r="AF52" i="24"/>
  <c r="AF54" i="24" s="1"/>
  <c r="AE52" i="24"/>
  <c r="AE56" i="24" s="1"/>
  <c r="AD52" i="24"/>
  <c r="AD54" i="24" s="1"/>
  <c r="AC52" i="24"/>
  <c r="AC54" i="24" s="1"/>
  <c r="AB52" i="24"/>
  <c r="AB54" i="24" s="1"/>
  <c r="AA52" i="24"/>
  <c r="AA54" i="24" s="1"/>
  <c r="Z52" i="24"/>
  <c r="Z56" i="24" s="1"/>
  <c r="Y52" i="24"/>
  <c r="Y56" i="24" s="1"/>
  <c r="X52" i="24"/>
  <c r="X54" i="24" s="1"/>
  <c r="W52" i="24"/>
  <c r="W54" i="24" s="1"/>
  <c r="V52" i="24"/>
  <c r="V56" i="24" s="1"/>
  <c r="U52" i="24"/>
  <c r="U54" i="24" s="1"/>
  <c r="T52" i="24"/>
  <c r="T56" i="24" s="1"/>
  <c r="S52" i="24"/>
  <c r="S54" i="24" s="1"/>
  <c r="R52" i="24"/>
  <c r="R56" i="24" s="1"/>
  <c r="Q52" i="24"/>
  <c r="Q54" i="24" s="1"/>
  <c r="P52" i="24"/>
  <c r="P56" i="24" s="1"/>
  <c r="O52" i="24"/>
  <c r="O56" i="24" s="1"/>
  <c r="N52" i="24"/>
  <c r="N54" i="24" s="1"/>
  <c r="M52" i="24"/>
  <c r="M54" i="24" s="1"/>
  <c r="L52" i="24"/>
  <c r="L56" i="24" s="1"/>
  <c r="K52" i="24"/>
  <c r="K54" i="24" s="1"/>
  <c r="J52" i="24"/>
  <c r="J56" i="24" s="1"/>
  <c r="H52" i="24"/>
  <c r="H56" i="24" s="1"/>
  <c r="F52" i="24"/>
  <c r="F56" i="24" s="1"/>
  <c r="I50" i="24"/>
  <c r="G50" i="24"/>
  <c r="I32" i="24"/>
  <c r="G32" i="24"/>
  <c r="W85" i="23"/>
  <c r="N86" i="23"/>
  <c r="P85" i="23"/>
  <c r="U85" i="23"/>
  <c r="W84" i="23"/>
  <c r="P84" i="23"/>
  <c r="W83" i="23"/>
  <c r="P83" i="23"/>
  <c r="W82" i="23"/>
  <c r="P82" i="23"/>
  <c r="W81" i="23"/>
  <c r="P81" i="23"/>
  <c r="W80" i="23"/>
  <c r="P80" i="23"/>
  <c r="W79" i="23"/>
  <c r="P79" i="23"/>
  <c r="W78" i="23"/>
  <c r="P78" i="23"/>
  <c r="H78" i="23"/>
  <c r="W77" i="23"/>
  <c r="P77" i="23"/>
  <c r="J77" i="23"/>
  <c r="W76" i="23"/>
  <c r="P76" i="23"/>
  <c r="J76" i="23"/>
  <c r="W75" i="23"/>
  <c r="P75" i="23"/>
  <c r="J75" i="23"/>
  <c r="W74" i="23"/>
  <c r="P74" i="23"/>
  <c r="J74" i="23"/>
  <c r="W73" i="23"/>
  <c r="P73" i="23"/>
  <c r="J73" i="23"/>
  <c r="W72" i="23"/>
  <c r="P72" i="23"/>
  <c r="J72" i="23"/>
  <c r="W71" i="23"/>
  <c r="P71" i="23"/>
  <c r="J71" i="23"/>
  <c r="W70" i="23"/>
  <c r="P70" i="23"/>
  <c r="J70" i="23"/>
  <c r="W69" i="23"/>
  <c r="P69" i="23"/>
  <c r="J69" i="23"/>
  <c r="W68" i="23"/>
  <c r="P68" i="23"/>
  <c r="J68" i="23"/>
  <c r="W67" i="23"/>
  <c r="P67" i="23"/>
  <c r="J67" i="23"/>
  <c r="W66" i="23"/>
  <c r="P66" i="23"/>
  <c r="J66" i="23"/>
  <c r="W65" i="23"/>
  <c r="P65" i="23"/>
  <c r="J65" i="23"/>
  <c r="W64" i="23"/>
  <c r="P64" i="23"/>
  <c r="J64" i="23"/>
  <c r="W63" i="23"/>
  <c r="P63" i="23"/>
  <c r="J63" i="23"/>
  <c r="W62" i="23"/>
  <c r="P62" i="23"/>
  <c r="J62" i="23"/>
  <c r="W61" i="23"/>
  <c r="P61" i="23"/>
  <c r="J61" i="23"/>
  <c r="W60" i="23"/>
  <c r="P60" i="23"/>
  <c r="J60" i="23"/>
  <c r="J78" i="23" s="1"/>
  <c r="BE53" i="23"/>
  <c r="BD53" i="23"/>
  <c r="BC53" i="23"/>
  <c r="BC55" i="23" s="1"/>
  <c r="BB53" i="23"/>
  <c r="BB55" i="23" s="1"/>
  <c r="BA53" i="23"/>
  <c r="BA55" i="23" s="1"/>
  <c r="AZ53" i="23"/>
  <c r="AZ55" i="23" s="1"/>
  <c r="AY53" i="23"/>
  <c r="AY55" i="23" s="1"/>
  <c r="AX53" i="23"/>
  <c r="AW53" i="23"/>
  <c r="AV53" i="23"/>
  <c r="AV55" i="23" s="1"/>
  <c r="AU53" i="23"/>
  <c r="AT53" i="23"/>
  <c r="AT55" i="23" s="1"/>
  <c r="AS53" i="23"/>
  <c r="AS55" i="23" s="1"/>
  <c r="AR53" i="23"/>
  <c r="AR55" i="23" s="1"/>
  <c r="AQ53" i="23"/>
  <c r="AQ55" i="23" s="1"/>
  <c r="AP53" i="23"/>
  <c r="AO53" i="23"/>
  <c r="AN53" i="23"/>
  <c r="AN55" i="23" s="1"/>
  <c r="AM53" i="23"/>
  <c r="AL53" i="23"/>
  <c r="AL55" i="23" s="1"/>
  <c r="AK53" i="23"/>
  <c r="AK55" i="23" s="1"/>
  <c r="AJ53" i="23"/>
  <c r="AJ55" i="23" s="1"/>
  <c r="AI53" i="23"/>
  <c r="AI55" i="23" s="1"/>
  <c r="AH53" i="23"/>
  <c r="AG53" i="23"/>
  <c r="AF53" i="23"/>
  <c r="AF55" i="23" s="1"/>
  <c r="AE53" i="23"/>
  <c r="AD53" i="23"/>
  <c r="AD55" i="23" s="1"/>
  <c r="AC53" i="23"/>
  <c r="AC55" i="23" s="1"/>
  <c r="AB53" i="23"/>
  <c r="AB55" i="23" s="1"/>
  <c r="AA53" i="23"/>
  <c r="AA55" i="23" s="1"/>
  <c r="Z53" i="23"/>
  <c r="Y53" i="23"/>
  <c r="X53" i="23"/>
  <c r="X55" i="23" s="1"/>
  <c r="W53" i="23"/>
  <c r="W55" i="23" s="1"/>
  <c r="V53" i="23"/>
  <c r="U53" i="23"/>
  <c r="U55" i="23" s="1"/>
  <c r="T53" i="23"/>
  <c r="S53" i="23"/>
  <c r="S55" i="23" s="1"/>
  <c r="R53" i="23"/>
  <c r="Q53" i="23"/>
  <c r="P53" i="23"/>
  <c r="O53" i="23"/>
  <c r="N53" i="23"/>
  <c r="M53" i="23"/>
  <c r="L53" i="23"/>
  <c r="K53" i="23"/>
  <c r="J53" i="23"/>
  <c r="H53" i="23"/>
  <c r="F53" i="23"/>
  <c r="I51" i="23"/>
  <c r="G51" i="23"/>
  <c r="I33" i="23"/>
  <c r="I53" i="23" s="1"/>
  <c r="G33" i="23"/>
  <c r="G53" i="23" s="1"/>
  <c r="W84" i="22"/>
  <c r="W83" i="22"/>
  <c r="W60" i="22"/>
  <c r="W61" i="22"/>
  <c r="W62" i="22"/>
  <c r="W63" i="22"/>
  <c r="W64" i="22"/>
  <c r="W65" i="22"/>
  <c r="W66" i="22"/>
  <c r="W67" i="22"/>
  <c r="W68" i="22"/>
  <c r="W69" i="22"/>
  <c r="W70" i="22"/>
  <c r="W71" i="22"/>
  <c r="W72" i="22"/>
  <c r="W73" i="22"/>
  <c r="W74" i="22"/>
  <c r="W75" i="22"/>
  <c r="W76" i="22"/>
  <c r="W77" i="22"/>
  <c r="W78" i="22"/>
  <c r="W79" i="22"/>
  <c r="W80" i="22"/>
  <c r="W81" i="22"/>
  <c r="W82" i="22"/>
  <c r="W59" i="22"/>
  <c r="U84" i="22"/>
  <c r="N70" i="24" l="1"/>
  <c r="N67" i="24"/>
  <c r="P86" i="24"/>
  <c r="N69" i="24"/>
  <c r="N84" i="24"/>
  <c r="N68" i="24"/>
  <c r="U68" i="24" s="1"/>
  <c r="W68" i="24" s="1"/>
  <c r="N85" i="24"/>
  <c r="N71" i="24"/>
  <c r="N74" i="24"/>
  <c r="N75" i="24"/>
  <c r="N87" i="24"/>
  <c r="P68" i="24"/>
  <c r="N59" i="24"/>
  <c r="N72" i="24"/>
  <c r="N76" i="24"/>
  <c r="N66" i="24"/>
  <c r="N61" i="24"/>
  <c r="N77" i="24"/>
  <c r="N78" i="24"/>
  <c r="N79" i="24"/>
  <c r="N64" i="24"/>
  <c r="N80" i="24"/>
  <c r="G52" i="24"/>
  <c r="BF52" i="24" s="1"/>
  <c r="N63" i="24"/>
  <c r="N65" i="24"/>
  <c r="N81" i="24"/>
  <c r="P81" i="24" s="1"/>
  <c r="N82" i="24"/>
  <c r="P82" i="24" s="1"/>
  <c r="N83" i="24"/>
  <c r="P83" i="24" s="1"/>
  <c r="AH54" i="24"/>
  <c r="AU54" i="24"/>
  <c r="K56" i="24"/>
  <c r="I52" i="24"/>
  <c r="N62" i="24" s="1"/>
  <c r="M56" i="24"/>
  <c r="AO56" i="24"/>
  <c r="J77" i="24"/>
  <c r="J78" i="24" s="1"/>
  <c r="O54" i="24"/>
  <c r="P54" i="24"/>
  <c r="R54" i="24"/>
  <c r="AE54" i="24"/>
  <c r="AX54" i="24"/>
  <c r="N56" i="24"/>
  <c r="AW56" i="24"/>
  <c r="T54" i="24"/>
  <c r="BD56" i="24"/>
  <c r="F54" i="24"/>
  <c r="V54" i="24"/>
  <c r="Q56" i="24"/>
  <c r="BE56" i="24"/>
  <c r="AM54" i="24"/>
  <c r="H54" i="24"/>
  <c r="Y54" i="24"/>
  <c r="J54" i="24"/>
  <c r="Z54" i="24"/>
  <c r="AP54" i="24"/>
  <c r="L54" i="24"/>
  <c r="AG56" i="24"/>
  <c r="P86" i="23"/>
  <c r="BE57" i="23"/>
  <c r="BE55" i="23"/>
  <c r="BD55" i="23"/>
  <c r="BD57" i="23"/>
  <c r="AX55" i="23"/>
  <c r="AX57" i="23"/>
  <c r="AW55" i="23"/>
  <c r="AW57" i="23"/>
  <c r="AU57" i="23"/>
  <c r="AU55" i="23"/>
  <c r="AP57" i="23"/>
  <c r="AP55" i="23"/>
  <c r="AO57" i="23"/>
  <c r="AO55" i="23"/>
  <c r="AM55" i="23"/>
  <c r="AM57" i="23"/>
  <c r="AH57" i="23"/>
  <c r="AH55" i="23"/>
  <c r="AG55" i="23"/>
  <c r="AG57" i="23"/>
  <c r="AE57" i="23"/>
  <c r="AE55" i="23"/>
  <c r="Z55" i="23"/>
  <c r="Z57" i="23"/>
  <c r="Y57" i="23"/>
  <c r="Y55" i="23"/>
  <c r="V55" i="23"/>
  <c r="V57" i="23"/>
  <c r="T55" i="23"/>
  <c r="T57" i="23"/>
  <c r="R55" i="23"/>
  <c r="R57" i="23"/>
  <c r="Q55" i="23"/>
  <c r="Q57" i="23"/>
  <c r="P55" i="23"/>
  <c r="P57" i="23"/>
  <c r="O57" i="23"/>
  <c r="O55" i="23"/>
  <c r="N55" i="23"/>
  <c r="N57" i="23"/>
  <c r="M55" i="23"/>
  <c r="M57" i="23"/>
  <c r="L55" i="23"/>
  <c r="L57" i="23"/>
  <c r="K55" i="23"/>
  <c r="K57" i="23"/>
  <c r="J55" i="23"/>
  <c r="J57" i="23"/>
  <c r="H57" i="23"/>
  <c r="H55" i="23"/>
  <c r="F57" i="23"/>
  <c r="BF53" i="23"/>
  <c r="F55" i="23"/>
  <c r="I57" i="23"/>
  <c r="I55" i="23"/>
  <c r="G55" i="23"/>
  <c r="G57" i="23"/>
  <c r="J79" i="23"/>
  <c r="P83" i="22"/>
  <c r="P82" i="22"/>
  <c r="P81" i="22"/>
  <c r="P80" i="22"/>
  <c r="P79" i="22"/>
  <c r="P78" i="22"/>
  <c r="P71" i="22"/>
  <c r="P65" i="22"/>
  <c r="P66" i="22"/>
  <c r="P67" i="22"/>
  <c r="U52" i="22"/>
  <c r="U54" i="22" s="1"/>
  <c r="AY52" i="22"/>
  <c r="AY54" i="22" s="1"/>
  <c r="Y52" i="22"/>
  <c r="Z52" i="22"/>
  <c r="AA52" i="22"/>
  <c r="AA54" i="22" s="1"/>
  <c r="AB52" i="22"/>
  <c r="AB54" i="22" s="1"/>
  <c r="AC52" i="22"/>
  <c r="AC54" i="22" s="1"/>
  <c r="AD52" i="22"/>
  <c r="AD54" i="22" s="1"/>
  <c r="AE52" i="22"/>
  <c r="AF52" i="22"/>
  <c r="AF54" i="22" s="1"/>
  <c r="AG52" i="22"/>
  <c r="AH52" i="22"/>
  <c r="AI52" i="22"/>
  <c r="AI54" i="22" s="1"/>
  <c r="AK52" i="22"/>
  <c r="AK54" i="22" s="1"/>
  <c r="AL52" i="22"/>
  <c r="AL54" i="22" s="1"/>
  <c r="AM52" i="22"/>
  <c r="AN52" i="22"/>
  <c r="AN54" i="22" s="1"/>
  <c r="AO52" i="22"/>
  <c r="AO54" i="22" s="1"/>
  <c r="AP52" i="22"/>
  <c r="AP54" i="22" s="1"/>
  <c r="AQ52" i="22"/>
  <c r="AQ54" i="22" s="1"/>
  <c r="AR52" i="22"/>
  <c r="AR54" i="22" s="1"/>
  <c r="AS52" i="22"/>
  <c r="AS54" i="22" s="1"/>
  <c r="AT52" i="22"/>
  <c r="AT54" i="22" s="1"/>
  <c r="AU52" i="22"/>
  <c r="AV52" i="22"/>
  <c r="AV54" i="22" s="1"/>
  <c r="AW52" i="22"/>
  <c r="AX52" i="22"/>
  <c r="AZ52" i="22"/>
  <c r="AZ54" i="22" s="1"/>
  <c r="BA52" i="22"/>
  <c r="BA54" i="22" s="1"/>
  <c r="BB52" i="22"/>
  <c r="BB54" i="22" s="1"/>
  <c r="BC52" i="22"/>
  <c r="BC54" i="22" s="1"/>
  <c r="BD52" i="22"/>
  <c r="BD54" i="22" s="1"/>
  <c r="BE52" i="22"/>
  <c r="H52" i="22"/>
  <c r="J52" i="22"/>
  <c r="K52" i="22"/>
  <c r="L52" i="22"/>
  <c r="M52" i="22"/>
  <c r="M54" i="22" s="1"/>
  <c r="N52" i="22"/>
  <c r="N54" i="22" s="1"/>
  <c r="O52" i="22"/>
  <c r="O54" i="22" s="1"/>
  <c r="P52" i="22"/>
  <c r="Q52" i="22"/>
  <c r="R52" i="22"/>
  <c r="S52" i="22"/>
  <c r="S54" i="22" s="1"/>
  <c r="T52" i="22"/>
  <c r="V52" i="22"/>
  <c r="W52" i="22"/>
  <c r="W54" i="22" s="1"/>
  <c r="X52" i="22"/>
  <c r="X54" i="22" s="1"/>
  <c r="F52" i="22"/>
  <c r="P85" i="22"/>
  <c r="P84" i="22"/>
  <c r="P77" i="22"/>
  <c r="P74" i="22"/>
  <c r="P73" i="22"/>
  <c r="P69" i="22"/>
  <c r="P68" i="22"/>
  <c r="P87" i="22"/>
  <c r="P86" i="22"/>
  <c r="P76" i="22"/>
  <c r="P75" i="22"/>
  <c r="P63" i="22"/>
  <c r="H77" i="22"/>
  <c r="J76" i="22"/>
  <c r="J75" i="22"/>
  <c r="J74" i="22"/>
  <c r="J73" i="22"/>
  <c r="J72" i="22"/>
  <c r="J71" i="22"/>
  <c r="J70" i="22"/>
  <c r="J69" i="22"/>
  <c r="J68" i="22"/>
  <c r="J67" i="22"/>
  <c r="J66" i="22"/>
  <c r="J65" i="22"/>
  <c r="J64" i="22"/>
  <c r="J63" i="22"/>
  <c r="J62" i="22"/>
  <c r="J61" i="22"/>
  <c r="J60" i="22"/>
  <c r="J59" i="22"/>
  <c r="N88" i="22"/>
  <c r="P72" i="22"/>
  <c r="P70" i="22"/>
  <c r="P64" i="22"/>
  <c r="P62" i="22"/>
  <c r="P61" i="22"/>
  <c r="P60" i="22"/>
  <c r="P59" i="22"/>
  <c r="G32" i="22"/>
  <c r="I32" i="22"/>
  <c r="I50" i="22"/>
  <c r="G50" i="22"/>
  <c r="L74" i="21"/>
  <c r="F74" i="21"/>
  <c r="N73" i="21"/>
  <c r="H73" i="21"/>
  <c r="V72" i="21"/>
  <c r="N72" i="21"/>
  <c r="H72" i="21"/>
  <c r="V71" i="21"/>
  <c r="N71" i="21"/>
  <c r="H71" i="21"/>
  <c r="V70" i="21"/>
  <c r="N70" i="21"/>
  <c r="H70" i="21"/>
  <c r="V69" i="21"/>
  <c r="N69" i="21"/>
  <c r="H69" i="21"/>
  <c r="V68" i="21"/>
  <c r="N68" i="21"/>
  <c r="H68" i="21"/>
  <c r="V67" i="21"/>
  <c r="N67" i="21"/>
  <c r="H67" i="21"/>
  <c r="V66" i="21"/>
  <c r="N66" i="21"/>
  <c r="H66" i="21"/>
  <c r="V65" i="21"/>
  <c r="N65" i="21"/>
  <c r="H65" i="21"/>
  <c r="V64" i="21"/>
  <c r="N64" i="21"/>
  <c r="H64" i="21"/>
  <c r="V63" i="21"/>
  <c r="N63" i="21"/>
  <c r="H63" i="21"/>
  <c r="V62" i="21"/>
  <c r="N62" i="21"/>
  <c r="H62" i="21"/>
  <c r="V61" i="21"/>
  <c r="N61" i="21"/>
  <c r="H61" i="21"/>
  <c r="V60" i="21"/>
  <c r="N60" i="21"/>
  <c r="H60" i="21"/>
  <c r="V59" i="21"/>
  <c r="N59" i="21"/>
  <c r="H59" i="21"/>
  <c r="V58" i="21"/>
  <c r="N58" i="21"/>
  <c r="H58" i="21"/>
  <c r="V57" i="21"/>
  <c r="N57" i="21"/>
  <c r="H57" i="21"/>
  <c r="V56" i="21"/>
  <c r="V73" i="21" s="1"/>
  <c r="N56" i="21"/>
  <c r="N74" i="21" s="1"/>
  <c r="H56" i="21"/>
  <c r="H74" i="21" s="1"/>
  <c r="D53" i="21"/>
  <c r="D51" i="21"/>
  <c r="AY48" i="21"/>
  <c r="AY49" i="21" s="1"/>
  <c r="AX48" i="21"/>
  <c r="AX49" i="21" s="1"/>
  <c r="AW48" i="21"/>
  <c r="AW49" i="21" s="1"/>
  <c r="AW51" i="21" s="1"/>
  <c r="AV48" i="21"/>
  <c r="AV49" i="21" s="1"/>
  <c r="AV51" i="21" s="1"/>
  <c r="AU48" i="21"/>
  <c r="AU49" i="21" s="1"/>
  <c r="AU51" i="21" s="1"/>
  <c r="AT48" i="21"/>
  <c r="AT49" i="21" s="1"/>
  <c r="AT51" i="21" s="1"/>
  <c r="AS48" i="21"/>
  <c r="AS49" i="21" s="1"/>
  <c r="AR48" i="21"/>
  <c r="AR49" i="21" s="1"/>
  <c r="AQ48" i="21"/>
  <c r="AQ49" i="21" s="1"/>
  <c r="AP48" i="21"/>
  <c r="AP49" i="21" s="1"/>
  <c r="AP51" i="21" s="1"/>
  <c r="AO48" i="21"/>
  <c r="AO49" i="21" s="1"/>
  <c r="AO51" i="21" s="1"/>
  <c r="AN48" i="21"/>
  <c r="AN49" i="21" s="1"/>
  <c r="AN51" i="21" s="1"/>
  <c r="AM48" i="21"/>
  <c r="AM49" i="21" s="1"/>
  <c r="AM51" i="21" s="1"/>
  <c r="AL48" i="21"/>
  <c r="AL49" i="21" s="1"/>
  <c r="AK48" i="21"/>
  <c r="AK49" i="21" s="1"/>
  <c r="AJ48" i="21"/>
  <c r="AJ49" i="21" s="1"/>
  <c r="AI48" i="21"/>
  <c r="AI49" i="21" s="1"/>
  <c r="AI51" i="21" s="1"/>
  <c r="AH48" i="21"/>
  <c r="AH49" i="21" s="1"/>
  <c r="AH51" i="21" s="1"/>
  <c r="AG48" i="21"/>
  <c r="AG49" i="21" s="1"/>
  <c r="AG51" i="21" s="1"/>
  <c r="AF48" i="21"/>
  <c r="AF49" i="21" s="1"/>
  <c r="AF51" i="21" s="1"/>
  <c r="AE48" i="21"/>
  <c r="AE49" i="21" s="1"/>
  <c r="AD48" i="21"/>
  <c r="AD49" i="21" s="1"/>
  <c r="AC48" i="21"/>
  <c r="AC49" i="21" s="1"/>
  <c r="AB48" i="21"/>
  <c r="AB49" i="21" s="1"/>
  <c r="AB51" i="21" s="1"/>
  <c r="AA48" i="21"/>
  <c r="AA49" i="21" s="1"/>
  <c r="AA51" i="21" s="1"/>
  <c r="Z48" i="21"/>
  <c r="Z49" i="21" s="1"/>
  <c r="Z51" i="21" s="1"/>
  <c r="Y48" i="21"/>
  <c r="Y49" i="21" s="1"/>
  <c r="Y51" i="21" s="1"/>
  <c r="X48" i="21"/>
  <c r="X49" i="21" s="1"/>
  <c r="W48" i="21"/>
  <c r="W49" i="21" s="1"/>
  <c r="V48" i="21"/>
  <c r="V49" i="21" s="1"/>
  <c r="V51" i="21" s="1"/>
  <c r="U48" i="21"/>
  <c r="U49" i="21" s="1"/>
  <c r="U51" i="21" s="1"/>
  <c r="T48" i="21"/>
  <c r="T49" i="21" s="1"/>
  <c r="S48" i="21"/>
  <c r="S49" i="21" s="1"/>
  <c r="R48" i="21"/>
  <c r="R49" i="21" s="1"/>
  <c r="Q48" i="21"/>
  <c r="Q49" i="21" s="1"/>
  <c r="Q51" i="21" s="1"/>
  <c r="P48" i="21"/>
  <c r="P49" i="21" s="1"/>
  <c r="O48" i="21"/>
  <c r="O49" i="21" s="1"/>
  <c r="N48" i="21"/>
  <c r="N49" i="21" s="1"/>
  <c r="M48" i="21"/>
  <c r="M49" i="21" s="1"/>
  <c r="L48" i="21"/>
  <c r="L49" i="21" s="1"/>
  <c r="K48" i="21"/>
  <c r="K49" i="21" s="1"/>
  <c r="J48" i="21"/>
  <c r="J49" i="21" s="1"/>
  <c r="I48" i="21"/>
  <c r="I49" i="21" s="1"/>
  <c r="H48" i="21"/>
  <c r="H49" i="21" s="1"/>
  <c r="G48" i="21"/>
  <c r="G49" i="21" s="1"/>
  <c r="F48" i="21"/>
  <c r="F49" i="21" s="1"/>
  <c r="E48" i="21"/>
  <c r="E49" i="21" s="1"/>
  <c r="D48" i="21"/>
  <c r="N94" i="17"/>
  <c r="N95" i="17"/>
  <c r="N96" i="17"/>
  <c r="N97" i="17"/>
  <c r="N98" i="17"/>
  <c r="E67" i="20"/>
  <c r="F67" i="20"/>
  <c r="G67" i="20"/>
  <c r="H67" i="20"/>
  <c r="I67" i="20"/>
  <c r="I71" i="20" s="1"/>
  <c r="J67" i="20"/>
  <c r="K67" i="20"/>
  <c r="K71" i="20" s="1"/>
  <c r="L67" i="20"/>
  <c r="M67" i="20"/>
  <c r="N67" i="20"/>
  <c r="O67" i="20"/>
  <c r="P67" i="20"/>
  <c r="Q67" i="20"/>
  <c r="R67" i="20"/>
  <c r="R69" i="20" s="1"/>
  <c r="S67" i="20"/>
  <c r="S71" i="20" s="1"/>
  <c r="T67" i="20"/>
  <c r="U67" i="20"/>
  <c r="V67" i="20"/>
  <c r="W67" i="20"/>
  <c r="X67" i="20"/>
  <c r="Y67" i="20"/>
  <c r="Z67" i="20"/>
  <c r="AA67" i="20"/>
  <c r="AA69" i="20" s="1"/>
  <c r="AB67" i="20"/>
  <c r="AC67" i="20"/>
  <c r="AD67" i="20"/>
  <c r="AE67" i="20"/>
  <c r="AF67" i="20"/>
  <c r="AF69" i="20" s="1"/>
  <c r="AG67" i="20"/>
  <c r="AG69" i="20" s="1"/>
  <c r="AH67" i="20"/>
  <c r="AH69" i="20" s="1"/>
  <c r="AI67" i="20"/>
  <c r="AJ67" i="20"/>
  <c r="AK67" i="20"/>
  <c r="AL67" i="20"/>
  <c r="AM67" i="20"/>
  <c r="AN67" i="20"/>
  <c r="AO67" i="20"/>
  <c r="AP67" i="20"/>
  <c r="AQ67" i="20"/>
  <c r="AR67" i="20"/>
  <c r="AS67" i="20"/>
  <c r="AT67" i="20"/>
  <c r="AU67" i="20"/>
  <c r="AU69" i="20" s="1"/>
  <c r="AV67" i="20"/>
  <c r="AW67" i="20"/>
  <c r="AX67" i="20"/>
  <c r="AX69" i="20" s="1"/>
  <c r="D67" i="20"/>
  <c r="G65" i="20"/>
  <c r="E65" i="20"/>
  <c r="L92" i="20"/>
  <c r="F92" i="20"/>
  <c r="N91" i="20"/>
  <c r="H91" i="20"/>
  <c r="U90" i="20"/>
  <c r="N90" i="20"/>
  <c r="H90" i="20"/>
  <c r="U89" i="20"/>
  <c r="N89" i="20"/>
  <c r="H89" i="20"/>
  <c r="U88" i="20"/>
  <c r="N88" i="20"/>
  <c r="H88" i="20"/>
  <c r="U87" i="20"/>
  <c r="N87" i="20"/>
  <c r="H87" i="20"/>
  <c r="U86" i="20"/>
  <c r="N86" i="20"/>
  <c r="H86" i="20"/>
  <c r="U85" i="20"/>
  <c r="N85" i="20"/>
  <c r="H85" i="20"/>
  <c r="U84" i="20"/>
  <c r="N84" i="20"/>
  <c r="H84" i="20"/>
  <c r="U83" i="20"/>
  <c r="N83" i="20"/>
  <c r="H83" i="20"/>
  <c r="U82" i="20"/>
  <c r="N82" i="20"/>
  <c r="H82" i="20"/>
  <c r="U81" i="20"/>
  <c r="N81" i="20"/>
  <c r="H81" i="20"/>
  <c r="U80" i="20"/>
  <c r="N80" i="20"/>
  <c r="H80" i="20"/>
  <c r="U79" i="20"/>
  <c r="N79" i="20"/>
  <c r="H79" i="20"/>
  <c r="U78" i="20"/>
  <c r="N78" i="20"/>
  <c r="H78" i="20"/>
  <c r="U77" i="20"/>
  <c r="N77" i="20"/>
  <c r="H77" i="20"/>
  <c r="U76" i="20"/>
  <c r="N76" i="20"/>
  <c r="H76" i="20"/>
  <c r="U75" i="20"/>
  <c r="N75" i="20"/>
  <c r="H75" i="20"/>
  <c r="U74" i="20"/>
  <c r="N74" i="20"/>
  <c r="H74" i="20"/>
  <c r="AW69" i="20"/>
  <c r="AV69" i="20"/>
  <c r="AT69" i="20"/>
  <c r="AS69" i="20"/>
  <c r="AR69" i="20"/>
  <c r="AI71" i="20"/>
  <c r="AE69" i="20"/>
  <c r="AD71" i="20"/>
  <c r="AC71" i="20"/>
  <c r="AB71" i="20"/>
  <c r="Q69" i="20"/>
  <c r="P71" i="20"/>
  <c r="O71" i="20"/>
  <c r="N71" i="20"/>
  <c r="M71" i="20"/>
  <c r="L69" i="20"/>
  <c r="AX30" i="20"/>
  <c r="AW30" i="20"/>
  <c r="AV30" i="20"/>
  <c r="AU30" i="20"/>
  <c r="AT30" i="20"/>
  <c r="AS30" i="20"/>
  <c r="AR30" i="20"/>
  <c r="AQ30" i="20"/>
  <c r="AP30" i="20"/>
  <c r="AO30" i="20"/>
  <c r="AN30" i="20"/>
  <c r="AN69" i="20" s="1"/>
  <c r="AM30" i="20"/>
  <c r="AM69" i="20" s="1"/>
  <c r="AL30" i="20"/>
  <c r="AL69" i="20" s="1"/>
  <c r="AK30" i="20"/>
  <c r="AK71" i="20" s="1"/>
  <c r="AJ30" i="20"/>
  <c r="AI30" i="20"/>
  <c r="AH30" i="20"/>
  <c r="AG30" i="20"/>
  <c r="AF30" i="20"/>
  <c r="AE30" i="20"/>
  <c r="AD30" i="20"/>
  <c r="AC30" i="20"/>
  <c r="AB30" i="20"/>
  <c r="AA30" i="20"/>
  <c r="Z30" i="20"/>
  <c r="Y30" i="20"/>
  <c r="X30" i="20"/>
  <c r="X69" i="20" s="1"/>
  <c r="W30" i="20"/>
  <c r="V30" i="20"/>
  <c r="U30" i="20"/>
  <c r="U69" i="20" s="1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H71" i="20" s="1"/>
  <c r="F30" i="20"/>
  <c r="F71" i="20" s="1"/>
  <c r="D30" i="20"/>
  <c r="G29" i="20"/>
  <c r="G30" i="20" s="1"/>
  <c r="E29" i="20"/>
  <c r="E30" i="20" s="1"/>
  <c r="AY50" i="11"/>
  <c r="P76" i="24" l="1"/>
  <c r="U75" i="24"/>
  <c r="W75" i="24" s="1"/>
  <c r="P72" i="24"/>
  <c r="U72" i="24"/>
  <c r="W72" i="24" s="1"/>
  <c r="P65" i="24"/>
  <c r="U65" i="24"/>
  <c r="W65" i="24" s="1"/>
  <c r="P80" i="24"/>
  <c r="U79" i="24"/>
  <c r="W79" i="24" s="1"/>
  <c r="U81" i="24"/>
  <c r="W81" i="24" s="1"/>
  <c r="P85" i="24"/>
  <c r="P63" i="24"/>
  <c r="U63" i="24"/>
  <c r="W63" i="24" s="1"/>
  <c r="P59" i="24"/>
  <c r="U59" i="24"/>
  <c r="N88" i="24"/>
  <c r="P87" i="24"/>
  <c r="U83" i="24"/>
  <c r="W83" i="24" s="1"/>
  <c r="P74" i="24"/>
  <c r="U73" i="24"/>
  <c r="W73" i="24" s="1"/>
  <c r="P79" i="24"/>
  <c r="U78" i="24"/>
  <c r="W78" i="24" s="1"/>
  <c r="U80" i="24"/>
  <c r="W80" i="24" s="1"/>
  <c r="P84" i="24"/>
  <c r="P75" i="24"/>
  <c r="U74" i="24"/>
  <c r="W74" i="24" s="1"/>
  <c r="P78" i="24"/>
  <c r="U77" i="24"/>
  <c r="W77" i="24" s="1"/>
  <c r="P69" i="24"/>
  <c r="U69" i="24"/>
  <c r="W69" i="24" s="1"/>
  <c r="P77" i="24"/>
  <c r="U76" i="24"/>
  <c r="W76" i="24" s="1"/>
  <c r="P71" i="24"/>
  <c r="U71" i="24"/>
  <c r="W71" i="24" s="1"/>
  <c r="P64" i="24"/>
  <c r="U64" i="24"/>
  <c r="W64" i="24" s="1"/>
  <c r="P62" i="24"/>
  <c r="U62" i="24"/>
  <c r="W62" i="24" s="1"/>
  <c r="P61" i="24"/>
  <c r="U61" i="24"/>
  <c r="W61" i="24" s="1"/>
  <c r="P67" i="24"/>
  <c r="U67" i="24"/>
  <c r="W67" i="24" s="1"/>
  <c r="P66" i="24"/>
  <c r="U66" i="24"/>
  <c r="W66" i="24" s="1"/>
  <c r="P70" i="24"/>
  <c r="U70" i="24"/>
  <c r="W70" i="24" s="1"/>
  <c r="G56" i="24"/>
  <c r="N60" i="24"/>
  <c r="U60" i="24" s="1"/>
  <c r="W60" i="24" s="1"/>
  <c r="G54" i="24"/>
  <c r="BF54" i="24" s="1"/>
  <c r="I54" i="24"/>
  <c r="I56" i="24"/>
  <c r="BF55" i="23"/>
  <c r="P88" i="22"/>
  <c r="G52" i="22"/>
  <c r="I52" i="22"/>
  <c r="J77" i="22"/>
  <c r="J78" i="22" s="1"/>
  <c r="AP56" i="22"/>
  <c r="K56" i="22"/>
  <c r="K54" i="22"/>
  <c r="AO56" i="22"/>
  <c r="AX56" i="22"/>
  <c r="AX54" i="22"/>
  <c r="AU54" i="22"/>
  <c r="AU56" i="22"/>
  <c r="AW56" i="22"/>
  <c r="AW54" i="22"/>
  <c r="L54" i="22"/>
  <c r="L56" i="22"/>
  <c r="AE56" i="22"/>
  <c r="AE54" i="22"/>
  <c r="AG56" i="22"/>
  <c r="AG54" i="22"/>
  <c r="AH56" i="22"/>
  <c r="AH54" i="22"/>
  <c r="H56" i="22"/>
  <c r="H54" i="22"/>
  <c r="Q56" i="22"/>
  <c r="Q54" i="22"/>
  <c r="BE54" i="22"/>
  <c r="BE56" i="22"/>
  <c r="Z54" i="22"/>
  <c r="Z56" i="22"/>
  <c r="J56" i="22"/>
  <c r="J54" i="22"/>
  <c r="M56" i="22"/>
  <c r="N56" i="22"/>
  <c r="P56" i="22"/>
  <c r="P54" i="22"/>
  <c r="O56" i="22"/>
  <c r="R56" i="22"/>
  <c r="R54" i="22"/>
  <c r="BD56" i="22"/>
  <c r="T54" i="22"/>
  <c r="T56" i="22"/>
  <c r="V54" i="22"/>
  <c r="V56" i="22"/>
  <c r="AM56" i="22"/>
  <c r="AM54" i="22"/>
  <c r="F56" i="22"/>
  <c r="F54" i="22"/>
  <c r="Y54" i="22"/>
  <c r="Y56" i="22"/>
  <c r="E53" i="21"/>
  <c r="E51" i="21"/>
  <c r="AZ49" i="21"/>
  <c r="F53" i="21"/>
  <c r="F51" i="21"/>
  <c r="G53" i="21"/>
  <c r="G51" i="21"/>
  <c r="H53" i="21"/>
  <c r="H51" i="21"/>
  <c r="I53" i="21"/>
  <c r="I51" i="21"/>
  <c r="J53" i="21"/>
  <c r="J51" i="21"/>
  <c r="K53" i="21"/>
  <c r="K51" i="21"/>
  <c r="L53" i="21"/>
  <c r="L51" i="21"/>
  <c r="M53" i="21"/>
  <c r="M51" i="21"/>
  <c r="N53" i="21"/>
  <c r="N51" i="21"/>
  <c r="O53" i="21"/>
  <c r="O51" i="21"/>
  <c r="P53" i="21"/>
  <c r="P51" i="21"/>
  <c r="R53" i="21"/>
  <c r="R51" i="21"/>
  <c r="S53" i="21"/>
  <c r="S51" i="21"/>
  <c r="T53" i="21"/>
  <c r="T51" i="21"/>
  <c r="W53" i="21"/>
  <c r="W51" i="21"/>
  <c r="X53" i="21"/>
  <c r="X51" i="21"/>
  <c r="AC53" i="21"/>
  <c r="AC51" i="21"/>
  <c r="AD53" i="21"/>
  <c r="AD51" i="21"/>
  <c r="AE53" i="21"/>
  <c r="AE51" i="21"/>
  <c r="AJ53" i="21"/>
  <c r="AJ51" i="21"/>
  <c r="AK53" i="21"/>
  <c r="AK51" i="21"/>
  <c r="AL53" i="21"/>
  <c r="AL51" i="21"/>
  <c r="AQ53" i="21"/>
  <c r="AQ51" i="21"/>
  <c r="AR53" i="21"/>
  <c r="AR51" i="21"/>
  <c r="AS53" i="21"/>
  <c r="AS51" i="21"/>
  <c r="AX53" i="21"/>
  <c r="AX51" i="21"/>
  <c r="AY53" i="21"/>
  <c r="AY51" i="21"/>
  <c r="AZ51" i="21"/>
  <c r="H75" i="21"/>
  <c r="Y69" i="20"/>
  <c r="AO69" i="20"/>
  <c r="AQ71" i="20"/>
  <c r="S69" i="20"/>
  <c r="Z69" i="20"/>
  <c r="T69" i="20"/>
  <c r="AJ71" i="20"/>
  <c r="D71" i="20"/>
  <c r="W69" i="20"/>
  <c r="W71" i="20"/>
  <c r="V69" i="20"/>
  <c r="V71" i="20"/>
  <c r="AX71" i="20"/>
  <c r="H92" i="20"/>
  <c r="N92" i="20"/>
  <c r="U91" i="20"/>
  <c r="J71" i="20"/>
  <c r="J69" i="20"/>
  <c r="AP69" i="20"/>
  <c r="AP71" i="20"/>
  <c r="AR71" i="20"/>
  <c r="AW71" i="20"/>
  <c r="AD69" i="20"/>
  <c r="L71" i="20"/>
  <c r="R71" i="20"/>
  <c r="K69" i="20"/>
  <c r="AQ69" i="20"/>
  <c r="AB69" i="20"/>
  <c r="M69" i="20"/>
  <c r="AC69" i="20"/>
  <c r="N69" i="20"/>
  <c r="O69" i="20"/>
  <c r="P69" i="20"/>
  <c r="AI69" i="20"/>
  <c r="AJ69" i="20"/>
  <c r="AK69" i="20"/>
  <c r="F69" i="20"/>
  <c r="H69" i="20"/>
  <c r="I69" i="20"/>
  <c r="O94" i="17"/>
  <c r="O92" i="17"/>
  <c r="O89" i="17"/>
  <c r="O86" i="17"/>
  <c r="O84" i="17"/>
  <c r="O82" i="17"/>
  <c r="O79" i="17"/>
  <c r="O80" i="17"/>
  <c r="V90" i="17"/>
  <c r="S90" i="17"/>
  <c r="U79" i="17"/>
  <c r="U80" i="17"/>
  <c r="U81" i="17"/>
  <c r="U82" i="17"/>
  <c r="U83" i="17"/>
  <c r="U84" i="17"/>
  <c r="U85" i="17"/>
  <c r="U86" i="17"/>
  <c r="U87" i="17"/>
  <c r="U88" i="17"/>
  <c r="U89" i="17"/>
  <c r="L98" i="17"/>
  <c r="P97" i="17"/>
  <c r="P89" i="17"/>
  <c r="P86" i="17"/>
  <c r="P84" i="17"/>
  <c r="I48" i="17"/>
  <c r="E48" i="17"/>
  <c r="N80" i="17"/>
  <c r="N81" i="17"/>
  <c r="N82" i="17"/>
  <c r="N83" i="17"/>
  <c r="N84" i="17"/>
  <c r="N85" i="17"/>
  <c r="N86" i="17"/>
  <c r="N87" i="17"/>
  <c r="N88" i="17"/>
  <c r="N89" i="17"/>
  <c r="N90" i="17"/>
  <c r="N91" i="17"/>
  <c r="N92" i="17"/>
  <c r="N93" i="17"/>
  <c r="AD47" i="17"/>
  <c r="AD48" i="17" s="1"/>
  <c r="AC47" i="17"/>
  <c r="AC48" i="17" s="1"/>
  <c r="AC50" i="17" s="1"/>
  <c r="AK47" i="17"/>
  <c r="AK48" i="17" s="1"/>
  <c r="AK50" i="17" s="1"/>
  <c r="AS47" i="17"/>
  <c r="AS48" i="17" s="1"/>
  <c r="AS50" i="17" s="1"/>
  <c r="N79" i="17"/>
  <c r="L73" i="19"/>
  <c r="F73" i="19"/>
  <c r="N72" i="19"/>
  <c r="H72" i="19"/>
  <c r="V71" i="19"/>
  <c r="N71" i="19"/>
  <c r="H71" i="19"/>
  <c r="V70" i="19"/>
  <c r="N70" i="19"/>
  <c r="H70" i="19"/>
  <c r="V69" i="19"/>
  <c r="N69" i="19"/>
  <c r="H69" i="19"/>
  <c r="V68" i="19"/>
  <c r="N68" i="19"/>
  <c r="H68" i="19"/>
  <c r="V67" i="19"/>
  <c r="N67" i="19"/>
  <c r="H67" i="19"/>
  <c r="V66" i="19"/>
  <c r="N66" i="19"/>
  <c r="H66" i="19"/>
  <c r="V65" i="19"/>
  <c r="N65" i="19"/>
  <c r="H65" i="19"/>
  <c r="V64" i="19"/>
  <c r="N64" i="19"/>
  <c r="H64" i="19"/>
  <c r="V63" i="19"/>
  <c r="N63" i="19"/>
  <c r="H63" i="19"/>
  <c r="V62" i="19"/>
  <c r="N62" i="19"/>
  <c r="H62" i="19"/>
  <c r="V61" i="19"/>
  <c r="N61" i="19"/>
  <c r="H61" i="19"/>
  <c r="V60" i="19"/>
  <c r="N60" i="19"/>
  <c r="H60" i="19"/>
  <c r="V59" i="19"/>
  <c r="N59" i="19"/>
  <c r="H59" i="19"/>
  <c r="V58" i="19"/>
  <c r="N58" i="19"/>
  <c r="H58" i="19"/>
  <c r="V57" i="19"/>
  <c r="N57" i="19"/>
  <c r="H57" i="19"/>
  <c r="V56" i="19"/>
  <c r="N56" i="19"/>
  <c r="H56" i="19"/>
  <c r="V55" i="19"/>
  <c r="V72" i="19" s="1"/>
  <c r="N55" i="19"/>
  <c r="N73" i="19" s="1"/>
  <c r="H55" i="19"/>
  <c r="H73" i="19" s="1"/>
  <c r="AY47" i="19"/>
  <c r="AY48" i="19" s="1"/>
  <c r="AX47" i="19"/>
  <c r="AX48" i="19" s="1"/>
  <c r="AW47" i="19"/>
  <c r="AW48" i="19" s="1"/>
  <c r="AW50" i="19" s="1"/>
  <c r="AV47" i="19"/>
  <c r="AV48" i="19" s="1"/>
  <c r="AV50" i="19" s="1"/>
  <c r="AU47" i="19"/>
  <c r="AU48" i="19" s="1"/>
  <c r="AU50" i="19" s="1"/>
  <c r="AT47" i="19"/>
  <c r="AT48" i="19" s="1"/>
  <c r="AT50" i="19" s="1"/>
  <c r="AS47" i="19"/>
  <c r="AS48" i="19" s="1"/>
  <c r="AR47" i="19"/>
  <c r="AR48" i="19" s="1"/>
  <c r="AQ47" i="19"/>
  <c r="AQ48" i="19" s="1"/>
  <c r="AP47" i="19"/>
  <c r="AP48" i="19" s="1"/>
  <c r="AP50" i="19" s="1"/>
  <c r="AO47" i="19"/>
  <c r="AO48" i="19" s="1"/>
  <c r="AO50" i="19" s="1"/>
  <c r="AN47" i="19"/>
  <c r="AN48" i="19" s="1"/>
  <c r="AN50" i="19" s="1"/>
  <c r="AM47" i="19"/>
  <c r="AM48" i="19" s="1"/>
  <c r="AM50" i="19" s="1"/>
  <c r="AL47" i="19"/>
  <c r="AL48" i="19" s="1"/>
  <c r="AK47" i="19"/>
  <c r="AK48" i="19" s="1"/>
  <c r="AJ47" i="19"/>
  <c r="AJ48" i="19" s="1"/>
  <c r="AI47" i="19"/>
  <c r="AI48" i="19" s="1"/>
  <c r="AI50" i="19" s="1"/>
  <c r="AH47" i="19"/>
  <c r="AH48" i="19" s="1"/>
  <c r="AH50" i="19" s="1"/>
  <c r="AG47" i="19"/>
  <c r="AG48" i="19" s="1"/>
  <c r="AG50" i="19" s="1"/>
  <c r="AF47" i="19"/>
  <c r="AF48" i="19" s="1"/>
  <c r="AF50" i="19" s="1"/>
  <c r="AE47" i="19"/>
  <c r="AE48" i="19" s="1"/>
  <c r="AD47" i="19"/>
  <c r="AD48" i="19" s="1"/>
  <c r="AC47" i="19"/>
  <c r="AC48" i="19" s="1"/>
  <c r="AB47" i="19"/>
  <c r="AB48" i="19" s="1"/>
  <c r="AB50" i="19" s="1"/>
  <c r="AA47" i="19"/>
  <c r="AA48" i="19" s="1"/>
  <c r="AA50" i="19" s="1"/>
  <c r="Z47" i="19"/>
  <c r="Z48" i="19" s="1"/>
  <c r="Z50" i="19" s="1"/>
  <c r="Y47" i="19"/>
  <c r="Y48" i="19" s="1"/>
  <c r="Y50" i="19" s="1"/>
  <c r="X47" i="19"/>
  <c r="X48" i="19" s="1"/>
  <c r="W47" i="19"/>
  <c r="W48" i="19" s="1"/>
  <c r="V47" i="19"/>
  <c r="V48" i="19" s="1"/>
  <c r="V50" i="19" s="1"/>
  <c r="U47" i="19"/>
  <c r="U48" i="19" s="1"/>
  <c r="U50" i="19" s="1"/>
  <c r="T47" i="19"/>
  <c r="T48" i="19" s="1"/>
  <c r="S47" i="19"/>
  <c r="S48" i="19" s="1"/>
  <c r="R47" i="19"/>
  <c r="R48" i="19" s="1"/>
  <c r="Q47" i="19"/>
  <c r="Q48" i="19" s="1"/>
  <c r="Q50" i="19" s="1"/>
  <c r="P47" i="19"/>
  <c r="P48" i="19" s="1"/>
  <c r="O47" i="19"/>
  <c r="O48" i="19" s="1"/>
  <c r="N47" i="19"/>
  <c r="N48" i="19" s="1"/>
  <c r="M47" i="19"/>
  <c r="M48" i="19" s="1"/>
  <c r="K47" i="19"/>
  <c r="K48" i="19" s="1"/>
  <c r="J47" i="19"/>
  <c r="J48" i="19" s="1"/>
  <c r="I47" i="19"/>
  <c r="I48" i="19" s="1"/>
  <c r="H47" i="19"/>
  <c r="H48" i="19" s="1"/>
  <c r="F47" i="19"/>
  <c r="F48" i="19" s="1"/>
  <c r="D47" i="19"/>
  <c r="D48" i="19" s="1"/>
  <c r="L46" i="19"/>
  <c r="G46" i="19"/>
  <c r="E46" i="19"/>
  <c r="L74" i="18"/>
  <c r="F74" i="18"/>
  <c r="N73" i="18"/>
  <c r="H73" i="18"/>
  <c r="V72" i="18"/>
  <c r="N72" i="18"/>
  <c r="H72" i="18"/>
  <c r="V71" i="18"/>
  <c r="N71" i="18"/>
  <c r="H71" i="18"/>
  <c r="V70" i="18"/>
  <c r="N70" i="18"/>
  <c r="H70" i="18"/>
  <c r="V69" i="18"/>
  <c r="N69" i="18"/>
  <c r="H69" i="18"/>
  <c r="V68" i="18"/>
  <c r="N68" i="18"/>
  <c r="H68" i="18"/>
  <c r="V67" i="18"/>
  <c r="N67" i="18"/>
  <c r="H67" i="18"/>
  <c r="V66" i="18"/>
  <c r="N66" i="18"/>
  <c r="H66" i="18"/>
  <c r="V65" i="18"/>
  <c r="N65" i="18"/>
  <c r="H65" i="18"/>
  <c r="V64" i="18"/>
  <c r="N64" i="18"/>
  <c r="H64" i="18"/>
  <c r="V63" i="18"/>
  <c r="N63" i="18"/>
  <c r="H63" i="18"/>
  <c r="V62" i="18"/>
  <c r="N62" i="18"/>
  <c r="H62" i="18"/>
  <c r="V61" i="18"/>
  <c r="N61" i="18"/>
  <c r="H61" i="18"/>
  <c r="V60" i="18"/>
  <c r="N60" i="18"/>
  <c r="H60" i="18"/>
  <c r="V59" i="18"/>
  <c r="N59" i="18"/>
  <c r="H59" i="18"/>
  <c r="V58" i="18"/>
  <c r="N58" i="18"/>
  <c r="H58" i="18"/>
  <c r="V57" i="18"/>
  <c r="N57" i="18"/>
  <c r="H57" i="18"/>
  <c r="V56" i="18"/>
  <c r="N56" i="18"/>
  <c r="H56" i="18"/>
  <c r="AY48" i="18"/>
  <c r="AY49" i="18" s="1"/>
  <c r="AX48" i="18"/>
  <c r="AX49" i="18" s="1"/>
  <c r="AW48" i="18"/>
  <c r="AW49" i="18" s="1"/>
  <c r="AW51" i="18" s="1"/>
  <c r="AV48" i="18"/>
  <c r="AV49" i="18" s="1"/>
  <c r="AV51" i="18" s="1"/>
  <c r="AU48" i="18"/>
  <c r="AU49" i="18" s="1"/>
  <c r="AU51" i="18" s="1"/>
  <c r="AT48" i="18"/>
  <c r="AT49" i="18" s="1"/>
  <c r="AT51" i="18" s="1"/>
  <c r="AS48" i="18"/>
  <c r="AS49" i="18" s="1"/>
  <c r="AR48" i="18"/>
  <c r="AR49" i="18" s="1"/>
  <c r="AQ48" i="18"/>
  <c r="AQ49" i="18" s="1"/>
  <c r="AP48" i="18"/>
  <c r="AP49" i="18" s="1"/>
  <c r="AP51" i="18" s="1"/>
  <c r="AO48" i="18"/>
  <c r="AO49" i="18" s="1"/>
  <c r="AO51" i="18" s="1"/>
  <c r="AN48" i="18"/>
  <c r="AN49" i="18" s="1"/>
  <c r="AN51" i="18" s="1"/>
  <c r="AM48" i="18"/>
  <c r="AM49" i="18" s="1"/>
  <c r="AM51" i="18" s="1"/>
  <c r="AL48" i="18"/>
  <c r="AL49" i="18" s="1"/>
  <c r="AK48" i="18"/>
  <c r="AK49" i="18" s="1"/>
  <c r="AJ48" i="18"/>
  <c r="AJ49" i="18" s="1"/>
  <c r="AI48" i="18"/>
  <c r="AI49" i="18" s="1"/>
  <c r="AI51" i="18" s="1"/>
  <c r="AH48" i="18"/>
  <c r="AH49" i="18" s="1"/>
  <c r="AH51" i="18" s="1"/>
  <c r="AG48" i="18"/>
  <c r="AG49" i="18" s="1"/>
  <c r="AG51" i="18" s="1"/>
  <c r="AF48" i="18"/>
  <c r="AF49" i="18" s="1"/>
  <c r="AF51" i="18" s="1"/>
  <c r="AE48" i="18"/>
  <c r="AE49" i="18" s="1"/>
  <c r="AD48" i="18"/>
  <c r="AD49" i="18" s="1"/>
  <c r="AC48" i="18"/>
  <c r="AC49" i="18" s="1"/>
  <c r="AB48" i="18"/>
  <c r="AB49" i="18" s="1"/>
  <c r="AB51" i="18" s="1"/>
  <c r="AA48" i="18"/>
  <c r="AA49" i="18" s="1"/>
  <c r="AA51" i="18" s="1"/>
  <c r="Z48" i="18"/>
  <c r="Z49" i="18" s="1"/>
  <c r="Z51" i="18" s="1"/>
  <c r="Y48" i="18"/>
  <c r="Y49" i="18" s="1"/>
  <c r="Y51" i="18" s="1"/>
  <c r="X48" i="18"/>
  <c r="X49" i="18" s="1"/>
  <c r="W48" i="18"/>
  <c r="W49" i="18" s="1"/>
  <c r="V48" i="18"/>
  <c r="V49" i="18" s="1"/>
  <c r="V51" i="18" s="1"/>
  <c r="U48" i="18"/>
  <c r="U49" i="18" s="1"/>
  <c r="U51" i="18" s="1"/>
  <c r="T48" i="18"/>
  <c r="T49" i="18" s="1"/>
  <c r="S48" i="18"/>
  <c r="S49" i="18" s="1"/>
  <c r="R48" i="18"/>
  <c r="R49" i="18" s="1"/>
  <c r="Q48" i="18"/>
  <c r="Q49" i="18" s="1"/>
  <c r="Q51" i="18" s="1"/>
  <c r="P48" i="18"/>
  <c r="P49" i="18" s="1"/>
  <c r="O48" i="18"/>
  <c r="O49" i="18" s="1"/>
  <c r="N48" i="18"/>
  <c r="N49" i="18" s="1"/>
  <c r="M48" i="18"/>
  <c r="M49" i="18" s="1"/>
  <c r="K48" i="18"/>
  <c r="K49" i="18" s="1"/>
  <c r="J48" i="18"/>
  <c r="J49" i="18" s="1"/>
  <c r="I48" i="18"/>
  <c r="I49" i="18" s="1"/>
  <c r="H48" i="18"/>
  <c r="H49" i="18" s="1"/>
  <c r="F48" i="18"/>
  <c r="F49" i="18" s="1"/>
  <c r="D48" i="18"/>
  <c r="S47" i="17"/>
  <c r="S48" i="17" s="1"/>
  <c r="AH47" i="17"/>
  <c r="AH48" i="17" s="1"/>
  <c r="AH50" i="17" s="1"/>
  <c r="AG47" i="17"/>
  <c r="AG48" i="17" s="1"/>
  <c r="AG50" i="17" s="1"/>
  <c r="AN47" i="17"/>
  <c r="AN48" i="17" s="1"/>
  <c r="AN52" i="17" s="1"/>
  <c r="L74" i="17"/>
  <c r="F74" i="17"/>
  <c r="N73" i="17"/>
  <c r="H73" i="17"/>
  <c r="V72" i="17"/>
  <c r="N72" i="17"/>
  <c r="H72" i="17"/>
  <c r="V71" i="17"/>
  <c r="N71" i="17"/>
  <c r="H71" i="17"/>
  <c r="V70" i="17"/>
  <c r="N70" i="17"/>
  <c r="H70" i="17"/>
  <c r="V69" i="17"/>
  <c r="N69" i="17"/>
  <c r="H69" i="17"/>
  <c r="V68" i="17"/>
  <c r="N68" i="17"/>
  <c r="H68" i="17"/>
  <c r="V67" i="17"/>
  <c r="N67" i="17"/>
  <c r="H67" i="17"/>
  <c r="V66" i="17"/>
  <c r="N66" i="17"/>
  <c r="H66" i="17"/>
  <c r="V65" i="17"/>
  <c r="N65" i="17"/>
  <c r="H65" i="17"/>
  <c r="V64" i="17"/>
  <c r="N64" i="17"/>
  <c r="H64" i="17"/>
  <c r="V63" i="17"/>
  <c r="N63" i="17"/>
  <c r="H63" i="17"/>
  <c r="V62" i="17"/>
  <c r="N62" i="17"/>
  <c r="H62" i="17"/>
  <c r="V61" i="17"/>
  <c r="N61" i="17"/>
  <c r="H61" i="17"/>
  <c r="V60" i="17"/>
  <c r="N60" i="17"/>
  <c r="H60" i="17"/>
  <c r="V59" i="17"/>
  <c r="N59" i="17"/>
  <c r="H59" i="17"/>
  <c r="V58" i="17"/>
  <c r="N58" i="17"/>
  <c r="H58" i="17"/>
  <c r="V57" i="17"/>
  <c r="N57" i="17"/>
  <c r="H57" i="17"/>
  <c r="V56" i="17"/>
  <c r="N56" i="17"/>
  <c r="H56" i="17"/>
  <c r="BB47" i="17"/>
  <c r="BB48" i="17" s="1"/>
  <c r="BA47" i="17"/>
  <c r="BA48" i="17" s="1"/>
  <c r="AZ47" i="17"/>
  <c r="AZ48" i="17" s="1"/>
  <c r="AZ50" i="17" s="1"/>
  <c r="AY47" i="17"/>
  <c r="AY48" i="17" s="1"/>
  <c r="AY50" i="17" s="1"/>
  <c r="AX47" i="17"/>
  <c r="AW47" i="17"/>
  <c r="AW48" i="17" s="1"/>
  <c r="AW50" i="17" s="1"/>
  <c r="AV47" i="17"/>
  <c r="AV48" i="17" s="1"/>
  <c r="AU47" i="17"/>
  <c r="AU48" i="17" s="1"/>
  <c r="AT47" i="17"/>
  <c r="AT48" i="17" s="1"/>
  <c r="AR47" i="17"/>
  <c r="AR48" i="17" s="1"/>
  <c r="AR50" i="17" s="1"/>
  <c r="AQ47" i="17"/>
  <c r="AQ48" i="17" s="1"/>
  <c r="AQ50" i="17" s="1"/>
  <c r="AP47" i="17"/>
  <c r="AP48" i="17" s="1"/>
  <c r="AP50" i="17" s="1"/>
  <c r="AO47" i="17"/>
  <c r="AO48" i="17" s="1"/>
  <c r="AO50" i="17" s="1"/>
  <c r="AM47" i="17"/>
  <c r="AM48" i="17" s="1"/>
  <c r="AL47" i="17"/>
  <c r="AL48" i="17" s="1"/>
  <c r="AJ47" i="17"/>
  <c r="AJ48" i="17" s="1"/>
  <c r="AJ50" i="17" s="1"/>
  <c r="AI47" i="17"/>
  <c r="AI48" i="17" s="1"/>
  <c r="AI50" i="17" s="1"/>
  <c r="AF47" i="17"/>
  <c r="AF48" i="17" s="1"/>
  <c r="AE47" i="17"/>
  <c r="AE48" i="17" s="1"/>
  <c r="AB47" i="17"/>
  <c r="AB48" i="17" s="1"/>
  <c r="AB50" i="17" s="1"/>
  <c r="AA47" i="17"/>
  <c r="AA48" i="17" s="1"/>
  <c r="AA50" i="17" s="1"/>
  <c r="Z47" i="17"/>
  <c r="Z48" i="17" s="1"/>
  <c r="Z50" i="17" s="1"/>
  <c r="Y48" i="17"/>
  <c r="Y50" i="17" s="1"/>
  <c r="X48" i="17"/>
  <c r="W47" i="17"/>
  <c r="W48" i="17" s="1"/>
  <c r="V47" i="17"/>
  <c r="V48" i="17" s="1"/>
  <c r="V50" i="17" s="1"/>
  <c r="U47" i="17"/>
  <c r="U48" i="17" s="1"/>
  <c r="U50" i="17" s="1"/>
  <c r="T48" i="17"/>
  <c r="R48" i="17"/>
  <c r="Q47" i="17"/>
  <c r="Q48" i="17" s="1"/>
  <c r="Q50" i="17" s="1"/>
  <c r="P47" i="17"/>
  <c r="P48" i="17" s="1"/>
  <c r="O47" i="17"/>
  <c r="O48" i="17" s="1"/>
  <c r="N47" i="17"/>
  <c r="N48" i="17" s="1"/>
  <c r="N50" i="17" s="1"/>
  <c r="M47" i="17"/>
  <c r="M48" i="17" s="1"/>
  <c r="L47" i="17"/>
  <c r="L48" i="17" s="1"/>
  <c r="K47" i="17"/>
  <c r="K48" i="17" s="1"/>
  <c r="J47" i="17"/>
  <c r="J48" i="17" s="1"/>
  <c r="H47" i="17"/>
  <c r="H48" i="17" s="1"/>
  <c r="F48" i="17"/>
  <c r="D48" i="17"/>
  <c r="F24" i="16"/>
  <c r="H24" i="16"/>
  <c r="J24" i="16"/>
  <c r="K24" i="16"/>
  <c r="L24" i="16"/>
  <c r="M24" i="16"/>
  <c r="N24" i="16"/>
  <c r="O24" i="16"/>
  <c r="P24" i="16"/>
  <c r="D20" i="16"/>
  <c r="D22" i="16" s="1"/>
  <c r="E20" i="16"/>
  <c r="E24" i="16" s="1"/>
  <c r="F20" i="16"/>
  <c r="G20" i="16"/>
  <c r="G22" i="16" s="1"/>
  <c r="H20" i="16"/>
  <c r="I20" i="16"/>
  <c r="I22" i="16" s="1"/>
  <c r="J20" i="16"/>
  <c r="K20" i="16"/>
  <c r="L20" i="16"/>
  <c r="M20" i="16"/>
  <c r="N20" i="16"/>
  <c r="O20" i="16"/>
  <c r="P20" i="16"/>
  <c r="Q20" i="16"/>
  <c r="R20" i="16"/>
  <c r="R24" i="16" s="1"/>
  <c r="S20" i="16"/>
  <c r="S24" i="16" s="1"/>
  <c r="F22" i="16"/>
  <c r="H22" i="16"/>
  <c r="J22" i="16"/>
  <c r="K22" i="16"/>
  <c r="L22" i="16"/>
  <c r="M22" i="16"/>
  <c r="N22" i="16"/>
  <c r="O22" i="16"/>
  <c r="P22" i="16"/>
  <c r="Q22" i="16"/>
  <c r="R22" i="16"/>
  <c r="S22" i="16"/>
  <c r="E20" i="15"/>
  <c r="F20" i="15"/>
  <c r="G20" i="15"/>
  <c r="H20" i="15"/>
  <c r="I20" i="15"/>
  <c r="J20" i="15"/>
  <c r="K20" i="15"/>
  <c r="L20" i="15"/>
  <c r="M20" i="15"/>
  <c r="N20" i="15"/>
  <c r="O20" i="15"/>
  <c r="P20" i="15"/>
  <c r="D20" i="15"/>
  <c r="S20" i="15"/>
  <c r="R20" i="15"/>
  <c r="Q20" i="15"/>
  <c r="Q22" i="15" s="1"/>
  <c r="AX51" i="14"/>
  <c r="AW51" i="14"/>
  <c r="AV51" i="14"/>
  <c r="AV53" i="14" s="1"/>
  <c r="AU51" i="14"/>
  <c r="AU53" i="14" s="1"/>
  <c r="AT51" i="14"/>
  <c r="AT53" i="14" s="1"/>
  <c r="AS51" i="14"/>
  <c r="AS53" i="14" s="1"/>
  <c r="AR51" i="14"/>
  <c r="AQ51" i="14"/>
  <c r="AP51" i="14"/>
  <c r="AO51" i="14"/>
  <c r="AO53" i="14" s="1"/>
  <c r="AN51" i="14"/>
  <c r="AN53" i="14" s="1"/>
  <c r="AM51" i="14"/>
  <c r="AM53" i="14" s="1"/>
  <c r="AL51" i="14"/>
  <c r="AL53" i="14" s="1"/>
  <c r="AK51" i="14"/>
  <c r="AJ51" i="14"/>
  <c r="AI51" i="14"/>
  <c r="AH51" i="14"/>
  <c r="AH53" i="14" s="1"/>
  <c r="AG51" i="14"/>
  <c r="AG53" i="14" s="1"/>
  <c r="AF51" i="14"/>
  <c r="AF53" i="14" s="1"/>
  <c r="AE51" i="14"/>
  <c r="AE53" i="14" s="1"/>
  <c r="AD51" i="14"/>
  <c r="AC51" i="14"/>
  <c r="AB51" i="14"/>
  <c r="AA51" i="14"/>
  <c r="AA53" i="14" s="1"/>
  <c r="Z51" i="14"/>
  <c r="Z53" i="14" s="1"/>
  <c r="Y51" i="14"/>
  <c r="Y53" i="14" s="1"/>
  <c r="X51" i="14"/>
  <c r="X53" i="14" s="1"/>
  <c r="W51" i="14"/>
  <c r="V51" i="14"/>
  <c r="U51" i="14"/>
  <c r="U53" i="14" s="1"/>
  <c r="T51" i="14"/>
  <c r="T53" i="14" s="1"/>
  <c r="S51" i="14"/>
  <c r="R51" i="14"/>
  <c r="Q51" i="14"/>
  <c r="Q53" i="14" s="1"/>
  <c r="P51" i="14"/>
  <c r="O51" i="14"/>
  <c r="N51" i="14"/>
  <c r="M51" i="14"/>
  <c r="L51" i="14"/>
  <c r="K51" i="14"/>
  <c r="J51" i="14"/>
  <c r="I51" i="14"/>
  <c r="H51" i="14"/>
  <c r="F51" i="14"/>
  <c r="D51" i="14"/>
  <c r="G50" i="14"/>
  <c r="G51" i="14" s="1"/>
  <c r="E50" i="14"/>
  <c r="E51" i="14" s="1"/>
  <c r="U39" i="13"/>
  <c r="U40" i="13"/>
  <c r="U41" i="13"/>
  <c r="U42" i="13"/>
  <c r="U43" i="13"/>
  <c r="U44" i="13"/>
  <c r="U45" i="13"/>
  <c r="U46" i="13"/>
  <c r="U47" i="13"/>
  <c r="U48" i="13"/>
  <c r="U49" i="13"/>
  <c r="U50" i="13"/>
  <c r="U51" i="13"/>
  <c r="U52" i="13"/>
  <c r="U53" i="13"/>
  <c r="U54" i="13"/>
  <c r="U38" i="13"/>
  <c r="N42" i="13"/>
  <c r="N43" i="13"/>
  <c r="N50" i="13"/>
  <c r="N51" i="13"/>
  <c r="N55" i="13"/>
  <c r="N38" i="13"/>
  <c r="E30" i="13"/>
  <c r="F30" i="13"/>
  <c r="F31" i="13" s="1"/>
  <c r="F35" i="13" s="1"/>
  <c r="H30" i="13"/>
  <c r="H31" i="13" s="1"/>
  <c r="H35" i="13" s="1"/>
  <c r="I30" i="13"/>
  <c r="I31" i="13" s="1"/>
  <c r="I35" i="13" s="1"/>
  <c r="J30" i="13"/>
  <c r="J31" i="13" s="1"/>
  <c r="J35" i="13" s="1"/>
  <c r="K30" i="13"/>
  <c r="K31" i="13" s="1"/>
  <c r="K35" i="13" s="1"/>
  <c r="L30" i="13"/>
  <c r="L31" i="13" s="1"/>
  <c r="L35" i="13" s="1"/>
  <c r="M30" i="13"/>
  <c r="N30" i="13"/>
  <c r="N31" i="13" s="1"/>
  <c r="N35" i="13" s="1"/>
  <c r="O30" i="13"/>
  <c r="O31" i="13" s="1"/>
  <c r="O35" i="13" s="1"/>
  <c r="P30" i="13"/>
  <c r="Q30" i="13"/>
  <c r="R30" i="13"/>
  <c r="S30" i="13"/>
  <c r="S31" i="13" s="1"/>
  <c r="S33" i="13" s="1"/>
  <c r="T30" i="13"/>
  <c r="T31" i="13" s="1"/>
  <c r="T33" i="13" s="1"/>
  <c r="U30" i="13"/>
  <c r="U31" i="13" s="1"/>
  <c r="U33" i="13" s="1"/>
  <c r="V30" i="13"/>
  <c r="V31" i="13" s="1"/>
  <c r="V33" i="13" s="1"/>
  <c r="W30" i="13"/>
  <c r="W31" i="13" s="1"/>
  <c r="W33" i="13" s="1"/>
  <c r="X30" i="13"/>
  <c r="X31" i="13" s="1"/>
  <c r="X33" i="13" s="1"/>
  <c r="Y30" i="13"/>
  <c r="Y31" i="13" s="1"/>
  <c r="Y33" i="13" s="1"/>
  <c r="Z30" i="13"/>
  <c r="Z31" i="13" s="1"/>
  <c r="Z33" i="13" s="1"/>
  <c r="AA30" i="13"/>
  <c r="AA31" i="13" s="1"/>
  <c r="AA33" i="13" s="1"/>
  <c r="AB30" i="13"/>
  <c r="AB31" i="13" s="1"/>
  <c r="AB35" i="13" s="1"/>
  <c r="AC30" i="13"/>
  <c r="AD30" i="13"/>
  <c r="AD31" i="13" s="1"/>
  <c r="AD35" i="13" s="1"/>
  <c r="AE30" i="13"/>
  <c r="AE31" i="13" s="1"/>
  <c r="AE33" i="13" s="1"/>
  <c r="AF30" i="13"/>
  <c r="AF31" i="13" s="1"/>
  <c r="AF33" i="13" s="1"/>
  <c r="AG30" i="13"/>
  <c r="AG31" i="13" s="1"/>
  <c r="AG33" i="13" s="1"/>
  <c r="AH30" i="13"/>
  <c r="AH31" i="13" s="1"/>
  <c r="AH33" i="13" s="1"/>
  <c r="AI30" i="13"/>
  <c r="AI31" i="13" s="1"/>
  <c r="AI35" i="13" s="1"/>
  <c r="AJ30" i="13"/>
  <c r="AJ31" i="13" s="1"/>
  <c r="AK30" i="13"/>
  <c r="AK31" i="13" s="1"/>
  <c r="AK33" i="13" s="1"/>
  <c r="AL30" i="13"/>
  <c r="AL31" i="13" s="1"/>
  <c r="AL33" i="13" s="1"/>
  <c r="AM30" i="13"/>
  <c r="AM31" i="13" s="1"/>
  <c r="AM33" i="13" s="1"/>
  <c r="AN30" i="13"/>
  <c r="AN31" i="13" s="1"/>
  <c r="AN33" i="13" s="1"/>
  <c r="AO30" i="13"/>
  <c r="AO31" i="13" s="1"/>
  <c r="AO33" i="13" s="1"/>
  <c r="AP30" i="13"/>
  <c r="AP31" i="13" s="1"/>
  <c r="AP35" i="13" s="1"/>
  <c r="AQ30" i="13"/>
  <c r="AQ31" i="13" s="1"/>
  <c r="AQ35" i="13" s="1"/>
  <c r="AR30" i="13"/>
  <c r="AR31" i="13" s="1"/>
  <c r="AR35" i="13" s="1"/>
  <c r="AS30" i="13"/>
  <c r="AT30" i="13"/>
  <c r="AU30" i="13"/>
  <c r="AV30" i="13"/>
  <c r="AV31" i="13" s="1"/>
  <c r="AV33" i="13" s="1"/>
  <c r="AW30" i="13"/>
  <c r="AW31" i="13" s="1"/>
  <c r="AW35" i="13" s="1"/>
  <c r="AX30" i="13"/>
  <c r="AX31" i="13" s="1"/>
  <c r="AX35" i="13" s="1"/>
  <c r="R31" i="13"/>
  <c r="R33" i="13" s="1"/>
  <c r="Q31" i="13"/>
  <c r="Q33" i="13" s="1"/>
  <c r="D30" i="13"/>
  <c r="L56" i="13"/>
  <c r="F56" i="13"/>
  <c r="H55" i="13"/>
  <c r="N54" i="13"/>
  <c r="H54" i="13"/>
  <c r="N53" i="13"/>
  <c r="H53" i="13"/>
  <c r="N52" i="13"/>
  <c r="H52" i="13"/>
  <c r="H51" i="13"/>
  <c r="H50" i="13"/>
  <c r="N49" i="13"/>
  <c r="H49" i="13"/>
  <c r="N48" i="13"/>
  <c r="H48" i="13"/>
  <c r="N47" i="13"/>
  <c r="H47" i="13"/>
  <c r="N46" i="13"/>
  <c r="H46" i="13"/>
  <c r="N45" i="13"/>
  <c r="H45" i="13"/>
  <c r="N44" i="13"/>
  <c r="H44" i="13"/>
  <c r="H43" i="13"/>
  <c r="H42" i="13"/>
  <c r="N41" i="13"/>
  <c r="H41" i="13"/>
  <c r="N40" i="13"/>
  <c r="H40" i="13"/>
  <c r="N39" i="13"/>
  <c r="H39" i="13"/>
  <c r="H38" i="13"/>
  <c r="AU31" i="13"/>
  <c r="AU33" i="13" s="1"/>
  <c r="AT31" i="13"/>
  <c r="AT33" i="13" s="1"/>
  <c r="AS31" i="13"/>
  <c r="AS33" i="13" s="1"/>
  <c r="AC31" i="13"/>
  <c r="AC35" i="13" s="1"/>
  <c r="P31" i="13"/>
  <c r="P35" i="13" s="1"/>
  <c r="M31" i="13"/>
  <c r="M35" i="13" s="1"/>
  <c r="D31" i="13"/>
  <c r="D35" i="13" s="1"/>
  <c r="G29" i="13"/>
  <c r="G30" i="13" s="1"/>
  <c r="E29" i="13"/>
  <c r="R31" i="12"/>
  <c r="N55" i="12"/>
  <c r="L56" i="12"/>
  <c r="N54" i="12"/>
  <c r="N53" i="12"/>
  <c r="N52" i="12"/>
  <c r="N51" i="12"/>
  <c r="N50" i="12"/>
  <c r="N49" i="12"/>
  <c r="N48" i="12"/>
  <c r="N47" i="12"/>
  <c r="N46" i="12"/>
  <c r="N45" i="12"/>
  <c r="N44" i="12"/>
  <c r="N43" i="12"/>
  <c r="N42" i="12"/>
  <c r="N41" i="12"/>
  <c r="N40" i="12"/>
  <c r="N39" i="12"/>
  <c r="N38" i="12"/>
  <c r="H47" i="12"/>
  <c r="H39" i="12"/>
  <c r="H40" i="12"/>
  <c r="H41" i="12"/>
  <c r="H42" i="12"/>
  <c r="H43" i="12"/>
  <c r="H44" i="12"/>
  <c r="H45" i="12"/>
  <c r="H46" i="12"/>
  <c r="H48" i="12"/>
  <c r="H49" i="12"/>
  <c r="H50" i="12"/>
  <c r="H51" i="12"/>
  <c r="H52" i="12"/>
  <c r="H53" i="12"/>
  <c r="H54" i="12"/>
  <c r="H55" i="12"/>
  <c r="H38" i="12"/>
  <c r="AD31" i="12"/>
  <c r="AD33" i="12" s="1"/>
  <c r="F56" i="12"/>
  <c r="W59" i="24" l="1"/>
  <c r="W84" i="24" s="1"/>
  <c r="P60" i="24"/>
  <c r="P88" i="24" s="1"/>
  <c r="U55" i="13"/>
  <c r="H56" i="13"/>
  <c r="AJ33" i="13"/>
  <c r="AJ35" i="13"/>
  <c r="G31" i="13"/>
  <c r="G33" i="13" s="1"/>
  <c r="E31" i="13"/>
  <c r="AY31" i="13" s="1"/>
  <c r="G56" i="22"/>
  <c r="G54" i="22"/>
  <c r="I56" i="22"/>
  <c r="I54" i="22"/>
  <c r="U90" i="17"/>
  <c r="D69" i="20"/>
  <c r="G71" i="20"/>
  <c r="G69" i="20"/>
  <c r="E71" i="20"/>
  <c r="E69" i="20"/>
  <c r="AY67" i="20"/>
  <c r="P98" i="17"/>
  <c r="AX48" i="17"/>
  <c r="AX50" i="17" s="1"/>
  <c r="H74" i="18"/>
  <c r="N74" i="18"/>
  <c r="V73" i="18"/>
  <c r="N74" i="17"/>
  <c r="V73" i="17"/>
  <c r="H74" i="17"/>
  <c r="E47" i="19"/>
  <c r="E48" i="19" s="1"/>
  <c r="G47" i="19"/>
  <c r="G48" i="19" s="1"/>
  <c r="L47" i="19"/>
  <c r="L48" i="19" s="1"/>
  <c r="D52" i="19"/>
  <c r="D50" i="19"/>
  <c r="AZ48" i="19"/>
  <c r="F52" i="19"/>
  <c r="F50" i="19"/>
  <c r="H52" i="19"/>
  <c r="H50" i="19"/>
  <c r="I52" i="19"/>
  <c r="I50" i="19"/>
  <c r="J52" i="19"/>
  <c r="J50" i="19"/>
  <c r="K52" i="19"/>
  <c r="K50" i="19"/>
  <c r="M52" i="19"/>
  <c r="M50" i="19"/>
  <c r="N52" i="19"/>
  <c r="N50" i="19"/>
  <c r="O52" i="19"/>
  <c r="O50" i="19"/>
  <c r="P52" i="19"/>
  <c r="P50" i="19"/>
  <c r="R52" i="19"/>
  <c r="R50" i="19"/>
  <c r="S52" i="19"/>
  <c r="S50" i="19"/>
  <c r="T52" i="19"/>
  <c r="T50" i="19"/>
  <c r="W52" i="19"/>
  <c r="W50" i="19"/>
  <c r="X52" i="19"/>
  <c r="X50" i="19"/>
  <c r="AC52" i="19"/>
  <c r="AC50" i="19"/>
  <c r="AD52" i="19"/>
  <c r="AD50" i="19"/>
  <c r="AE52" i="19"/>
  <c r="AE50" i="19"/>
  <c r="AJ52" i="19"/>
  <c r="AJ50" i="19"/>
  <c r="AK52" i="19"/>
  <c r="AK50" i="19"/>
  <c r="AL52" i="19"/>
  <c r="AL50" i="19"/>
  <c r="AQ52" i="19"/>
  <c r="AQ50" i="19"/>
  <c r="AR52" i="19"/>
  <c r="AR50" i="19"/>
  <c r="AS52" i="19"/>
  <c r="AS50" i="19"/>
  <c r="AX52" i="19"/>
  <c r="AX50" i="19"/>
  <c r="AY52" i="19"/>
  <c r="AY50" i="19"/>
  <c r="E48" i="18"/>
  <c r="E49" i="18" s="1"/>
  <c r="G48" i="18"/>
  <c r="G49" i="18" s="1"/>
  <c r="L48" i="18"/>
  <c r="L49" i="18" s="1"/>
  <c r="AZ49" i="18" s="1"/>
  <c r="D53" i="18"/>
  <c r="D51" i="18"/>
  <c r="F53" i="18"/>
  <c r="F51" i="18"/>
  <c r="H53" i="18"/>
  <c r="H51" i="18"/>
  <c r="I53" i="18"/>
  <c r="I51" i="18"/>
  <c r="J53" i="18"/>
  <c r="J51" i="18"/>
  <c r="K53" i="18"/>
  <c r="K51" i="18"/>
  <c r="M53" i="18"/>
  <c r="M51" i="18"/>
  <c r="N53" i="18"/>
  <c r="N51" i="18"/>
  <c r="O53" i="18"/>
  <c r="O51" i="18"/>
  <c r="P53" i="18"/>
  <c r="P51" i="18"/>
  <c r="R53" i="18"/>
  <c r="R51" i="18"/>
  <c r="S53" i="18"/>
  <c r="S51" i="18"/>
  <c r="T53" i="18"/>
  <c r="T51" i="18"/>
  <c r="W53" i="18"/>
  <c r="W51" i="18"/>
  <c r="X53" i="18"/>
  <c r="X51" i="18"/>
  <c r="AC53" i="18"/>
  <c r="AC51" i="18"/>
  <c r="AD53" i="18"/>
  <c r="AD51" i="18"/>
  <c r="AE53" i="18"/>
  <c r="AE51" i="18"/>
  <c r="AJ53" i="18"/>
  <c r="AJ51" i="18"/>
  <c r="AK53" i="18"/>
  <c r="AK51" i="18"/>
  <c r="AL53" i="18"/>
  <c r="AL51" i="18"/>
  <c r="AQ53" i="18"/>
  <c r="AQ51" i="18"/>
  <c r="AR53" i="18"/>
  <c r="AR51" i="18"/>
  <c r="AS53" i="18"/>
  <c r="AS51" i="18"/>
  <c r="AX53" i="18"/>
  <c r="AX51" i="18"/>
  <c r="AY53" i="18"/>
  <c r="AY51" i="18"/>
  <c r="S52" i="17"/>
  <c r="S50" i="17"/>
  <c r="G48" i="17"/>
  <c r="D52" i="17"/>
  <c r="D50" i="17"/>
  <c r="F52" i="17"/>
  <c r="F50" i="17"/>
  <c r="H52" i="17"/>
  <c r="H50" i="17"/>
  <c r="I52" i="17"/>
  <c r="I50" i="17"/>
  <c r="J52" i="17"/>
  <c r="J50" i="17"/>
  <c r="K52" i="17"/>
  <c r="K50" i="17"/>
  <c r="L52" i="17"/>
  <c r="L50" i="17"/>
  <c r="M52" i="17"/>
  <c r="M50" i="17"/>
  <c r="N52" i="17"/>
  <c r="O52" i="17"/>
  <c r="O50" i="17"/>
  <c r="P52" i="17"/>
  <c r="P50" i="17"/>
  <c r="R52" i="17"/>
  <c r="R50" i="17"/>
  <c r="T52" i="17"/>
  <c r="T50" i="17"/>
  <c r="W52" i="17"/>
  <c r="W50" i="17"/>
  <c r="X52" i="17"/>
  <c r="X50" i="17"/>
  <c r="AD52" i="17"/>
  <c r="AD50" i="17"/>
  <c r="AE52" i="17"/>
  <c r="AE50" i="17"/>
  <c r="AF52" i="17"/>
  <c r="AF50" i="17"/>
  <c r="AL52" i="17"/>
  <c r="AL50" i="17"/>
  <c r="AM52" i="17"/>
  <c r="AM50" i="17"/>
  <c r="AN50" i="17"/>
  <c r="AT52" i="17"/>
  <c r="AT50" i="17"/>
  <c r="AU52" i="17"/>
  <c r="AU50" i="17"/>
  <c r="AV52" i="17"/>
  <c r="AV50" i="17"/>
  <c r="BA52" i="17"/>
  <c r="BA50" i="17"/>
  <c r="BB52" i="17"/>
  <c r="BB50" i="17"/>
  <c r="E22" i="16"/>
  <c r="T22" i="16" s="1"/>
  <c r="T20" i="15"/>
  <c r="I24" i="16"/>
  <c r="T20" i="16"/>
  <c r="G24" i="16"/>
  <c r="D24" i="16"/>
  <c r="E24" i="15"/>
  <c r="E22" i="15"/>
  <c r="G24" i="15"/>
  <c r="G22" i="15"/>
  <c r="D24" i="15"/>
  <c r="D22" i="15"/>
  <c r="F24" i="15"/>
  <c r="F22" i="15"/>
  <c r="H24" i="15"/>
  <c r="H22" i="15"/>
  <c r="I24" i="15"/>
  <c r="I22" i="15"/>
  <c r="J24" i="15"/>
  <c r="J22" i="15"/>
  <c r="K24" i="15"/>
  <c r="K22" i="15"/>
  <c r="L24" i="15"/>
  <c r="L22" i="15"/>
  <c r="M24" i="15"/>
  <c r="M22" i="15"/>
  <c r="N24" i="15"/>
  <c r="N22" i="15"/>
  <c r="O24" i="15"/>
  <c r="O22" i="15"/>
  <c r="P24" i="15"/>
  <c r="P22" i="15"/>
  <c r="R24" i="15"/>
  <c r="R22" i="15"/>
  <c r="S24" i="15"/>
  <c r="S22" i="15"/>
  <c r="E55" i="14"/>
  <c r="E53" i="14"/>
  <c r="G55" i="14"/>
  <c r="G53" i="14"/>
  <c r="D55" i="14"/>
  <c r="D53" i="14"/>
  <c r="AY51" i="14"/>
  <c r="F55" i="14"/>
  <c r="F53" i="14"/>
  <c r="H55" i="14"/>
  <c r="H53" i="14"/>
  <c r="I55" i="14"/>
  <c r="I53" i="14"/>
  <c r="J55" i="14"/>
  <c r="J53" i="14"/>
  <c r="K55" i="14"/>
  <c r="K53" i="14"/>
  <c r="L55" i="14"/>
  <c r="L53" i="14"/>
  <c r="M55" i="14"/>
  <c r="M53" i="14"/>
  <c r="N55" i="14"/>
  <c r="N53" i="14"/>
  <c r="O55" i="14"/>
  <c r="O53" i="14"/>
  <c r="P55" i="14"/>
  <c r="P53" i="14"/>
  <c r="R55" i="14"/>
  <c r="R53" i="14"/>
  <c r="S55" i="14"/>
  <c r="S53" i="14"/>
  <c r="V55" i="14"/>
  <c r="V53" i="14"/>
  <c r="W55" i="14"/>
  <c r="W53" i="14"/>
  <c r="AB55" i="14"/>
  <c r="AB53" i="14"/>
  <c r="AC55" i="14"/>
  <c r="AC53" i="14"/>
  <c r="AD55" i="14"/>
  <c r="AD53" i="14"/>
  <c r="AI55" i="14"/>
  <c r="AI53" i="14"/>
  <c r="AJ55" i="14"/>
  <c r="AJ53" i="14"/>
  <c r="AK55" i="14"/>
  <c r="AK53" i="14"/>
  <c r="AP55" i="14"/>
  <c r="AP53" i="14"/>
  <c r="AQ55" i="14"/>
  <c r="AQ53" i="14"/>
  <c r="AR55" i="14"/>
  <c r="AR53" i="14"/>
  <c r="AW55" i="14"/>
  <c r="AW53" i="14"/>
  <c r="AX55" i="14"/>
  <c r="AX53" i="14"/>
  <c r="N56" i="13"/>
  <c r="W35" i="13"/>
  <c r="V35" i="13"/>
  <c r="R35" i="13"/>
  <c r="E35" i="13"/>
  <c r="E33" i="13"/>
  <c r="I33" i="13"/>
  <c r="J33" i="13"/>
  <c r="AP33" i="13"/>
  <c r="AX33" i="13"/>
  <c r="S35" i="13"/>
  <c r="AK35" i="13"/>
  <c r="AW33" i="13"/>
  <c r="K33" i="13"/>
  <c r="AI33" i="13"/>
  <c r="AQ33" i="13"/>
  <c r="D33" i="13"/>
  <c r="L33" i="13"/>
  <c r="AB33" i="13"/>
  <c r="AR33" i="13"/>
  <c r="M33" i="13"/>
  <c r="AC33" i="13"/>
  <c r="F33" i="13"/>
  <c r="N33" i="13"/>
  <c r="AD33" i="13"/>
  <c r="O33" i="13"/>
  <c r="H33" i="13"/>
  <c r="P33" i="13"/>
  <c r="N56" i="12"/>
  <c r="H56" i="12"/>
  <c r="G35" i="13" l="1"/>
  <c r="AY69" i="20"/>
  <c r="H93" i="20" s="1"/>
  <c r="BC48" i="17"/>
  <c r="L52" i="19"/>
  <c r="L50" i="19"/>
  <c r="G52" i="19"/>
  <c r="G50" i="19"/>
  <c r="E52" i="19"/>
  <c r="E50" i="19"/>
  <c r="AZ50" i="19" s="1"/>
  <c r="H74" i="19" s="1"/>
  <c r="L53" i="18"/>
  <c r="L51" i="18"/>
  <c r="G53" i="18"/>
  <c r="G51" i="18"/>
  <c r="E53" i="18"/>
  <c r="E51" i="18"/>
  <c r="G52" i="17"/>
  <c r="G50" i="17"/>
  <c r="E52" i="17"/>
  <c r="E50" i="17"/>
  <c r="T22" i="15"/>
  <c r="U22" i="15" s="1"/>
  <c r="U22" i="16"/>
  <c r="V22" i="16" s="1"/>
  <c r="AY53" i="14"/>
  <c r="AY33" i="13"/>
  <c r="H57" i="13" s="1"/>
  <c r="W31" i="12"/>
  <c r="W33" i="12" s="1"/>
  <c r="D31" i="12"/>
  <c r="D33" i="12" s="1"/>
  <c r="F31" i="12"/>
  <c r="F33" i="12" s="1"/>
  <c r="H31" i="12"/>
  <c r="H33" i="12" s="1"/>
  <c r="I31" i="12"/>
  <c r="I33" i="12" s="1"/>
  <c r="J31" i="12"/>
  <c r="J33" i="12" s="1"/>
  <c r="K31" i="12"/>
  <c r="K33" i="12" s="1"/>
  <c r="L31" i="12"/>
  <c r="L33" i="12" s="1"/>
  <c r="M31" i="12"/>
  <c r="M33" i="12" s="1"/>
  <c r="N31" i="12"/>
  <c r="N33" i="12" s="1"/>
  <c r="O31" i="12"/>
  <c r="O33" i="12" s="1"/>
  <c r="P31" i="12"/>
  <c r="P33" i="12" s="1"/>
  <c r="Q31" i="12"/>
  <c r="Q33" i="12" s="1"/>
  <c r="R33" i="12"/>
  <c r="S31" i="12"/>
  <c r="S33" i="12" s="1"/>
  <c r="T31" i="12"/>
  <c r="T33" i="12" s="1"/>
  <c r="U31" i="12"/>
  <c r="U33" i="12" s="1"/>
  <c r="V31" i="12"/>
  <c r="V33" i="12" s="1"/>
  <c r="X31" i="12"/>
  <c r="X33" i="12" s="1"/>
  <c r="Y31" i="12"/>
  <c r="Y33" i="12" s="1"/>
  <c r="Z31" i="12"/>
  <c r="Z33" i="12" s="1"/>
  <c r="AA31" i="12"/>
  <c r="AA33" i="12" s="1"/>
  <c r="AB31" i="12"/>
  <c r="AB33" i="12" s="1"/>
  <c r="AC31" i="12"/>
  <c r="AC33" i="12" s="1"/>
  <c r="AE31" i="12"/>
  <c r="AE33" i="12" s="1"/>
  <c r="AF31" i="12"/>
  <c r="AF33" i="12" s="1"/>
  <c r="AG31" i="12"/>
  <c r="AG33" i="12" s="1"/>
  <c r="AH31" i="12"/>
  <c r="AH33" i="12" s="1"/>
  <c r="AI31" i="12"/>
  <c r="AI33" i="12" s="1"/>
  <c r="AJ31" i="12"/>
  <c r="AJ33" i="12" s="1"/>
  <c r="AK31" i="12"/>
  <c r="AK33" i="12" s="1"/>
  <c r="AL31" i="12"/>
  <c r="AL33" i="12" s="1"/>
  <c r="AM31" i="12"/>
  <c r="AM33" i="12" s="1"/>
  <c r="AN31" i="12"/>
  <c r="AN33" i="12" s="1"/>
  <c r="AO31" i="12"/>
  <c r="AO33" i="12" s="1"/>
  <c r="AP31" i="12"/>
  <c r="AP33" i="12" s="1"/>
  <c r="AQ31" i="12"/>
  <c r="AQ33" i="12" s="1"/>
  <c r="AR31" i="12"/>
  <c r="AR33" i="12" s="1"/>
  <c r="AS31" i="12"/>
  <c r="AS33" i="12" s="1"/>
  <c r="AT31" i="12"/>
  <c r="AT33" i="12" s="1"/>
  <c r="AU31" i="12"/>
  <c r="AU33" i="12" s="1"/>
  <c r="AV31" i="12"/>
  <c r="AV33" i="12" s="1"/>
  <c r="AW31" i="12"/>
  <c r="AW33" i="12" s="1"/>
  <c r="AX31" i="12"/>
  <c r="AX33" i="12" s="1"/>
  <c r="AZ51" i="18" l="1"/>
  <c r="H75" i="18" s="1"/>
  <c r="BC50" i="17"/>
  <c r="H75" i="17" s="1"/>
  <c r="V22" i="15"/>
  <c r="AZ53" i="14"/>
  <c r="BA53" i="14" s="1"/>
  <c r="G29" i="12"/>
  <c r="G31" i="12" s="1"/>
  <c r="G33" i="12" s="1"/>
  <c r="E29" i="12"/>
  <c r="E31" i="12" s="1"/>
  <c r="E33" i="12" s="1"/>
  <c r="G42" i="11"/>
  <c r="E42" i="11"/>
  <c r="AX44" i="11"/>
  <c r="AX48" i="11" s="1"/>
  <c r="AW44" i="11"/>
  <c r="AW46" i="11" s="1"/>
  <c r="AV44" i="11"/>
  <c r="AV46" i="11" s="1"/>
  <c r="AU44" i="11"/>
  <c r="AU46" i="11" s="1"/>
  <c r="AT44" i="11"/>
  <c r="AT46" i="11" s="1"/>
  <c r="AS44" i="11"/>
  <c r="AS46" i="11" s="1"/>
  <c r="AR44" i="11"/>
  <c r="AR46" i="11" s="1"/>
  <c r="AQ44" i="11"/>
  <c r="AQ48" i="11" s="1"/>
  <c r="AP44" i="11"/>
  <c r="AP48" i="11" s="1"/>
  <c r="AO44" i="11"/>
  <c r="AO46" i="11" s="1"/>
  <c r="AN44" i="11"/>
  <c r="AN46" i="11" s="1"/>
  <c r="AM44" i="11"/>
  <c r="AM46" i="11" s="1"/>
  <c r="AL44" i="11"/>
  <c r="AL46" i="11" s="1"/>
  <c r="AK44" i="11"/>
  <c r="AK48" i="11" s="1"/>
  <c r="AJ44" i="11"/>
  <c r="AJ48" i="11" s="1"/>
  <c r="AI44" i="11"/>
  <c r="AI48" i="11" s="1"/>
  <c r="AH44" i="11"/>
  <c r="AH46" i="11" s="1"/>
  <c r="AG44" i="11"/>
  <c r="AG46" i="11" s="1"/>
  <c r="AF44" i="11"/>
  <c r="AF46" i="11" s="1"/>
  <c r="AE44" i="11"/>
  <c r="AE46" i="11" s="1"/>
  <c r="AD44" i="11"/>
  <c r="AD46" i="11" s="1"/>
  <c r="AC44" i="11"/>
  <c r="AC46" i="11" s="1"/>
  <c r="AB44" i="11"/>
  <c r="AB46" i="11" s="1"/>
  <c r="AA44" i="11"/>
  <c r="AA46" i="11" s="1"/>
  <c r="Z44" i="11"/>
  <c r="Z46" i="11" s="1"/>
  <c r="Y44" i="11"/>
  <c r="Y46" i="11" s="1"/>
  <c r="X44" i="11"/>
  <c r="X46" i="11" s="1"/>
  <c r="W44" i="11"/>
  <c r="W46" i="11" s="1"/>
  <c r="V44" i="11"/>
  <c r="V46" i="11" s="1"/>
  <c r="U44" i="11"/>
  <c r="U46" i="11" s="1"/>
  <c r="T44" i="11"/>
  <c r="T46" i="11" s="1"/>
  <c r="S44" i="11"/>
  <c r="S48" i="11" s="1"/>
  <c r="R44" i="11"/>
  <c r="R48" i="11" s="1"/>
  <c r="Q44" i="11"/>
  <c r="Q46" i="11" s="1"/>
  <c r="P44" i="11"/>
  <c r="P46" i="11" s="1"/>
  <c r="O44" i="11"/>
  <c r="O48" i="11" s="1"/>
  <c r="N44" i="11"/>
  <c r="N46" i="11" s="1"/>
  <c r="M44" i="11"/>
  <c r="M46" i="11" s="1"/>
  <c r="L44" i="11"/>
  <c r="L48" i="11" s="1"/>
  <c r="K44" i="11"/>
  <c r="K48" i="11" s="1"/>
  <c r="J44" i="11"/>
  <c r="J48" i="11" s="1"/>
  <c r="I44" i="11"/>
  <c r="I46" i="11" s="1"/>
  <c r="H44" i="11"/>
  <c r="H48" i="11" s="1"/>
  <c r="F44" i="11"/>
  <c r="F48" i="11" s="1"/>
  <c r="D44" i="11"/>
  <c r="D46" i="11" s="1"/>
  <c r="U26" i="10"/>
  <c r="T26" i="10"/>
  <c r="S26" i="10"/>
  <c r="E28" i="10"/>
  <c r="F28" i="10"/>
  <c r="G28" i="10"/>
  <c r="H28" i="10"/>
  <c r="I28" i="10"/>
  <c r="J28" i="10"/>
  <c r="K28" i="10"/>
  <c r="L28" i="10"/>
  <c r="K24" i="10"/>
  <c r="L24" i="10"/>
  <c r="K26" i="10"/>
  <c r="E24" i="10"/>
  <c r="E26" i="10" s="1"/>
  <c r="R24" i="10"/>
  <c r="Q24" i="10"/>
  <c r="P24" i="10"/>
  <c r="O24" i="10"/>
  <c r="N24" i="10"/>
  <c r="M24" i="10"/>
  <c r="J24" i="10"/>
  <c r="I24" i="10"/>
  <c r="G24" i="10"/>
  <c r="D24" i="10"/>
  <c r="H23" i="10"/>
  <c r="F23" i="10"/>
  <c r="H20" i="10"/>
  <c r="F20" i="10"/>
  <c r="H19" i="10"/>
  <c r="H24" i="10" s="1"/>
  <c r="F19" i="10"/>
  <c r="F24" i="10" s="1"/>
  <c r="Q44" i="8"/>
  <c r="Q46" i="8" s="1"/>
  <c r="W44" i="8"/>
  <c r="W46" i="8" s="1"/>
  <c r="X44" i="8"/>
  <c r="X46" i="8" s="1"/>
  <c r="Y44" i="8"/>
  <c r="Y46" i="8" s="1"/>
  <c r="Z44" i="8"/>
  <c r="Z46" i="8" s="1"/>
  <c r="AA44" i="8"/>
  <c r="AA46" i="8" s="1"/>
  <c r="AB44" i="8"/>
  <c r="AB46" i="8" s="1"/>
  <c r="AC44" i="8"/>
  <c r="AC46" i="8" s="1"/>
  <c r="AD44" i="8"/>
  <c r="AD46" i="8" s="1"/>
  <c r="AE44" i="8"/>
  <c r="AE46" i="8" s="1"/>
  <c r="AF44" i="8"/>
  <c r="AF46" i="8" s="1"/>
  <c r="AG44" i="8"/>
  <c r="AG46" i="8" s="1"/>
  <c r="AH44" i="8"/>
  <c r="AH46" i="8" s="1"/>
  <c r="AI44" i="8"/>
  <c r="AI46" i="8" s="1"/>
  <c r="AJ44" i="8"/>
  <c r="AJ46" i="8" s="1"/>
  <c r="AK44" i="8"/>
  <c r="AK46" i="8" s="1"/>
  <c r="AL44" i="8"/>
  <c r="AL46" i="8" s="1"/>
  <c r="AM44" i="8"/>
  <c r="AM46" i="8" s="1"/>
  <c r="AN44" i="8"/>
  <c r="AN46" i="8" s="1"/>
  <c r="AO44" i="8"/>
  <c r="AO46" i="8" s="1"/>
  <c r="AP44" i="8"/>
  <c r="AP46" i="8" s="1"/>
  <c r="AQ44" i="8"/>
  <c r="AQ46" i="8" s="1"/>
  <c r="AR44" i="8"/>
  <c r="AR46" i="8" s="1"/>
  <c r="AS44" i="8"/>
  <c r="AS46" i="8" s="1"/>
  <c r="AT44" i="8"/>
  <c r="AT46" i="8" s="1"/>
  <c r="AU44" i="8"/>
  <c r="AU46" i="8" s="1"/>
  <c r="AV44" i="8"/>
  <c r="AV46" i="8" s="1"/>
  <c r="AW44" i="8"/>
  <c r="AW46" i="8" s="1"/>
  <c r="AX44" i="8"/>
  <c r="AX46" i="8" s="1"/>
  <c r="E43" i="8"/>
  <c r="E44" i="8" s="1"/>
  <c r="G43" i="8"/>
  <c r="D44" i="8"/>
  <c r="D48" i="8" s="1"/>
  <c r="F44" i="8"/>
  <c r="G44" i="8"/>
  <c r="H44" i="8"/>
  <c r="I44" i="8"/>
  <c r="J44" i="8"/>
  <c r="K44" i="8"/>
  <c r="K46" i="8" s="1"/>
  <c r="R44" i="8"/>
  <c r="R48" i="8" s="1"/>
  <c r="S44" i="8"/>
  <c r="S48" i="8" s="1"/>
  <c r="T44" i="8"/>
  <c r="T46" i="8" s="1"/>
  <c r="U44" i="8"/>
  <c r="V44" i="8"/>
  <c r="V48" i="8" s="1"/>
  <c r="W48" i="8"/>
  <c r="AB48" i="8"/>
  <c r="L44" i="8"/>
  <c r="L48" i="8" s="1"/>
  <c r="M44" i="8"/>
  <c r="M48" i="8" s="1"/>
  <c r="N44" i="8"/>
  <c r="N48" i="8" s="1"/>
  <c r="O44" i="8"/>
  <c r="O48" i="8" s="1"/>
  <c r="P44" i="8"/>
  <c r="P48" i="8" s="1"/>
  <c r="D46" i="8"/>
  <c r="U46" i="8"/>
  <c r="AY33" i="12" l="1"/>
  <c r="H57" i="12" s="1"/>
  <c r="E35" i="12"/>
  <c r="G35" i="12"/>
  <c r="D35" i="12"/>
  <c r="AY31" i="12"/>
  <c r="F35" i="12"/>
  <c r="H35" i="12"/>
  <c r="I35" i="12"/>
  <c r="J35" i="12"/>
  <c r="K35" i="12"/>
  <c r="L35" i="12"/>
  <c r="M35" i="12"/>
  <c r="N35" i="12"/>
  <c r="O35" i="12"/>
  <c r="P35" i="12"/>
  <c r="R35" i="12"/>
  <c r="S35" i="12"/>
  <c r="V35" i="12"/>
  <c r="W35" i="12"/>
  <c r="AB35" i="12"/>
  <c r="AC35" i="12"/>
  <c r="AD35" i="12"/>
  <c r="AI35" i="12"/>
  <c r="AJ35" i="12"/>
  <c r="AK35" i="12"/>
  <c r="AP35" i="12"/>
  <c r="AQ35" i="12"/>
  <c r="AR35" i="12"/>
  <c r="AW35" i="12"/>
  <c r="AX35" i="12"/>
  <c r="E44" i="11"/>
  <c r="E48" i="11" s="1"/>
  <c r="G44" i="11"/>
  <c r="G48" i="11" s="1"/>
  <c r="AW48" i="11"/>
  <c r="AB48" i="11"/>
  <c r="M48" i="11"/>
  <c r="N48" i="11"/>
  <c r="AR48" i="11"/>
  <c r="I48" i="11"/>
  <c r="O46" i="11"/>
  <c r="R46" i="11"/>
  <c r="AK46" i="11"/>
  <c r="V48" i="11"/>
  <c r="AI46" i="11"/>
  <c r="F46" i="11"/>
  <c r="D48" i="11"/>
  <c r="W48" i="11"/>
  <c r="P48" i="11"/>
  <c r="AJ46" i="11"/>
  <c r="H46" i="11"/>
  <c r="AC48" i="11"/>
  <c r="AX46" i="11"/>
  <c r="S46" i="11"/>
  <c r="AD48" i="11"/>
  <c r="J46" i="11"/>
  <c r="AP46" i="11"/>
  <c r="L46" i="11"/>
  <c r="K46" i="11"/>
  <c r="AQ46" i="11"/>
  <c r="F26" i="10"/>
  <c r="H26" i="10"/>
  <c r="D28" i="10"/>
  <c r="D26" i="10"/>
  <c r="S24" i="10"/>
  <c r="G26" i="10"/>
  <c r="I26" i="10"/>
  <c r="J26" i="10"/>
  <c r="L26" i="10"/>
  <c r="M28" i="10"/>
  <c r="M26" i="10"/>
  <c r="N28" i="10"/>
  <c r="N26" i="10"/>
  <c r="O28" i="10"/>
  <c r="O26" i="10"/>
  <c r="P28" i="10"/>
  <c r="P26" i="10"/>
  <c r="Q28" i="10"/>
  <c r="Q26" i="10"/>
  <c r="R28" i="10"/>
  <c r="R26" i="10"/>
  <c r="AC48" i="8"/>
  <c r="AD48" i="8"/>
  <c r="AI48" i="8"/>
  <c r="AJ48" i="8"/>
  <c r="AK48" i="8"/>
  <c r="AP48" i="8"/>
  <c r="AQ48" i="8"/>
  <c r="AR48" i="8"/>
  <c r="AW48" i="8"/>
  <c r="AX48" i="8"/>
  <c r="J46" i="8"/>
  <c r="J48" i="8"/>
  <c r="I46" i="8"/>
  <c r="I48" i="8"/>
  <c r="H46" i="8"/>
  <c r="H48" i="8"/>
  <c r="G46" i="8"/>
  <c r="G48" i="8"/>
  <c r="F46" i="8"/>
  <c r="F48" i="8"/>
  <c r="V46" i="8"/>
  <c r="K48" i="8"/>
  <c r="E46" i="8"/>
  <c r="AY44" i="8"/>
  <c r="E48" i="8"/>
  <c r="O46" i="8"/>
  <c r="R46" i="8"/>
  <c r="P46" i="8"/>
  <c r="N46" i="8"/>
  <c r="M46" i="8"/>
  <c r="S46" i="8"/>
  <c r="L46" i="8"/>
  <c r="E46" i="11" l="1"/>
  <c r="G46" i="11"/>
  <c r="AY44" i="11"/>
  <c r="AY46" i="8"/>
  <c r="AY46" i="11" l="1"/>
  <c r="AZ46" i="11" s="1"/>
  <c r="BA46" i="11" s="1"/>
  <c r="AZ46" i="8"/>
  <c r="BA46" i="8" s="1"/>
  <c r="AC55" i="5"/>
  <c r="AC59" i="5" s="1"/>
  <c r="AB55" i="5"/>
  <c r="AB59" i="5" s="1"/>
  <c r="AA55" i="5"/>
  <c r="AA59" i="5" s="1"/>
  <c r="Z55" i="5"/>
  <c r="Z59" i="5" s="1"/>
  <c r="Y55" i="5"/>
  <c r="Y59" i="5" s="1"/>
  <c r="X55" i="5"/>
  <c r="X57" i="5" s="1"/>
  <c r="W55" i="5"/>
  <c r="W57" i="5" s="1"/>
  <c r="V55" i="5"/>
  <c r="V59" i="5" s="1"/>
  <c r="U55" i="5"/>
  <c r="U57" i="5" s="1"/>
  <c r="T55" i="5"/>
  <c r="T57" i="5" s="1"/>
  <c r="S55" i="5"/>
  <c r="S57" i="5" s="1"/>
  <c r="R55" i="5"/>
  <c r="R57" i="5" s="1"/>
  <c r="Q55" i="5"/>
  <c r="Q57" i="5" s="1"/>
  <c r="P55" i="5"/>
  <c r="P57" i="5" s="1"/>
  <c r="O55" i="5"/>
  <c r="O57" i="5" s="1"/>
  <c r="N55" i="5"/>
  <c r="N59" i="5" s="1"/>
  <c r="M55" i="5"/>
  <c r="M59" i="5" s="1"/>
  <c r="L55" i="5"/>
  <c r="L59" i="5" s="1"/>
  <c r="K55" i="5"/>
  <c r="K57" i="5" s="1"/>
  <c r="J55" i="5"/>
  <c r="J57" i="5" s="1"/>
  <c r="I55" i="5"/>
  <c r="I57" i="5" s="1"/>
  <c r="H55" i="5"/>
  <c r="H59" i="5" s="1"/>
  <c r="F55" i="5"/>
  <c r="F57" i="5" s="1"/>
  <c r="D55" i="5"/>
  <c r="D57" i="5" s="1"/>
  <c r="G54" i="5"/>
  <c r="G55" i="5" s="1"/>
  <c r="G59" i="5" s="1"/>
  <c r="E54" i="5"/>
  <c r="E55" i="5" s="1"/>
  <c r="G25" i="2"/>
  <c r="E25" i="2"/>
  <c r="G22" i="2"/>
  <c r="E22" i="2"/>
  <c r="E21" i="2"/>
  <c r="G21" i="2"/>
  <c r="M26" i="2"/>
  <c r="M30" i="2" s="1"/>
  <c r="L57" i="5" l="1"/>
  <c r="M57" i="5"/>
  <c r="N57" i="5"/>
  <c r="V57" i="5"/>
  <c r="AC57" i="5"/>
  <c r="D59" i="5"/>
  <c r="K59" i="5"/>
  <c r="F59" i="5"/>
  <c r="W59" i="5"/>
  <c r="X59" i="5"/>
  <c r="E59" i="5"/>
  <c r="E57" i="5"/>
  <c r="AD55" i="5"/>
  <c r="I59" i="5"/>
  <c r="O59" i="5"/>
  <c r="P59" i="5"/>
  <c r="G57" i="5"/>
  <c r="H57" i="5"/>
  <c r="Y57" i="5"/>
  <c r="Z57" i="5"/>
  <c r="AA57" i="5"/>
  <c r="Q59" i="5"/>
  <c r="AB57" i="5"/>
  <c r="M28" i="2"/>
  <c r="AD57" i="5" l="1"/>
  <c r="F26" i="2"/>
  <c r="E26" i="2"/>
  <c r="D26" i="2"/>
  <c r="O21" i="4"/>
  <c r="O25" i="4" s="1"/>
  <c r="N21" i="4"/>
  <c r="N25" i="4" s="1"/>
  <c r="M21" i="4"/>
  <c r="M25" i="4" s="1"/>
  <c r="L21" i="4"/>
  <c r="L23" i="4" s="1"/>
  <c r="K21" i="4"/>
  <c r="K23" i="4" s="1"/>
  <c r="J21" i="4"/>
  <c r="J23" i="4" s="1"/>
  <c r="I21" i="4"/>
  <c r="I23" i="4" s="1"/>
  <c r="H21" i="4"/>
  <c r="H23" i="4" s="1"/>
  <c r="G21" i="4"/>
  <c r="G23" i="4" s="1"/>
  <c r="F21" i="4"/>
  <c r="F25" i="4" s="1"/>
  <c r="E21" i="4"/>
  <c r="E23" i="4" s="1"/>
  <c r="D21" i="4"/>
  <c r="D23" i="4" s="1"/>
  <c r="M23" i="4" l="1"/>
  <c r="N23" i="4"/>
  <c r="D25" i="4"/>
  <c r="E25" i="4"/>
  <c r="O23" i="4"/>
  <c r="H25" i="4"/>
  <c r="I25" i="4"/>
  <c r="G25" i="4"/>
  <c r="F23" i="4"/>
  <c r="P23" i="4" s="1"/>
  <c r="P21" i="4"/>
  <c r="J25" i="4"/>
  <c r="K25" i="4"/>
  <c r="L25" i="4"/>
  <c r="P26" i="2" l="1"/>
  <c r="P28" i="2" s="1"/>
  <c r="O26" i="2"/>
  <c r="O28" i="2" s="1"/>
  <c r="N26" i="2"/>
  <c r="N28" i="2" s="1"/>
  <c r="L26" i="2"/>
  <c r="L28" i="2" s="1"/>
  <c r="K26" i="2"/>
  <c r="K28" i="2" s="1"/>
  <c r="J26" i="2"/>
  <c r="J28" i="2" s="1"/>
  <c r="I26" i="2"/>
  <c r="I28" i="2" s="1"/>
  <c r="H26" i="2"/>
  <c r="H28" i="2" s="1"/>
  <c r="G26" i="2"/>
  <c r="G28" i="2" s="1"/>
  <c r="F28" i="2"/>
  <c r="E28" i="2"/>
  <c r="D28" i="2"/>
  <c r="Q28" i="2" l="1"/>
  <c r="D30" i="2"/>
  <c r="N30" i="2"/>
  <c r="I30" i="2"/>
  <c r="L30" i="2"/>
  <c r="P30" i="2"/>
  <c r="O30" i="2"/>
  <c r="K30" i="2"/>
  <c r="J30" i="2"/>
  <c r="H30" i="2"/>
  <c r="G30" i="2"/>
  <c r="F30" i="2"/>
  <c r="E30" i="2"/>
  <c r="Q26" i="2"/>
  <c r="D17" i="1" l="1"/>
  <c r="E17" i="1"/>
  <c r="E19" i="1" s="1"/>
  <c r="F17" i="1"/>
  <c r="F19" i="1" s="1"/>
  <c r="G17" i="1"/>
  <c r="G19" i="1" s="1"/>
  <c r="H17" i="1"/>
  <c r="I17" i="1"/>
  <c r="I19" i="1" s="1"/>
  <c r="J17" i="1"/>
  <c r="J19" i="1" s="1"/>
  <c r="K17" i="1"/>
  <c r="K19" i="1" s="1"/>
  <c r="L17" i="1"/>
  <c r="D19" i="1"/>
  <c r="H19" i="1"/>
  <c r="L19" i="1"/>
  <c r="AJ52" i="22" l="1"/>
  <c r="BF52" i="22" s="1"/>
  <c r="AJ54" i="22" l="1"/>
  <c r="BF54" i="22" s="1"/>
</calcChain>
</file>

<file path=xl/sharedStrings.xml><?xml version="1.0" encoding="utf-8"?>
<sst xmlns="http://schemas.openxmlformats.org/spreadsheetml/2006/main" count="4021" uniqueCount="349">
  <si>
    <t>Requirement - PTT e-Provident fund Enhancement 2024</t>
  </si>
  <si>
    <t>ลำดับ</t>
  </si>
  <si>
    <t>รายละเอียดการปรับปรุงระบบ</t>
  </si>
  <si>
    <t xml:space="preserve">PM </t>
  </si>
  <si>
    <t>BA</t>
  </si>
  <si>
    <t>SR SA</t>
  </si>
  <si>
    <t xml:space="preserve">SR dev </t>
  </si>
  <si>
    <t>tester</t>
  </si>
  <si>
    <t>JR wso2</t>
  </si>
  <si>
    <t>SR wso2</t>
  </si>
  <si>
    <t>JR onetrust</t>
  </si>
  <si>
    <t>security</t>
  </si>
  <si>
    <t>เพิ่มเมนูข้อมูลนโยบายข้อมูลส่วนบุคคล (PDPA)</t>
  </si>
  <si>
    <t>เพิ่มหน้าจอนโยบายข้อมูลส่วนบุคคลสำหรับพนักงาน</t>
  </si>
  <si>
    <t>เพิ่มหน้าจอนโยบายข้อมูลส่วนบุคคลสำหรับพนักงาน HR Admin</t>
  </si>
  <si>
    <t xml:space="preserve">พัฒนาระบบให้สามารถจัดการข้อมูลงบการเงินของกองทุน(กช. 1.1,1.2) </t>
  </si>
  <si>
    <t>เพิ่มหน้าจอสำหรับ HR Admin ให้สามารถจัดการ เพิ่ม แก้ไข/ลบ/ข้อมูล กช. โดยการนำข้อมูลเข้าแบบรายเดือนได้</t>
  </si>
  <si>
    <t>เพิ่มหน้าจอสำหรับ HR Admin ให้สามารถดูรายงานงบการเงินของกองทุน</t>
  </si>
  <si>
    <t>เพิ่มหน้าจอสำหรับพนักงานให้สามารถดูรายงานงบการเงินของกองทุน</t>
  </si>
  <si>
    <t>พัฒนาระบบเพื่อรองรับนโยบายใหม่</t>
  </si>
  <si>
    <t>เพิ่มข้อมูลในส่วนของ web ให้รองรับ</t>
  </si>
  <si>
    <t>เพิ่มข้อมูลในส่วนของ SAP ให้รองรับ</t>
  </si>
  <si>
    <t>พัฒนาระบบให้สามารถจัดการข้อมูลหรือข่าวประกาศ</t>
  </si>
  <si>
    <t>เพิ่มหน้าจอข่าวประกาศสำหรับพนักงาน</t>
  </si>
  <si>
    <t>เพิ่มหน้าจอในการจัดการ แก้ไข เพิ่ม ข่าวประกาศสำหรับพนักงาน HR Admin</t>
  </si>
  <si>
    <t>พัฒนาระบบให้เก็บข้อมูลที่จำเป็นกรณีพนักงานโอนย้ายงานจากบริษัทในเครือ เช่น การนับอายุงานต่อเนื่อง 
- การจัดเก็บเอกสารที่ได้เรื่องมาจาก.... 
-  id ,name 
- หมายเหตุ
- แนบเอกสารได้</t>
  </si>
  <si>
    <t>total</t>
  </si>
  <si>
    <t>cost rate</t>
  </si>
  <si>
    <t>Total Cost</t>
  </si>
  <si>
    <t>no</t>
  </si>
  <si>
    <t>detail</t>
  </si>
  <si>
    <t xml:space="preserve"> JR BA</t>
  </si>
  <si>
    <t xml:space="preserve">jr dev </t>
  </si>
  <si>
    <t>SR Consult</t>
  </si>
  <si>
    <t>abaper</t>
  </si>
  <si>
    <t>IFM/O</t>
  </si>
  <si>
    <t>Proposal</t>
  </si>
  <si>
    <t>Kick off &amp; Monitoring</t>
  </si>
  <si>
    <t>Requirement</t>
  </si>
  <si>
    <t>Ea Process</t>
  </si>
  <si>
    <t>Team CA&amp;A manday</t>
  </si>
  <si>
    <t>CA&amp;A Phase1 (Authenication)  : พนักงาน ยัง Active อยู่ไหม ยังไม่ได้แยก role</t>
  </si>
  <si>
    <t xml:space="preserve">มีความประสงค์ที่จะพัฒนาและปรับปรุงการใช้งานระบบ PTT e-Provident Fund และ Application ที่เกี่ยวข้องทั้งหมด ตามความเห็นของคณะกรรมการกองทุนฯในอนาคต ในการรองรับการเปลี่ยนนโยบายการลงทุนของพนักงาน โดยพนักงาน 1 ท่านสามารถคงเงินทางเลือกเดิม และลงทุนเงินใหม่ในทางเลือกใหม่ได้  </t>
  </si>
  <si>
    <t>ตอนเปลี่ยนทางเลือกพนง.ต้องระบุว่าเงินเดิมจะโยกที่กองใหม่หรือยงไว้ที่กองเดิม</t>
  </si>
  <si>
    <t>ปรับแก้ไขการส่งข้อมูล ให้กับระบบ ต่างๆ( store ,Webservice)</t>
  </si>
  <si>
    <t>interface Me on web</t>
  </si>
  <si>
    <t>interface Me on Mobile</t>
  </si>
  <si>
    <t>interface Employee Happiness Journey</t>
  </si>
  <si>
    <t>interface wealth land</t>
  </si>
  <si>
    <t>interface Chatbot</t>
  </si>
  <si>
    <t>หน้า Send to sap(อนุมัติ)</t>
  </si>
  <si>
    <t>ปรับแก้รายงานเพื่อแสดงข้อมูลเรื่องการแยกกองเงิน</t>
  </si>
  <si>
    <t>SAP HCM</t>
  </si>
  <si>
    <t>unittest</t>
  </si>
  <si>
    <t>sit</t>
  </si>
  <si>
    <t>uat</t>
  </si>
  <si>
    <t>scan source</t>
  </si>
  <si>
    <t xml:space="preserve">scansecurity </t>
  </si>
  <si>
    <t>go live</t>
  </si>
  <si>
    <t xml:space="preserve">เพิ่มทางเลือกใหม่ รูปแบบทางเลือกทุนที่6,7,8,9 เป็นต้น( config,report, การ read-write from Sap) </t>
  </si>
  <si>
    <t>SAP</t>
  </si>
  <si>
    <t>CA&amp;A</t>
  </si>
  <si>
    <t>ME Web (SQL Server)</t>
  </si>
  <si>
    <t>Me on Mobile</t>
  </si>
  <si>
    <t>Wealth Land</t>
  </si>
  <si>
    <t>HR  Chatbot</t>
  </si>
  <si>
    <t>ระบบ SAP PI/PO (ZPIHRI061)</t>
  </si>
  <si>
    <t>SR dev 2-3 คน</t>
  </si>
  <si>
    <t>UX/UI</t>
  </si>
  <si>
    <t>JR PIS</t>
  </si>
  <si>
    <t>SAP CPI</t>
  </si>
  <si>
    <t>SR Consult (SAP)</t>
  </si>
  <si>
    <t>ATA/S</t>
  </si>
  <si>
    <t>TC
ให้คำปรึกษา</t>
  </si>
  <si>
    <t>SR BA</t>
  </si>
  <si>
    <t xml:space="preserve">JR dev </t>
  </si>
  <si>
    <t>JR IFM/O</t>
  </si>
  <si>
    <t>Security</t>
  </si>
  <si>
    <t>JR SAP PI</t>
  </si>
  <si>
    <t xml:space="preserve">Kick off  </t>
  </si>
  <si>
    <t>Monitoring</t>
  </si>
  <si>
    <t>EA Process</t>
  </si>
  <si>
    <t>Team Lecagy Azure AD login, GET authorize, CA&amp;A
- Login AD (User PTT)
- Interface ตรวจสอบ Active/Not Active ที่ Azure AD
- Interface ขอ JWT Token ที่ CA&amp;A
- Interface ขอ Secret ที่ CA&amp;A
- Interface ขอ Access Token ที่ Graph API โดยส่ง Token กับ Secret ที่ได้จาก CA&amp;A
- Interface ขอข้อมูล User และ Role ที่ CA&amp;A โดยส่ง Access Token ที่ได้จาก Graph API</t>
  </si>
  <si>
    <t>เพิ่มทางเลือกใหม่ (ทางเลือก DIY) + เพิ่มนโยบาย การ Interface กับ SAP</t>
  </si>
  <si>
    <t xml:space="preserve">SAP - config นโยบาย </t>
  </si>
  <si>
    <t>แนวทางที่ 1: ทางเลือก 9+1 (DIY)
- New Infotype สำหรับเก็บข้อมูล % ของพนักงาน option 10 รายคน
- New Interface สำหรับ ปรับปรุงข้อมูล Infotype ใหม่
- ปรับปรุงสิทธิ์สำหรับ user interface และ user log in เพื่อรองรับ Infotype ใหม่
- ปรับปรุงรายงานเงินสะสมเข้ากองทุนสำรองเลี้ยงชีพ  ZHRBNR011</t>
  </si>
  <si>
    <t>ระบบ e-Provident Fund</t>
  </si>
  <si>
    <t>พัฒนาส่วนที่ต้องส่งข้อมูลทางเลือก DIY + นโยบายใหม่ให้ SAP</t>
  </si>
  <si>
    <t>เรื่องคงเงิน</t>
  </si>
  <si>
    <t>มีความประสงค์ที่จะพัฒนาและปรับปรุงการใช้งานระบบ PTT e-Provident Fund และ Application ที่เกี่ยวข้องทั้งหมด ตามความเห็นของคณะกรรมการกองทุนฯในอนาคต ในการรองรับการเปลี่ยนนโยบายการลงทุนของพนักงาน โดยพนักงาน 1 ท่านสามารถคงเงินทางเลือกเดิม และลงทุนเงินใหม่ในทางเลือกใหม่ได้</t>
  </si>
  <si>
    <t xml:space="preserve">Upgrade Framework -&gt; .net FW 4.8.1(AS IS .NET FW 2.0.0) </t>
  </si>
  <si>
    <t>Upgrade SQL Server Database-&gt; Version 2022 (AS IS Version 2005(PRD), 2008 R2(Test Power))
ทีม Lecagy
- ตรวจสอบว่าการที่เรา Upgrade Version Server เดิมของระบบอื่นๆ ที่อ่าน สามารถมาอ่านข้อมูลที่ Server ใหม่ได้หรือป่าว
- Request New Server ที่ D-Cloud
- Allow Firewall (Server Web มา Server Database)
- ตรวจสอบ User ของระบบที่มี Interface
- ตรวจสอบการทำงานของ View/Stored
- เปลี่ยน Connection String ไปที่ New SQL Server
- Retest + Retest Interface กับ SAP PI (ZPIHRI061)</t>
  </si>
  <si>
    <t>Security
- Acunetix: Medium 1 
- Coverity: V.High 29 High 5
- Blackduck: Security Risk 1 License Risk 2 Operational Risk 2</t>
  </si>
  <si>
    <t>New Design (55 หน้า) V2</t>
  </si>
  <si>
    <t>Interfare กับระบบอื่นๆ (ทดสอบเนื่องจากมีการย้าย Database)</t>
  </si>
  <si>
    <t>ระบบ Me Web</t>
  </si>
  <si>
    <t>ระบบ Me on Mobile</t>
  </si>
  <si>
    <t>ระบบ Wealth Land</t>
  </si>
  <si>
    <t>ระบบ HR  Chatbot</t>
  </si>
  <si>
    <t>แก้ไข Interface ผ่าน PI/PO ไปผ่าน WSO2</t>
  </si>
  <si>
    <t>ZPIHRI029 (ZRFC_READ_TABLE: 0366, 0021, 0187)
อ่านข้อมูลกองทุน และผู้รับผลประโยชน์</t>
  </si>
  <si>
    <t>ZHRHRI001 (ZHRBNI013: 0366, ZHRPEI046: 0021)
Update ข้อมูลกองทุน และผู้รับผลประโยชน์</t>
  </si>
  <si>
    <t>ZPIHRI061 ไม่กระทบกับระบบ เนื่องจากเป็นขาที่ PI/PO มาบันทึกข้อมูลที่ Database
เขียน API ให้ WSO2 เรียกเพื่อบันทึกข้อมูลลง Database เอง ซึ่งมีทั้งหมด 2 Table
- PFUND_Beneficiary
- PFUND_Personel</t>
  </si>
  <si>
    <t>ทดสอบการส่งข้อมูลกับ HR Chat Bot (LEG-LEG) 
- ZPIHRI062
- ZPIHRI050
- ZPIHRI049
- ZPIHRI048
- ZPIHRI047
- ZPIHRI046</t>
  </si>
  <si>
    <t>SIT</t>
  </si>
  <si>
    <t>UAT</t>
  </si>
  <si>
    <t>go live &amp; Support After Go live</t>
  </si>
  <si>
    <t xml:space="preserve">Time line
4 month (Dev 2 คน)
</t>
  </si>
  <si>
    <t>SR dev</t>
  </si>
  <si>
    <t>ZPIHRI029 (ZRFC_READ_TABLE: 0366, 0021, 0187)
อ่านข้อมูลกองทุน และผู้รับผลประโยชน์
มีการแก้ไขในส่วนของ Fontend และ Backend สำหรับการดึงข้อมูลกองทุน และผู้รับผลประโยชน์มาแสดงที่หน้าสมัครสมาชิก, เปลี่ยนแปลงรูปแบบการลงทุน, อัตราเงินสะสม, ผู้รับผลประโยชน์, ลาออกจากกองทุน</t>
  </si>
  <si>
    <t>ZHRHRI001 (ZHRBNI013: 0366, ZHRPEI046: 0021)
Update ข้อมูลกองทุน และผู้รับผลประโยชน์
มีการแก้ไขในส่วนของ Fontend และ Backend สำหรับการส่งข้อมูลกองทุน และผู้รับผลประโยชน์ เข้า SAP สำหรับ Send to SAP ของการเปลี่ยนแปลงรูปแบบการลงทุน, เปลี่ยนแปลงอัตราสะสม, ผู้รับผลประโยชน์, สมัครสมาชิก, ลาออกจากกองทุน</t>
  </si>
  <si>
    <t>ZPIHRI061 เขียน API ให้ WSO2 เรียกเพื่อบันทึกข้อมูลลง Database เอง ซึ่งมีทั้งหมด 2 Table
- PFUND_Beneficiary
- PFUND_Personel</t>
  </si>
  <si>
    <t>qa process + review source code manual</t>
  </si>
  <si>
    <t>risk</t>
  </si>
  <si>
    <t>ระบบ SAP PI/PO (ทดสอบกับ Chatbot)</t>
  </si>
  <si>
    <t>แนวทางที่ 1: ทางเลือก 9+1 (DIY)
- New Infotype สำหรับเก็บข้อมูล % ของพนักงาน option 10 รายคน (Infotype 9022)
- New Interface สำหรับ ปรับปรุงข้อมูล Infotype ใหม่ (ZCPIHRI003 มีใช้อยู่แล้ว)
- ปรับปรุงสิทธิ์สำหรับ user interface และ user log in เพื่อรองรับ Infotype ใหม่
- ปรับปรุงรายงานเงินสะสมเข้ากองทุนสำรองเลี้ยงชีพ  ZHRBNR011</t>
  </si>
  <si>
    <t>Config นโยบาย กองทุนรวมทองคำ</t>
  </si>
  <si>
    <t>ลาออกจากกองทุนปิด Infotype  366 Auto</t>
  </si>
  <si>
    <t>สมัครสมาชิกกองทุน Insert Infotype 0021, 0187 Auto</t>
  </si>
  <si>
    <r>
      <t>ลาออกจากกองทุนปิด Infotype 366 Auto</t>
    </r>
    <r>
      <rPr>
        <sz val="11"/>
        <color rgb="FFFF0000"/>
        <rFont val="Calibri"/>
        <family val="2"/>
      </rPr>
      <t xml:space="preserve"> (New)</t>
    </r>
  </si>
  <si>
    <r>
      <t>สมัครสมาชิกกองทุน Insert Infotype 0021, 0187 Auto</t>
    </r>
    <r>
      <rPr>
        <sz val="11"/>
        <color rgb="FFFF0000"/>
        <rFont val="Calibri"/>
        <family val="2"/>
      </rPr>
      <t>(New)</t>
    </r>
  </si>
  <si>
    <r>
      <t xml:space="preserve">เพิ่ิ่มรายงานข้อมูลการเปลี่ยนแปลงทางเลือกการลงทุน </t>
    </r>
    <r>
      <rPr>
        <sz val="11"/>
        <color rgb="FFFF0000"/>
        <rFont val="Calibri"/>
        <family val="2"/>
      </rPr>
      <t>(New)</t>
    </r>
  </si>
  <si>
    <t>Interface กับระบบอื่นๆ</t>
  </si>
  <si>
    <t>Risk</t>
  </si>
  <si>
    <t>x</t>
  </si>
  <si>
    <t>ชม.</t>
  </si>
  <si>
    <t>Time line
2 month</t>
  </si>
  <si>
    <t>team</t>
  </si>
  <si>
    <t>Role</t>
  </si>
  <si>
    <t>Mandays</t>
  </si>
  <si>
    <t>rate</t>
  </si>
  <si>
    <t>cost</t>
  </si>
  <si>
    <t>ชื่อ-สกุล</t>
  </si>
  <si>
    <t>ตำแหน่ง</t>
  </si>
  <si>
    <t>จำนวนวัน (Full-time Equivalent)</t>
  </si>
  <si>
    <t>ค่าบริการ  ต่อวัน (บาท)</t>
  </si>
  <si>
    <t>ค่าบริการรวม (บาท)</t>
  </si>
  <si>
    <t>ALL</t>
  </si>
  <si>
    <t>JR PM</t>
  </si>
  <si>
    <t>คุณเกษรินทร์ กิจศิริเจริญชัย</t>
  </si>
  <si>
    <t>Project Manager</t>
  </si>
  <si>
    <t xml:space="preserve">Eprovident </t>
  </si>
  <si>
    <t>JR BA</t>
  </si>
  <si>
    <t>คุณวันวิสา แสงนวกิจ</t>
  </si>
  <si>
    <t>Junior Business Analyst</t>
  </si>
  <si>
    <t>คุณธีรพงศ์ บุญโชติ</t>
  </si>
  <si>
    <t>Senior System Analyst</t>
  </si>
  <si>
    <t>คุณกิตติมศักดิ์ ประพันธ์บัณฑิต</t>
  </si>
  <si>
    <t>Senior Developer</t>
  </si>
  <si>
    <t>คุณช่อผกา วรรณา</t>
  </si>
  <si>
    <t>Tester</t>
  </si>
  <si>
    <t>คุณ</t>
  </si>
  <si>
    <t>Senior SAP Consult</t>
  </si>
  <si>
    <t>Abaper</t>
  </si>
  <si>
    <t>คุณดวงใจ จันทร์นุ่ม</t>
  </si>
  <si>
    <t>ME on web</t>
  </si>
  <si>
    <t>คุณกัลยา โรจนวลี</t>
  </si>
  <si>
    <t>Senior Business Analyst</t>
  </si>
  <si>
    <t>คุณเอมอร ดาศรี</t>
  </si>
  <si>
    <t>คุณเวียงแก้ว บัวคำภา</t>
  </si>
  <si>
    <t>Me on Mobile &amp; Wealth Land</t>
  </si>
  <si>
    <t>JR DEV</t>
  </si>
  <si>
    <t>คุณกรวิชญ์ มะหะหมัด</t>
  </si>
  <si>
    <t>Junior Developer</t>
  </si>
  <si>
    <t>HR Chat bot</t>
  </si>
  <si>
    <t>คุณณัฎฐนิช วิวัฒน์บุตรสิริ</t>
  </si>
  <si>
    <t>JR WSO2</t>
  </si>
  <si>
    <t>คุณภานุวัฒน์ ไผ่ตาแก้ว</t>
  </si>
  <si>
    <t>Junior WSO2</t>
  </si>
  <si>
    <t>SR WSO2</t>
  </si>
  <si>
    <t>คุณธวิทย์ เชิดเกียรติสกุล</t>
  </si>
  <si>
    <t>Senior WSO2</t>
  </si>
  <si>
    <t>JR SAP PIPO</t>
  </si>
  <si>
    <t>คุณศุภฤกษ์ วุฒิชัยประดิษฐ์</t>
  </si>
  <si>
    <t>Junior SAP PIPO</t>
  </si>
  <si>
    <t>คุณชมพูนุท ไชยคุปต์</t>
  </si>
  <si>
    <t>Junior Systems Engineer</t>
  </si>
  <si>
    <r>
      <t>คุณ</t>
    </r>
    <r>
      <rPr>
        <sz val="14"/>
        <color rgb="FF000000"/>
        <rFont val="Cordia New"/>
        <family val="2"/>
      </rPr>
      <t>ธนาดล เลิศศักดิ์เจริญกุล</t>
    </r>
  </si>
  <si>
    <t>Security Team</t>
  </si>
  <si>
    <r>
      <rPr>
        <sz val="11"/>
        <color rgb="FF000000"/>
        <rFont val="Calibri"/>
        <family val="2"/>
      </rPr>
      <t>ลาออกจากกองทุนปิด Infotype 366 Auto</t>
    </r>
    <r>
      <rPr>
        <sz val="11"/>
        <color rgb="FFFF0000"/>
        <rFont val="Calibri"/>
        <family val="2"/>
      </rPr>
      <t xml:space="preserve"> (New)</t>
    </r>
  </si>
  <si>
    <r>
      <rPr>
        <sz val="11"/>
        <color rgb="FF000000"/>
        <rFont val="Calibri"/>
        <family val="2"/>
      </rPr>
      <t>สมัครสมาชิกกองทุน Insert Infotype 0021, 0187 Auto</t>
    </r>
    <r>
      <rPr>
        <sz val="11"/>
        <color rgb="FFFF0000"/>
        <rFont val="Calibri"/>
        <family val="2"/>
      </rPr>
      <t>(New)</t>
    </r>
  </si>
  <si>
    <r>
      <rPr>
        <sz val="11"/>
        <color rgb="FF000000"/>
        <rFont val="Calibri"/>
        <family val="2"/>
      </rPr>
      <t xml:space="preserve">เพิ่ิ่มรายงานข้อมูลการเปลี่ยนแปลงทางเลือกการลงทุน </t>
    </r>
    <r>
      <rPr>
        <sz val="11"/>
        <color rgb="FFFF0000"/>
        <rFont val="Calibri"/>
        <family val="2"/>
      </rPr>
      <t>(New)</t>
    </r>
  </si>
  <si>
    <t>คุณจรูญศักดิ์ จวงจันทร์เพ็ญ</t>
  </si>
  <si>
    <t>คุณธนาดล เลิศศักดิ์เจริญกุล</t>
  </si>
  <si>
    <t>รวมค่าดำเนินโครงการ</t>
  </si>
  <si>
    <t xml:space="preserve">Upgrade Framework &amp; New Design -&gt; .net FW 4.8.1(AS IS .NET FW 2.0.0) </t>
  </si>
  <si>
    <t>Security
- Acunetix: Medium 1, Low 1
- Coverity Web: V.High 240, High 312, Medium 41
- Coverity API: V.High 14, High 24, Medium 2
- Blackduck Web: Security Risk 0 License Risk 1 Operational Risk 1
- Blackduck API: Security Risk 1 License Risk 0 Operational Risk 16</t>
  </si>
  <si>
    <t>enh2026(Interface SAP DIY) (Re)</t>
  </si>
  <si>
    <t>Basis
ขอเพิ่ม</t>
  </si>
  <si>
    <t>EA</t>
  </si>
  <si>
    <t>JR SA</t>
  </si>
  <si>
    <t>Interface กับระบบอื่นๆ (รวมไปที่ข้อ 7.2)</t>
  </si>
  <si>
    <t>Add Scope</t>
  </si>
  <si>
    <t>เพิ่มรายงานอัตราเงินสะสม</t>
  </si>
  <si>
    <t>รายงานอัตราเงินสะสม ตาม Format ที่พี่แอนส่งให้</t>
  </si>
  <si>
    <t>เปลี่ยนแปลงลำดับทางเลือก</t>
  </si>
  <si>
    <t>เพิ่มทางเลือกที่ 10 ลงทุนในตราสารหนี้ 40% และลงทุนในตราสารทุน (หุ้นต่างประเทศ) 60%</t>
  </si>
  <si>
    <t>ทางเลือก DIY (ZZZZZZ)</t>
  </si>
  <si>
    <t>แก้ไข 3 Stored สำหรับส่งข้อมูลให้ HR Chatbot
- BOT_GETYIELDFUND (กราฟ)
- BOT_GETPFUND
- BOT_GETPFNUM</t>
  </si>
  <si>
    <t>แก้ไขจากการเชื่อมต่อผ่าน PI/PO เป็น WSO2</t>
  </si>
  <si>
    <t>ZPIHRI029 (SAP-LEG) (ZRFC_READ_TABLE: 0366, 0021, 0187)
อ่านข้อมูลกองทุน และผู้รับผลประโยชน์
มีการแก้ไขในส่วนของ Fontend และ Backend สำหรับการดึงข้อมูลกองทุน และผู้รับผลประโยชน์มาแสดงที่หน้าสมัครสมาชิก, เปลี่ยนแปลงรูปแบบการลงทุน, อัตราเงินสะสม, ผู้รับผลประโยชน์, ลาออกจากกองทุน</t>
  </si>
  <si>
    <t>ZHRHRI001 (SAP-LEG) (ZHRBNI013: 0366, ZHRPEI046: 0021)
Update ข้อมูลกองทุน และผู้รับผลประโยชน์
มีการแก้ไขในส่วนของ Fontend และ Backend สำหรับการส่งข้อมูลกองทุน และผู้รับผลประโยชน์ เข้า SAP สำหรับ Send to SAP ของการเปลี่ยนแปลงรูปแบบการลงทุน, เปลี่ยนแปลงอัตราสะสม, ผู้รับผลประโยชน์, สมัครสมาชิก, ลาออกจากกองทุน</t>
  </si>
  <si>
    <t>ZPIHRI061 (SAP-LEG) SAP Gen Text File วางที่ Share Path เดิม ให้ CPI อ่านข้อมูล Textfile (PF_PAID_AMT.txt,
PF_CONT_AMT.txt) ส่งให้ระบบ e-Provident Fund ผ่าน WSO2 โดยทางระบบ e-Provident Fund จะทำ API Provider จำนวน 1 เส้น เพื่อบันทึกข้อมูลลง Database ของระบบกองทุนสำรองเลี้ยงชีพ (e-Provident Fund) ค่ะ ซึ่งมีทั้งหมด 2 Table
- PFUND_Beneficiary
- PFUND_Personel</t>
  </si>
  <si>
    <t>ZPIHRI046 (LEG-LEG)</t>
  </si>
  <si>
    <t xml:space="preserve">HR Chatbot กระทบเรื่องเปลี่ยน PI เป็น WSO2 (เปลี่ยนจาก Basic Auth เป็น Oauth2) </t>
  </si>
  <si>
    <t>ZPIHRI047 (LEG-LEG)</t>
  </si>
  <si>
    <t>HR Chatbot กระทบเรื่องเปลี่ยน PI เป็น WSO2 (ไม่ได้ใช้งาน)</t>
  </si>
  <si>
    <t>ZPIHRI048 (LEG-LEG)</t>
  </si>
  <si>
    <t>ZPIHRI049 (LEG-LEG)</t>
  </si>
  <si>
    <t>ZPIHRI050 (LEG-LEG)</t>
  </si>
  <si>
    <t>ZPIHRI062 (LEG-LEG)</t>
  </si>
  <si>
    <t>เล่มหลัก</t>
  </si>
  <si>
    <t>CR</t>
  </si>
  <si>
    <t>รายละเอียด</t>
  </si>
  <si>
    <t>manday</t>
  </si>
  <si>
    <t>timeline</t>
  </si>
  <si>
    <t xml:space="preserve"> CR ส่วนของ user</t>
  </si>
  <si>
    <t>CR CPI</t>
  </si>
  <si>
    <t xml:space="preserve"> เล่มหลัก</t>
  </si>
  <si>
    <t>2 month</t>
  </si>
  <si>
    <t>ระบบ</t>
  </si>
  <si>
    <t>role</t>
  </si>
  <si>
    <t>0.5 month</t>
  </si>
  <si>
    <t>Pm</t>
  </si>
  <si>
    <t>1.5 month</t>
  </si>
  <si>
    <t>รอ cpi แจ้ง mds</t>
  </si>
  <si>
    <t>eprovidentfund</t>
  </si>
  <si>
    <t>BA/Tester</t>
  </si>
  <si>
    <t>SR SA/DEV</t>
  </si>
  <si>
    <t>sap</t>
  </si>
  <si>
    <t>Basis</t>
  </si>
  <si>
    <t>SR DEV</t>
  </si>
  <si>
    <t>SR SAP CPI</t>
  </si>
  <si>
    <t>security(4 ระบบ)</t>
  </si>
  <si>
    <t>ZPIHRI061 (SAP-LEG) SAP Gen Text File วางที่ Share Path ให้ CPI อ่านข้อมูล Textfile (PF_PAID_AMT.txt,
PF_CONT_AMT.txt) ส่งให้ระบบ e-Provident Fund ผ่าน WSO2 โดยทางระบบ e-Provident Fund จะทำ API Provider จำนวน 1 เส้น เพื่อบันทึกข้อมูลลง Database ของระบบกองทุนสำรองเลี้ยงชีพ (e-Provident Fund) ค่ะ ซึ่งมีทั้งหมด 2 Table
- PFUND_Beneficiary
- PFUND_Personel</t>
  </si>
  <si>
    <t>QA Process</t>
  </si>
  <si>
    <t>e-Provident Fund</t>
  </si>
  <si>
    <t>Main/CR</t>
  </si>
  <si>
    <t>Phase</t>
  </si>
  <si>
    <t>jr dev (Need : Jun)</t>
  </si>
  <si>
    <t>BASIS</t>
  </si>
  <si>
    <t xml:space="preserve"> JR BA
Weangkaew Buakhampa</t>
  </si>
  <si>
    <t>SR dev 
Pitiphat Maprajak</t>
  </si>
  <si>
    <t>JR dev 
Thaspoom Suntiyotin</t>
  </si>
  <si>
    <t>SR Dev
Narut Tripopnat</t>
  </si>
  <si>
    <t>JR BA
Nutthanit Wiwatbutsiri</t>
  </si>
  <si>
    <t>Sourcecode scan
Kannika Pengpol</t>
  </si>
  <si>
    <t>all</t>
  </si>
  <si>
    <t>main</t>
  </si>
  <si>
    <t>Phase1</t>
  </si>
  <si>
    <t>cr</t>
  </si>
  <si>
    <t>Phase2</t>
  </si>
  <si>
    <t>ระยะเวลา 6 months
3 Milestone: 30,90,180 วัน</t>
  </si>
  <si>
    <t>epro</t>
  </si>
  <si>
    <t>คุณจำรัส พันธุ์ขุนทด</t>
  </si>
  <si>
    <t>คุณชนากานต์ โฮ่กี่</t>
  </si>
  <si>
    <t>PIS</t>
  </si>
  <si>
    <t>คุณเกียรติศักดิ์ บรรเลงจิต</t>
  </si>
  <si>
    <t>Senior SAP Basis</t>
  </si>
  <si>
    <t>คุณอิษฎา จิตรโชติ</t>
  </si>
  <si>
    <t>Technology Center</t>
  </si>
  <si>
    <t>TC</t>
  </si>
  <si>
    <t>ME web</t>
  </si>
  <si>
    <t>คุณประสพโชค โค้วตระกูล</t>
  </si>
  <si>
    <t>sr dev</t>
  </si>
  <si>
    <t>me mobile</t>
  </si>
  <si>
    <t>คุณปิติภัทร มาประจักษ์</t>
  </si>
  <si>
    <t>คุณทัศภูมิ สันธิโยธิน</t>
  </si>
  <si>
    <t>JR Dev</t>
  </si>
  <si>
    <t>คุณนรุตม์ ตรีภพนาถ</t>
  </si>
  <si>
    <t>wealt</t>
  </si>
  <si>
    <t>คุณกรรณิการ์ เพ็งพล</t>
  </si>
  <si>
    <t>Junior SAP P/IPO</t>
  </si>
  <si>
    <t>chatbot</t>
  </si>
  <si>
    <t>dev scancode</t>
  </si>
  <si>
    <t>SAP PIPO</t>
  </si>
  <si>
    <t>HR Chatbot</t>
  </si>
  <si>
    <t>กัลยา โรจนวลี</t>
  </si>
  <si>
    <t>เอมอร ดาศรี</t>
  </si>
  <si>
    <t>ประสพโชค โค้วตระกูล</t>
  </si>
  <si>
    <t>ทัศภูมิ สันธิโยธิน</t>
  </si>
  <si>
    <t>เวียงแก้ว บัวคำภา</t>
  </si>
  <si>
    <t>กรวิชญ์ มะหะหมัด</t>
  </si>
  <si>
    <t>ปิติภัทร มาประจักษ์</t>
  </si>
  <si>
    <t>SR dev 2 คน</t>
  </si>
  <si>
    <t>Dev UI</t>
  </si>
  <si>
    <t>Dev API</t>
  </si>
  <si>
    <t xml:space="preserve"> Monitoring</t>
  </si>
  <si>
    <t>Team e-pro CA&amp;A (Login &amp; Role)</t>
  </si>
  <si>
    <t>Azure Ad login</t>
  </si>
  <si>
    <t>*</t>
  </si>
  <si>
    <t>6.10</t>
  </si>
  <si>
    <t xml:space="preserve">แนวทางที่ 2: ทางเลือก DIY (100%)
แนวทางที่ 1 + เพิ่ม
- Data conversion ปรับปรุงข้อมูลกองทุนของพนักงานทุกคนให้เป็นทางเลือก DIY และปรับปรุงข้อมูลใน Infotype ใหม่โดยที่ระบุ % ของแต่ละนโยบายตามทางเลือกเดิมเพื่อเป็นข้อมูลตั้งต้น และให้พนักงานแก้ไข % ที่ต้องการจากหน้า e-Provident Fund อีกครั้ง </t>
  </si>
  <si>
    <t>Interfare กับระบบอื่นๆ</t>
  </si>
  <si>
    <t>interface Me on web: E-ProvidentFund</t>
  </si>
  <si>
    <t xml:space="preserve">interface Me on web: ME Web
</t>
  </si>
  <si>
    <t>interface Me on Mobile: E-ProvidentFund (ส่งข้อมูล, คำนวน % ที่คาดหวัง)</t>
  </si>
  <si>
    <t>Me on mobile ปรับปรุงหน้าจอ Provident fund</t>
  </si>
  <si>
    <t xml:space="preserve">interface  Chatbot: E-ProvidentFund </t>
  </si>
  <si>
    <t xml:space="preserve">interface  Wealth Land : E-ProvidentFund </t>
  </si>
  <si>
    <t>interface Wealth Land</t>
  </si>
  <si>
    <t xml:space="preserve">Upgrade Framework -&gt; .net FW 2019(As is 2005) </t>
  </si>
  <si>
    <t>Security (Acunetix, Coverity, Blackduck)</t>
  </si>
  <si>
    <t>New Design (55 หน้า)V1</t>
  </si>
  <si>
    <t>New Design (55 หน้า)V2</t>
  </si>
  <si>
    <t>Time line
3.5-4 month (Dev 2) need dev  เพิ่ม</t>
  </si>
  <si>
    <r>
      <rPr>
        <sz val="11"/>
        <color rgb="FF000000"/>
        <rFont val="Calibri"/>
      </rPr>
      <t xml:space="preserve">ยกเลิกการเชื่อมต่อระหว่างระบบกองทุนสำรองเลี้ยงชีพ (e-Provident Fund) กับระบบ HR Chatbot
ปัจจุบันเชื่อมต่อผ่าน SAP PI/PO โดยมี API ดังนี้
</t>
    </r>
    <r>
      <rPr>
        <b/>
        <sz val="11"/>
        <color rgb="FF000000"/>
        <rFont val="Calibri"/>
      </rPr>
      <t xml:space="preserve">e-Provident Fund &gt; SAP PI/PO &gt; SAP
</t>
    </r>
    <r>
      <rPr>
        <sz val="11"/>
        <color rgb="FF000000"/>
        <rFont val="Calibri"/>
      </rPr>
      <t xml:space="preserve">- ZPIHRI061 สำหรับบันทึกข้อมูล SAP ที่ Databasse ระบบ e-Provident Fund 
</t>
    </r>
    <r>
      <rPr>
        <b/>
        <sz val="11"/>
        <color rgb="FF000000"/>
        <rFont val="Calibri"/>
      </rPr>
      <t xml:space="preserve">HR Chatbot &gt; SAP PI/PO &gt; e-Provident Fund
</t>
    </r>
    <r>
      <rPr>
        <sz val="11"/>
        <color rgb="FF000000"/>
        <rFont val="Calibri"/>
      </rPr>
      <t>- ZPIHRI046 ข้อมูลอัตราผลตอบแทนสะสม สำหรับทางเลือกที่ 1 – ทางเลือกที่ 9
- ZPIHRI047 ข้อมูลช่วงเวลาเปลี่ยนแปลงรูปแบบการลงทุน และอัตราสะสม
- ZPIHRI048 ข้อมูลอัตราผลตอบแทนสะสมสำหรับทางเลือกที่ 1 – ทางเลือกที่ 9 (กราฟ)
- ZPIHRI049 ข้อมูลทางเลือกที่ 1 – ทางเลือกที่ 10 (DIY)
- ZPIHRI050 ข้อมูลตัวเลือกเปอร์เซ็นต์อัตราสะสม
- ZPIHRI062 ข้อมูลผู้รับผลประโยชน์</t>
    </r>
  </si>
  <si>
    <t>Project Activity</t>
  </si>
  <si>
    <t>Month1</t>
  </si>
  <si>
    <t>Month2</t>
  </si>
  <si>
    <t>Month3</t>
  </si>
  <si>
    <t>Month4</t>
  </si>
  <si>
    <t>W1</t>
  </si>
  <si>
    <t>W2</t>
  </si>
  <si>
    <t>W3</t>
  </si>
  <si>
    <t>W4</t>
  </si>
  <si>
    <t>Get Requirement</t>
  </si>
  <si>
    <t xml:space="preserve">   - Requirement Confirmation</t>
  </si>
  <si>
    <t>PM, BA, ,SA, User</t>
  </si>
  <si>
    <t>Analysis and Design</t>
  </si>
  <si>
    <t xml:space="preserve">   - Techical Design</t>
  </si>
  <si>
    <t>PM, BA, SA, User</t>
  </si>
  <si>
    <t>Software Development</t>
  </si>
  <si>
    <t xml:space="preserve">   - Development</t>
  </si>
  <si>
    <t>Programmer</t>
  </si>
  <si>
    <t xml:space="preserve">   - Unit Test</t>
  </si>
  <si>
    <t>Programmer, Tester</t>
  </si>
  <si>
    <t>Testing</t>
  </si>
  <si>
    <t xml:space="preserve">   - Dry run</t>
  </si>
  <si>
    <t>SA, Tester</t>
  </si>
  <si>
    <t xml:space="preserve">   - Integration Test, System Test</t>
  </si>
  <si>
    <t xml:space="preserve">   - User Acceptance Testing</t>
  </si>
  <si>
    <t>PM, BA, Tester, User</t>
  </si>
  <si>
    <t xml:space="preserve">   - Security Test, Load Test</t>
  </si>
  <si>
    <t>SA, Security Test, Tester</t>
  </si>
  <si>
    <t>System Preparation</t>
  </si>
  <si>
    <t xml:space="preserve">   - Production Preparation</t>
  </si>
  <si>
    <t>PM, Infra. Team</t>
  </si>
  <si>
    <t xml:space="preserve">   - Go-Live</t>
  </si>
  <si>
    <t>PM, User</t>
  </si>
  <si>
    <t>Month5</t>
  </si>
  <si>
    <t>Phase 1</t>
  </si>
  <si>
    <t>Phase 2</t>
  </si>
  <si>
    <t>เอา sheet: enh202(Re)+security+CR-HRcb มาตั้งต้น</t>
  </si>
  <si>
    <t>แก้ไข 2 Stored สำหรับส่งข้อมูลให้ HR Chatbot
- BOT_GETPFUND
- BOT_GETPFNUM</t>
  </si>
  <si>
    <t>Junior Security</t>
  </si>
  <si>
    <r>
      <t xml:space="preserve">ระยะเวลา 5 </t>
    </r>
    <r>
      <rPr>
        <strike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charset val="222"/>
        <scheme val="minor"/>
      </rPr>
      <t xml:space="preserve"> months
3 Milestone: 30,90,180 วัน</t>
    </r>
  </si>
  <si>
    <t>คุณมีนา อุตสาหะ</t>
  </si>
  <si>
    <t xml:space="preserve">ระบบ SAP PI/PO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</si>
</sst>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0.0"/>
  </numFmts>
  <fonts count="33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b/>
      <sz val="14"/>
      <color rgb="FF0070C0"/>
      <name val="Tahoma"/>
      <family val="2"/>
    </font>
    <font>
      <sz val="10"/>
      <color theme="1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  <charset val="222"/>
      <scheme val="minor"/>
    </font>
    <font>
      <b/>
      <u val="singleAccounting"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6"/>
      <name val="Arial"/>
      <family val="2"/>
    </font>
    <font>
      <b/>
      <sz val="10"/>
      <color rgb="FF000000"/>
      <name val="Arial"/>
      <family val="2"/>
    </font>
    <font>
      <sz val="14"/>
      <color rgb="FF000000"/>
      <name val="Cordia Ne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charset val="222"/>
      <scheme val="minor"/>
    </font>
    <font>
      <sz val="11"/>
      <color rgb="FF000000"/>
      <name val="Calibri"/>
      <family val="2"/>
    </font>
    <font>
      <sz val="14"/>
      <color rgb="FF000000"/>
      <name val="Calibri"/>
      <family val="2"/>
    </font>
    <font>
      <strike/>
      <sz val="11"/>
      <color theme="1"/>
      <name val="Calibri"/>
      <family val="2"/>
      <charset val="222"/>
      <scheme val="minor"/>
    </font>
    <font>
      <b/>
      <sz val="11"/>
      <color rgb="FFFF0000"/>
      <name val="Calibri"/>
      <family val="2"/>
      <charset val="222"/>
      <scheme val="minor"/>
    </font>
    <font>
      <strike/>
      <sz val="11"/>
      <color theme="1"/>
      <name val="Calibri"/>
      <family val="2"/>
    </font>
    <font>
      <strike/>
      <sz val="14"/>
      <color rgb="FF000000"/>
      <name val="Calibri"/>
      <family val="2"/>
    </font>
    <font>
      <strike/>
      <sz val="11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charset val="222"/>
      <scheme val="minor"/>
    </font>
    <font>
      <sz val="11"/>
      <color rgb="FFFF0000"/>
      <name val="Calibri"/>
      <family val="2"/>
    </font>
    <font>
      <b/>
      <sz val="14"/>
      <color rgb="FF0070C0"/>
      <name val="Cordia New"/>
      <family val="2"/>
    </font>
    <font>
      <sz val="14"/>
      <color rgb="FF000000"/>
      <name val="CordiaUPC"/>
      <family val="2"/>
    </font>
    <font>
      <sz val="14"/>
      <color theme="1"/>
      <name val="Cordia New"/>
      <family val="2"/>
    </font>
    <font>
      <b/>
      <sz val="14"/>
      <color rgb="FF000000"/>
      <name val="Cordia New"/>
      <family val="2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FF0000"/>
      <name val="Calibri"/>
      <family val="2"/>
      <charset val="222"/>
      <scheme val="minor"/>
    </font>
    <font>
      <sz val="14"/>
      <color rgb="FF000000"/>
      <name val="Cordia New"/>
    </font>
  </fonts>
  <fills count="32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20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1121">
    <xf numFmtId="0" fontId="0" fillId="0" borderId="0" xfId="0"/>
    <xf numFmtId="0" fontId="1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7" borderId="1" xfId="0" applyFill="1" applyBorder="1"/>
    <xf numFmtId="164" fontId="0" fillId="7" borderId="1" xfId="2" applyNumberFormat="1" applyFont="1" applyFill="1" applyBorder="1" applyAlignment="1">
      <alignment horizontal="center"/>
    </xf>
    <xf numFmtId="164" fontId="0" fillId="8" borderId="1" xfId="2" applyNumberFormat="1" applyFont="1" applyFill="1" applyBorder="1"/>
    <xf numFmtId="164" fontId="0" fillId="8" borderId="1" xfId="2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top"/>
    </xf>
    <xf numFmtId="43" fontId="0" fillId="7" borderId="1" xfId="2" applyFont="1" applyFill="1" applyBorder="1" applyAlignment="1">
      <alignment horizontal="center" vertical="center"/>
    </xf>
    <xf numFmtId="43" fontId="0" fillId="8" borderId="1" xfId="2" applyFont="1" applyFill="1" applyBorder="1" applyAlignment="1">
      <alignment horizontal="left" vertical="top"/>
    </xf>
    <xf numFmtId="43" fontId="0" fillId="8" borderId="1" xfId="2" applyFont="1" applyFill="1" applyBorder="1" applyAlignment="1">
      <alignment horizontal="center" vertical="center"/>
    </xf>
    <xf numFmtId="43" fontId="7" fillId="8" borderId="1" xfId="2" applyFont="1" applyFill="1" applyBorder="1" applyAlignment="1">
      <alignment horizontal="center" vertical="center"/>
    </xf>
    <xf numFmtId="0" fontId="8" fillId="11" borderId="9" xfId="0" applyFont="1" applyFill="1" applyBorder="1" applyAlignment="1">
      <alignment horizontal="center" vertical="top"/>
    </xf>
    <xf numFmtId="0" fontId="8" fillId="11" borderId="2" xfId="0" applyFont="1" applyFill="1" applyBorder="1" applyAlignment="1">
      <alignment horizontal="center" vertical="top"/>
    </xf>
    <xf numFmtId="0" fontId="8" fillId="11" borderId="10" xfId="0" applyFont="1" applyFill="1" applyBorder="1" applyAlignment="1">
      <alignment horizontal="center" vertical="top"/>
    </xf>
    <xf numFmtId="0" fontId="9" fillId="0" borderId="5" xfId="0" applyFont="1" applyBorder="1"/>
    <xf numFmtId="0" fontId="10" fillId="2" borderId="1" xfId="0" applyFont="1" applyFill="1" applyBorder="1"/>
    <xf numFmtId="0" fontId="10" fillId="0" borderId="11" xfId="0" applyFont="1" applyBorder="1"/>
    <xf numFmtId="0" fontId="11" fillId="0" borderId="11" xfId="0" applyFont="1" applyBorder="1"/>
    <xf numFmtId="0" fontId="0" fillId="0" borderId="11" xfId="0" applyBorder="1"/>
    <xf numFmtId="0" fontId="3" fillId="0" borderId="12" xfId="0" applyFont="1" applyBorder="1"/>
    <xf numFmtId="0" fontId="0" fillId="0" borderId="1" xfId="0" applyBorder="1"/>
    <xf numFmtId="0" fontId="10" fillId="0" borderId="1" xfId="0" applyFont="1" applyBorder="1"/>
    <xf numFmtId="0" fontId="3" fillId="0" borderId="8" xfId="0" applyFont="1" applyBorder="1"/>
    <xf numFmtId="0" fontId="10" fillId="2" borderId="13" xfId="0" applyFont="1" applyFill="1" applyBorder="1"/>
    <xf numFmtId="0" fontId="10" fillId="0" borderId="13" xfId="0" applyFont="1" applyBorder="1"/>
    <xf numFmtId="0" fontId="10" fillId="0" borderId="14" xfId="0" applyFont="1" applyBorder="1"/>
    <xf numFmtId="0" fontId="10" fillId="0" borderId="16" xfId="0" applyFont="1" applyBorder="1"/>
    <xf numFmtId="0" fontId="12" fillId="2" borderId="1" xfId="0" applyFont="1" applyFill="1" applyBorder="1"/>
    <xf numFmtId="0" fontId="10" fillId="0" borderId="18" xfId="0" applyFont="1" applyBorder="1"/>
    <xf numFmtId="0" fontId="0" fillId="0" borderId="13" xfId="0" applyBorder="1"/>
    <xf numFmtId="0" fontId="3" fillId="0" borderId="9" xfId="0" applyFont="1" applyBorder="1"/>
    <xf numFmtId="0" fontId="3" fillId="0" borderId="12" xfId="0" applyFont="1" applyBorder="1" applyAlignment="1">
      <alignment wrapText="1"/>
    </xf>
    <xf numFmtId="0" fontId="0" fillId="0" borderId="2" xfId="0" applyBorder="1" applyAlignment="1">
      <alignment horizontal="left" vertical="top"/>
    </xf>
    <xf numFmtId="0" fontId="0" fillId="6" borderId="2" xfId="0" applyFill="1" applyBorder="1" applyAlignment="1">
      <alignment horizontal="left" vertical="top"/>
    </xf>
    <xf numFmtId="0" fontId="0" fillId="6" borderId="2" xfId="0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13" fillId="12" borderId="20" xfId="0" applyFont="1" applyFill="1" applyBorder="1" applyAlignment="1">
      <alignment horizontal="center" vertical="center" wrapText="1"/>
    </xf>
    <xf numFmtId="0" fontId="13" fillId="12" borderId="2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6" xfId="0" applyBorder="1" applyAlignment="1">
      <alignment horizontal="left" vertical="top"/>
    </xf>
    <xf numFmtId="0" fontId="0" fillId="9" borderId="17" xfId="0" applyFill="1" applyBorder="1" applyAlignment="1">
      <alignment horizontal="center" vertical="center"/>
    </xf>
    <xf numFmtId="0" fontId="13" fillId="12" borderId="0" xfId="0" applyFont="1" applyFill="1" applyAlignment="1">
      <alignment horizontal="center" vertical="center" wrapText="1"/>
    </xf>
    <xf numFmtId="0" fontId="0" fillId="0" borderId="12" xfId="0" applyBorder="1" applyAlignment="1">
      <alignment horizontal="left" vertical="top"/>
    </xf>
    <xf numFmtId="0" fontId="0" fillId="0" borderId="3" xfId="0" applyBorder="1" applyAlignment="1">
      <alignment horizontal="center" vertical="center"/>
    </xf>
    <xf numFmtId="0" fontId="0" fillId="9" borderId="22" xfId="0" applyFill="1" applyBorder="1" applyAlignment="1">
      <alignment horizontal="left" vertical="top" wrapText="1"/>
    </xf>
    <xf numFmtId="0" fontId="0" fillId="0" borderId="23" xfId="0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24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top" wrapText="1"/>
    </xf>
    <xf numFmtId="0" fontId="0" fillId="9" borderId="1" xfId="0" applyFill="1" applyBorder="1" applyAlignment="1">
      <alignment horizontal="left" vertical="top" wrapText="1"/>
    </xf>
    <xf numFmtId="0" fontId="13" fillId="12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vertical="center" wrapText="1"/>
    </xf>
    <xf numFmtId="0" fontId="0" fillId="0" borderId="16" xfId="0" applyBorder="1" applyAlignment="1">
      <alignment horizontal="center" vertical="top"/>
    </xf>
    <xf numFmtId="0" fontId="0" fillId="9" borderId="3" xfId="0" applyFill="1" applyBorder="1" applyAlignment="1">
      <alignment horizontal="left" vertical="top" wrapText="1"/>
    </xf>
    <xf numFmtId="0" fontId="0" fillId="9" borderId="3" xfId="0" applyFill="1" applyBorder="1" applyAlignment="1">
      <alignment horizontal="center" vertical="center"/>
    </xf>
    <xf numFmtId="0" fontId="0" fillId="9" borderId="0" xfId="0" applyFill="1" applyAlignment="1">
      <alignment horizontal="left" vertical="top" wrapText="1"/>
    </xf>
    <xf numFmtId="0" fontId="0" fillId="9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top"/>
    </xf>
    <xf numFmtId="0" fontId="0" fillId="9" borderId="2" xfId="0" applyFill="1" applyBorder="1" applyAlignment="1">
      <alignment horizontal="center" vertical="center"/>
    </xf>
    <xf numFmtId="0" fontId="0" fillId="13" borderId="0" xfId="0" applyFill="1"/>
    <xf numFmtId="0" fontId="0" fillId="13" borderId="26" xfId="0" applyFill="1" applyBorder="1" applyAlignment="1">
      <alignment vertical="top"/>
    </xf>
    <xf numFmtId="0" fontId="14" fillId="13" borderId="1" xfId="0" applyFont="1" applyFill="1" applyBorder="1" applyAlignment="1">
      <alignment vertical="top" wrapText="1"/>
    </xf>
    <xf numFmtId="0" fontId="0" fillId="13" borderId="1" xfId="0" applyFill="1" applyBorder="1" applyAlignment="1">
      <alignment horizontal="center" vertical="center"/>
    </xf>
    <xf numFmtId="0" fontId="0" fillId="13" borderId="23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0" fontId="0" fillId="13" borderId="0" xfId="0" applyFill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15" fillId="6" borderId="28" xfId="0" applyFont="1" applyFill="1" applyBorder="1" applyAlignment="1">
      <alignment horizontal="center" vertical="center"/>
    </xf>
    <xf numFmtId="0" fontId="16" fillId="6" borderId="33" xfId="0" applyFont="1" applyFill="1" applyBorder="1" applyAlignment="1">
      <alignment horizontal="center" vertical="center"/>
    </xf>
    <xf numFmtId="0" fontId="14" fillId="4" borderId="30" xfId="0" applyFont="1" applyFill="1" applyBorder="1" applyAlignment="1">
      <alignment horizontal="center" vertical="top"/>
    </xf>
    <xf numFmtId="0" fontId="14" fillId="4" borderId="31" xfId="0" applyFont="1" applyFill="1" applyBorder="1" applyAlignment="1">
      <alignment horizontal="left" vertical="top"/>
    </xf>
    <xf numFmtId="0" fontId="14" fillId="4" borderId="32" xfId="0" applyFont="1" applyFill="1" applyBorder="1" applyAlignment="1">
      <alignment horizontal="center" vertical="center"/>
    </xf>
    <xf numFmtId="0" fontId="14" fillId="4" borderId="33" xfId="0" applyFont="1" applyFill="1" applyBorder="1" applyAlignment="1">
      <alignment horizontal="center" vertical="center"/>
    </xf>
    <xf numFmtId="0" fontId="14" fillId="4" borderId="31" xfId="0" applyFont="1" applyFill="1" applyBorder="1" applyAlignment="1">
      <alignment horizontal="center" vertical="center"/>
    </xf>
    <xf numFmtId="0" fontId="14" fillId="4" borderId="33" xfId="0" applyFont="1" applyFill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top"/>
    </xf>
    <xf numFmtId="0" fontId="14" fillId="0" borderId="24" xfId="0" applyFont="1" applyBorder="1" applyAlignment="1">
      <alignment horizontal="left" vertical="top"/>
    </xf>
    <xf numFmtId="0" fontId="0" fillId="0" borderId="35" xfId="0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18" borderId="16" xfId="0" applyFont="1" applyFill="1" applyBorder="1" applyAlignment="1">
      <alignment horizontal="center" vertical="top"/>
    </xf>
    <xf numFmtId="0" fontId="14" fillId="18" borderId="17" xfId="0" applyFont="1" applyFill="1" applyBorder="1" applyAlignment="1">
      <alignment horizontal="left" vertical="top"/>
    </xf>
    <xf numFmtId="0" fontId="0" fillId="18" borderId="36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0" fillId="18" borderId="17" xfId="0" applyFill="1" applyBorder="1" applyAlignment="1">
      <alignment horizontal="left" vertical="top"/>
    </xf>
    <xf numFmtId="0" fontId="0" fillId="18" borderId="1" xfId="0" applyFill="1" applyBorder="1" applyAlignment="1">
      <alignment horizontal="left" vertical="top"/>
    </xf>
    <xf numFmtId="0" fontId="0" fillId="18" borderId="0" xfId="0" applyFill="1" applyAlignment="1">
      <alignment horizontal="left" vertical="top"/>
    </xf>
    <xf numFmtId="0" fontId="14" fillId="18" borderId="17" xfId="0" applyFont="1" applyFill="1" applyBorder="1" applyAlignment="1">
      <alignment horizontal="center" vertical="center"/>
    </xf>
    <xf numFmtId="0" fontId="14" fillId="0" borderId="16" xfId="0" applyFont="1" applyBorder="1" applyAlignment="1">
      <alignment horizontal="center" vertical="top"/>
    </xf>
    <xf numFmtId="0" fontId="14" fillId="0" borderId="17" xfId="0" applyFont="1" applyBorder="1" applyAlignment="1">
      <alignment horizontal="left" vertical="top"/>
    </xf>
    <xf numFmtId="0" fontId="0" fillId="0" borderId="36" xfId="0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top"/>
    </xf>
    <xf numFmtId="0" fontId="14" fillId="2" borderId="17" xfId="0" applyFont="1" applyFill="1" applyBorder="1" applyAlignment="1">
      <alignment horizontal="left" vertical="top"/>
    </xf>
    <xf numFmtId="0" fontId="14" fillId="2" borderId="36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0" fontId="0" fillId="7" borderId="0" xfId="0" applyFill="1" applyAlignment="1">
      <alignment horizontal="left" vertical="top"/>
    </xf>
    <xf numFmtId="0" fontId="14" fillId="7" borderId="16" xfId="0" applyFont="1" applyFill="1" applyBorder="1" applyAlignment="1">
      <alignment horizontal="center" vertical="top"/>
    </xf>
    <xf numFmtId="0" fontId="14" fillId="7" borderId="17" xfId="0" applyFont="1" applyFill="1" applyBorder="1" applyAlignment="1">
      <alignment vertical="top" wrapText="1"/>
    </xf>
    <xf numFmtId="0" fontId="14" fillId="7" borderId="36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4" fillId="7" borderId="17" xfId="0" applyFont="1" applyFill="1" applyBorder="1" applyAlignment="1">
      <alignment horizontal="center"/>
    </xf>
    <xf numFmtId="0" fontId="14" fillId="7" borderId="1" xfId="0" applyFont="1" applyFill="1" applyBorder="1"/>
    <xf numFmtId="0" fontId="14" fillId="7" borderId="1" xfId="0" applyFont="1" applyFill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center"/>
    </xf>
    <xf numFmtId="0" fontId="14" fillId="8" borderId="16" xfId="0" applyFont="1" applyFill="1" applyBorder="1" applyAlignment="1">
      <alignment horizontal="center" vertical="top"/>
    </xf>
    <xf numFmtId="0" fontId="14" fillId="8" borderId="17" xfId="0" applyFont="1" applyFill="1" applyBorder="1" applyAlignment="1">
      <alignment horizontal="left" vertical="top" wrapText="1"/>
    </xf>
    <xf numFmtId="0" fontId="14" fillId="8" borderId="36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4" fillId="8" borderId="17" xfId="0" applyFont="1" applyFill="1" applyBorder="1" applyAlignment="1">
      <alignment horizontal="center" vertical="center"/>
    </xf>
    <xf numFmtId="0" fontId="0" fillId="8" borderId="0" xfId="0" applyFill="1" applyAlignment="1">
      <alignment horizontal="left" vertical="top"/>
    </xf>
    <xf numFmtId="0" fontId="14" fillId="9" borderId="17" xfId="0" applyFont="1" applyFill="1" applyBorder="1" applyAlignment="1">
      <alignment horizontal="left" vertical="top" wrapText="1"/>
    </xf>
    <xf numFmtId="0" fontId="14" fillId="9" borderId="36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7" fillId="12" borderId="17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 vertical="top"/>
    </xf>
    <xf numFmtId="0" fontId="14" fillId="19" borderId="16" xfId="0" applyFont="1" applyFill="1" applyBorder="1" applyAlignment="1">
      <alignment horizontal="center" vertical="top"/>
    </xf>
    <xf numFmtId="0" fontId="14" fillId="19" borderId="17" xfId="0" applyFont="1" applyFill="1" applyBorder="1" applyAlignment="1">
      <alignment horizontal="left" vertical="top"/>
    </xf>
    <xf numFmtId="0" fontId="19" fillId="0" borderId="0" xfId="0" applyFont="1" applyAlignment="1">
      <alignment horizontal="center" vertical="top"/>
    </xf>
    <xf numFmtId="0" fontId="14" fillId="19" borderId="17" xfId="0" applyFont="1" applyFill="1" applyBorder="1" applyAlignment="1">
      <alignment horizontal="left" vertical="top" wrapText="1"/>
    </xf>
    <xf numFmtId="0" fontId="14" fillId="0" borderId="16" xfId="0" quotePrefix="1" applyFont="1" applyBorder="1" applyAlignment="1">
      <alignment horizontal="center" vertical="top"/>
    </xf>
    <xf numFmtId="0" fontId="20" fillId="19" borderId="16" xfId="0" applyFont="1" applyFill="1" applyBorder="1" applyAlignment="1">
      <alignment horizontal="center" vertical="top"/>
    </xf>
    <xf numFmtId="0" fontId="20" fillId="19" borderId="17" xfId="0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left" vertical="center"/>
    </xf>
    <xf numFmtId="0" fontId="20" fillId="0" borderId="16" xfId="0" applyFont="1" applyBorder="1" applyAlignment="1">
      <alignment horizontal="center" vertical="top"/>
    </xf>
    <xf numFmtId="0" fontId="20" fillId="9" borderId="17" xfId="0" applyFont="1" applyFill="1" applyBorder="1" applyAlignment="1">
      <alignment horizontal="left" vertical="top"/>
    </xf>
    <xf numFmtId="0" fontId="20" fillId="0" borderId="1" xfId="0" applyFont="1" applyBorder="1" applyAlignment="1">
      <alignment vertical="center"/>
    </xf>
    <xf numFmtId="0" fontId="21" fillId="12" borderId="17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1" fillId="12" borderId="1" xfId="0" applyFont="1" applyFill="1" applyBorder="1" applyAlignment="1">
      <alignment horizontal="center" vertical="center" wrapText="1"/>
    </xf>
    <xf numFmtId="0" fontId="20" fillId="9" borderId="17" xfId="0" applyFont="1" applyFill="1" applyBorder="1" applyAlignment="1">
      <alignment horizontal="left" vertical="top" wrapText="1"/>
    </xf>
    <xf numFmtId="0" fontId="14" fillId="0" borderId="17" xfId="0" applyFont="1" applyBorder="1" applyAlignment="1">
      <alignment horizontal="left" vertical="top" wrapText="1"/>
    </xf>
    <xf numFmtId="0" fontId="14" fillId="0" borderId="36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0" fillId="0" borderId="17" xfId="0" applyBorder="1" applyAlignment="1">
      <alignment horizontal="left" vertical="top"/>
    </xf>
    <xf numFmtId="0" fontId="17" fillId="0" borderId="1" xfId="0" applyFont="1" applyBorder="1" applyAlignment="1">
      <alignment horizontal="center" vertical="center" wrapText="1"/>
    </xf>
    <xf numFmtId="0" fontId="14" fillId="7" borderId="17" xfId="0" applyFont="1" applyFill="1" applyBorder="1" applyAlignment="1">
      <alignment horizontal="left" vertical="top" wrapText="1"/>
    </xf>
    <xf numFmtId="0" fontId="17" fillId="7" borderId="17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4" fillId="7" borderId="16" xfId="0" quotePrefix="1" applyFont="1" applyFill="1" applyBorder="1" applyAlignment="1">
      <alignment horizontal="center" vertical="top"/>
    </xf>
    <xf numFmtId="0" fontId="22" fillId="0" borderId="0" xfId="0" applyFont="1" applyAlignment="1">
      <alignment horizontal="left" vertical="top"/>
    </xf>
    <xf numFmtId="0" fontId="20" fillId="7" borderId="16" xfId="0" quotePrefix="1" applyFont="1" applyFill="1" applyBorder="1" applyAlignment="1">
      <alignment horizontal="center" vertical="top"/>
    </xf>
    <xf numFmtId="0" fontId="20" fillId="7" borderId="17" xfId="0" applyFont="1" applyFill="1" applyBorder="1" applyAlignment="1">
      <alignment horizontal="left" vertical="top" wrapText="1"/>
    </xf>
    <xf numFmtId="0" fontId="20" fillId="7" borderId="1" xfId="0" applyFont="1" applyFill="1" applyBorder="1" applyAlignment="1">
      <alignment horizontal="center" vertical="center"/>
    </xf>
    <xf numFmtId="0" fontId="21" fillId="7" borderId="17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14" fillId="20" borderId="16" xfId="0" applyFont="1" applyFill="1" applyBorder="1" applyAlignment="1">
      <alignment horizontal="center" vertical="top"/>
    </xf>
    <xf numFmtId="0" fontId="14" fillId="20" borderId="17" xfId="0" applyFont="1" applyFill="1" applyBorder="1" applyAlignment="1">
      <alignment horizontal="left" vertical="top" wrapText="1"/>
    </xf>
    <xf numFmtId="0" fontId="14" fillId="20" borderId="1" xfId="0" applyFont="1" applyFill="1" applyBorder="1" applyAlignment="1">
      <alignment horizontal="center" vertical="center"/>
    </xf>
    <xf numFmtId="0" fontId="17" fillId="20" borderId="17" xfId="0" applyFont="1" applyFill="1" applyBorder="1" applyAlignment="1">
      <alignment horizontal="center" vertical="center" wrapText="1"/>
    </xf>
    <xf numFmtId="0" fontId="17" fillId="20" borderId="1" xfId="0" applyFont="1" applyFill="1" applyBorder="1" applyAlignment="1">
      <alignment horizontal="center" vertical="center" wrapText="1"/>
    </xf>
    <xf numFmtId="0" fontId="14" fillId="6" borderId="16" xfId="0" quotePrefix="1" applyFont="1" applyFill="1" applyBorder="1" applyAlignment="1">
      <alignment horizontal="center" vertical="top"/>
    </xf>
    <xf numFmtId="0" fontId="14" fillId="6" borderId="17" xfId="0" applyFont="1" applyFill="1" applyBorder="1" applyAlignment="1">
      <alignment horizontal="left" vertical="top" wrapText="1"/>
    </xf>
    <xf numFmtId="0" fontId="14" fillId="6" borderId="1" xfId="0" applyFont="1" applyFill="1" applyBorder="1" applyAlignment="1">
      <alignment horizontal="center" vertical="center"/>
    </xf>
    <xf numFmtId="0" fontId="17" fillId="6" borderId="17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left" vertical="top"/>
    </xf>
    <xf numFmtId="0" fontId="14" fillId="20" borderId="17" xfId="0" applyFont="1" applyFill="1" applyBorder="1" applyAlignment="1">
      <alignment horizontal="center" vertical="center"/>
    </xf>
    <xf numFmtId="0" fontId="14" fillId="6" borderId="16" xfId="0" applyFont="1" applyFill="1" applyBorder="1" applyAlignment="1">
      <alignment horizontal="center" vertical="top"/>
    </xf>
    <xf numFmtId="0" fontId="14" fillId="6" borderId="17" xfId="0" applyFont="1" applyFill="1" applyBorder="1" applyAlignment="1">
      <alignment horizontal="center" vertical="center"/>
    </xf>
    <xf numFmtId="0" fontId="0" fillId="0" borderId="37" xfId="0" applyBorder="1" applyAlignment="1">
      <alignment horizontal="left" vertical="top"/>
    </xf>
    <xf numFmtId="0" fontId="14" fillId="21" borderId="16" xfId="0" applyFont="1" applyFill="1" applyBorder="1" applyAlignment="1">
      <alignment horizontal="center" vertical="top"/>
    </xf>
    <xf numFmtId="0" fontId="14" fillId="21" borderId="17" xfId="0" applyFont="1" applyFill="1" applyBorder="1" applyAlignment="1">
      <alignment horizontal="left" vertical="top" wrapText="1"/>
    </xf>
    <xf numFmtId="0" fontId="14" fillId="21" borderId="36" xfId="0" applyFont="1" applyFill="1" applyBorder="1" applyAlignment="1">
      <alignment horizontal="center" vertical="center"/>
    </xf>
    <xf numFmtId="0" fontId="14" fillId="21" borderId="1" xfId="0" applyFont="1" applyFill="1" applyBorder="1" applyAlignment="1">
      <alignment horizontal="center" vertical="center" wrapText="1"/>
    </xf>
    <xf numFmtId="0" fontId="14" fillId="21" borderId="1" xfId="0" applyFont="1" applyFill="1" applyBorder="1" applyAlignment="1">
      <alignment horizontal="center" vertical="center"/>
    </xf>
    <xf numFmtId="0" fontId="17" fillId="21" borderId="17" xfId="0" applyFont="1" applyFill="1" applyBorder="1" applyAlignment="1">
      <alignment horizontal="center" vertical="center" wrapText="1"/>
    </xf>
    <xf numFmtId="0" fontId="17" fillId="21" borderId="1" xfId="0" applyFont="1" applyFill="1" applyBorder="1" applyAlignment="1">
      <alignment horizontal="center" vertical="center" wrapText="1"/>
    </xf>
    <xf numFmtId="0" fontId="14" fillId="22" borderId="16" xfId="0" applyFont="1" applyFill="1" applyBorder="1" applyAlignment="1">
      <alignment horizontal="center" vertical="top"/>
    </xf>
    <xf numFmtId="0" fontId="14" fillId="22" borderId="17" xfId="0" applyFont="1" applyFill="1" applyBorder="1" applyAlignment="1">
      <alignment horizontal="left" vertical="top" wrapText="1"/>
    </xf>
    <xf numFmtId="0" fontId="14" fillId="22" borderId="36" xfId="0" applyFont="1" applyFill="1" applyBorder="1" applyAlignment="1">
      <alignment horizontal="center" vertical="center"/>
    </xf>
    <xf numFmtId="0" fontId="14" fillId="22" borderId="1" xfId="0" applyFont="1" applyFill="1" applyBorder="1" applyAlignment="1">
      <alignment horizontal="center" vertical="center" wrapText="1"/>
    </xf>
    <xf numFmtId="0" fontId="14" fillId="22" borderId="1" xfId="0" applyFont="1" applyFill="1" applyBorder="1" applyAlignment="1">
      <alignment horizontal="center" vertical="center"/>
    </xf>
    <xf numFmtId="0" fontId="17" fillId="22" borderId="17" xfId="0" applyFont="1" applyFill="1" applyBorder="1" applyAlignment="1">
      <alignment horizontal="center" vertical="center" wrapText="1"/>
    </xf>
    <xf numFmtId="0" fontId="17" fillId="22" borderId="1" xfId="0" applyFont="1" applyFill="1" applyBorder="1" applyAlignment="1">
      <alignment horizontal="center" vertical="center" wrapText="1"/>
    </xf>
    <xf numFmtId="0" fontId="14" fillId="19" borderId="36" xfId="0" applyFont="1" applyFill="1" applyBorder="1" applyAlignment="1">
      <alignment horizontal="center" vertical="center"/>
    </xf>
    <xf numFmtId="0" fontId="14" fillId="19" borderId="1" xfId="0" applyFont="1" applyFill="1" applyBorder="1" applyAlignment="1">
      <alignment horizontal="center" vertical="center" wrapText="1"/>
    </xf>
    <xf numFmtId="0" fontId="14" fillId="19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/>
    </xf>
    <xf numFmtId="0" fontId="0" fillId="9" borderId="36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4" fillId="0" borderId="38" xfId="0" applyFont="1" applyBorder="1" applyAlignment="1">
      <alignment horizontal="center" vertical="top"/>
    </xf>
    <xf numFmtId="0" fontId="14" fillId="0" borderId="39" xfId="0" applyFont="1" applyBorder="1" applyAlignment="1">
      <alignment horizontal="left" vertical="top"/>
    </xf>
    <xf numFmtId="0" fontId="0" fillId="0" borderId="4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9" borderId="27" xfId="0" applyFill="1" applyBorder="1" applyAlignment="1">
      <alignment horizontal="center" vertical="center"/>
    </xf>
    <xf numFmtId="0" fontId="14" fillId="0" borderId="14" xfId="0" applyFont="1" applyBorder="1" applyAlignment="1">
      <alignment horizontal="center" vertical="top"/>
    </xf>
    <xf numFmtId="0" fontId="14" fillId="6" borderId="15" xfId="0" applyFont="1" applyFill="1" applyBorder="1" applyAlignment="1">
      <alignment horizontal="left" vertical="top"/>
    </xf>
    <xf numFmtId="0" fontId="14" fillId="6" borderId="41" xfId="0" applyFont="1" applyFill="1" applyBorder="1" applyAlignment="1">
      <alignment horizontal="center" vertical="center"/>
    </xf>
    <xf numFmtId="0" fontId="14" fillId="6" borderId="11" xfId="0" applyFont="1" applyFill="1" applyBorder="1" applyAlignment="1">
      <alignment horizontal="center" vertical="center"/>
    </xf>
    <xf numFmtId="0" fontId="14" fillId="6" borderId="15" xfId="0" applyFont="1" applyFill="1" applyBorder="1" applyAlignment="1">
      <alignment horizontal="center" vertical="center"/>
    </xf>
    <xf numFmtId="0" fontId="14" fillId="7" borderId="17" xfId="0" applyFont="1" applyFill="1" applyBorder="1" applyAlignment="1">
      <alignment horizontal="left" vertical="top"/>
    </xf>
    <xf numFmtId="43" fontId="14" fillId="7" borderId="36" xfId="2" applyFont="1" applyFill="1" applyBorder="1" applyAlignment="1">
      <alignment horizontal="center" vertical="center"/>
    </xf>
    <xf numFmtId="43" fontId="14" fillId="7" borderId="1" xfId="2" applyFont="1" applyFill="1" applyBorder="1" applyAlignment="1">
      <alignment horizontal="center" vertical="center"/>
    </xf>
    <xf numFmtId="43" fontId="14" fillId="7" borderId="17" xfId="2" applyFont="1" applyFill="1" applyBorder="1" applyAlignment="1">
      <alignment horizontal="center" vertical="center"/>
    </xf>
    <xf numFmtId="0" fontId="14" fillId="0" borderId="18" xfId="0" applyFont="1" applyBorder="1" applyAlignment="1">
      <alignment horizontal="center" vertical="top"/>
    </xf>
    <xf numFmtId="43" fontId="14" fillId="8" borderId="19" xfId="2" applyFont="1" applyFill="1" applyBorder="1" applyAlignment="1">
      <alignment horizontal="left" vertical="top"/>
    </xf>
    <xf numFmtId="43" fontId="14" fillId="8" borderId="42" xfId="2" applyFont="1" applyFill="1" applyBorder="1" applyAlignment="1">
      <alignment horizontal="center" vertical="center"/>
    </xf>
    <xf numFmtId="43" fontId="14" fillId="8" borderId="13" xfId="2" applyFont="1" applyFill="1" applyBorder="1" applyAlignment="1">
      <alignment horizontal="center" vertical="center"/>
    </xf>
    <xf numFmtId="43" fontId="14" fillId="8" borderId="19" xfId="2" applyFont="1" applyFill="1" applyBorder="1" applyAlignment="1">
      <alignment horizontal="center" vertical="center"/>
    </xf>
    <xf numFmtId="43" fontId="7" fillId="0" borderId="36" xfId="2" applyFont="1" applyFill="1" applyBorder="1" applyAlignment="1">
      <alignment horizontal="center" vertical="center"/>
    </xf>
    <xf numFmtId="0" fontId="0" fillId="21" borderId="0" xfId="0" applyFill="1" applyAlignment="1">
      <alignment horizontal="left" vertical="top" wrapText="1"/>
    </xf>
    <xf numFmtId="0" fontId="0" fillId="18" borderId="49" xfId="0" applyFill="1" applyBorder="1" applyAlignment="1">
      <alignment horizontal="center" vertical="center"/>
    </xf>
    <xf numFmtId="0" fontId="0" fillId="18" borderId="3" xfId="0" applyFill="1" applyBorder="1" applyAlignment="1">
      <alignment horizontal="center" vertical="center"/>
    </xf>
    <xf numFmtId="0" fontId="0" fillId="18" borderId="3" xfId="0" applyFill="1" applyBorder="1" applyAlignment="1">
      <alignment horizontal="left" vertical="top"/>
    </xf>
    <xf numFmtId="0" fontId="0" fillId="18" borderId="50" xfId="0" applyFill="1" applyBorder="1" applyAlignment="1">
      <alignment horizontal="left" vertical="top"/>
    </xf>
    <xf numFmtId="0" fontId="0" fillId="0" borderId="49" xfId="0" applyBorder="1" applyAlignment="1">
      <alignment horizontal="center" vertical="center"/>
    </xf>
    <xf numFmtId="0" fontId="0" fillId="9" borderId="49" xfId="0" applyFill="1" applyBorder="1" applyAlignment="1">
      <alignment horizontal="center" vertical="center"/>
    </xf>
    <xf numFmtId="0" fontId="0" fillId="9" borderId="50" xfId="0" applyFill="1" applyBorder="1" applyAlignment="1">
      <alignment horizontal="center" vertical="center"/>
    </xf>
    <xf numFmtId="0" fontId="0" fillId="9" borderId="51" xfId="0" applyFill="1" applyBorder="1" applyAlignment="1">
      <alignment horizontal="center" vertical="center"/>
    </xf>
    <xf numFmtId="0" fontId="0" fillId="9" borderId="52" xfId="0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43" fontId="23" fillId="0" borderId="36" xfId="2" applyFont="1" applyBorder="1" applyAlignment="1">
      <alignment horizontal="center" vertical="center"/>
    </xf>
    <xf numFmtId="0" fontId="16" fillId="21" borderId="2" xfId="0" quotePrefix="1" applyFont="1" applyFill="1" applyBorder="1" applyAlignment="1">
      <alignment horizontal="left" vertical="top" wrapText="1"/>
    </xf>
    <xf numFmtId="0" fontId="14" fillId="7" borderId="2" xfId="0" applyFont="1" applyFill="1" applyBorder="1" applyAlignment="1">
      <alignment horizontal="left" vertical="top" wrapText="1"/>
    </xf>
    <xf numFmtId="0" fontId="14" fillId="7" borderId="3" xfId="0" applyFon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 wrapText="1"/>
    </xf>
    <xf numFmtId="0" fontId="14" fillId="2" borderId="27" xfId="0" applyFont="1" applyFill="1" applyBorder="1" applyAlignment="1">
      <alignment horizontal="center" vertical="center"/>
    </xf>
    <xf numFmtId="0" fontId="0" fillId="9" borderId="48" xfId="0" applyFill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14" fillId="2" borderId="2" xfId="0" applyFont="1" applyFill="1" applyBorder="1" applyAlignment="1">
      <alignment horizontal="left" vertical="top" wrapText="1"/>
    </xf>
    <xf numFmtId="0" fontId="14" fillId="2" borderId="3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 wrapText="1"/>
    </xf>
    <xf numFmtId="0" fontId="0" fillId="2" borderId="49" xfId="0" applyFill="1" applyBorder="1"/>
    <xf numFmtId="0" fontId="14" fillId="7" borderId="50" xfId="0" applyFont="1" applyFill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9" borderId="37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14" fillId="2" borderId="50" xfId="0" applyFont="1" applyFill="1" applyBorder="1" applyAlignment="1">
      <alignment horizontal="center" vertical="center"/>
    </xf>
    <xf numFmtId="0" fontId="14" fillId="2" borderId="54" xfId="0" applyFont="1" applyFill="1" applyBorder="1" applyAlignment="1">
      <alignment horizontal="center" vertical="center"/>
    </xf>
    <xf numFmtId="0" fontId="14" fillId="7" borderId="49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center" vertical="center"/>
    </xf>
    <xf numFmtId="0" fontId="14" fillId="7" borderId="37" xfId="0" applyFont="1" applyFill="1" applyBorder="1" applyAlignment="1">
      <alignment horizontal="center" vertical="center"/>
    </xf>
    <xf numFmtId="0" fontId="16" fillId="6" borderId="71" xfId="0" applyFont="1" applyFill="1" applyBorder="1" applyAlignment="1">
      <alignment horizontal="center" vertical="center" wrapText="1"/>
    </xf>
    <xf numFmtId="0" fontId="0" fillId="9" borderId="64" xfId="0" applyFill="1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43" fontId="14" fillId="7" borderId="51" xfId="2" applyFont="1" applyFill="1" applyBorder="1" applyAlignment="1">
      <alignment horizontal="center" vertical="center"/>
    </xf>
    <xf numFmtId="0" fontId="16" fillId="6" borderId="76" xfId="0" applyFont="1" applyFill="1" applyBorder="1" applyAlignment="1">
      <alignment horizontal="center" vertical="center"/>
    </xf>
    <xf numFmtId="0" fontId="16" fillId="6" borderId="77" xfId="0" applyFont="1" applyFill="1" applyBorder="1" applyAlignment="1">
      <alignment horizontal="center" vertical="center"/>
    </xf>
    <xf numFmtId="0" fontId="16" fillId="6" borderId="63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16" fillId="6" borderId="84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top"/>
    </xf>
    <xf numFmtId="0" fontId="0" fillId="9" borderId="86" xfId="0" applyFill="1" applyBorder="1" applyAlignment="1">
      <alignment horizontal="center" vertical="center"/>
    </xf>
    <xf numFmtId="0" fontId="0" fillId="9" borderId="67" xfId="0" applyFill="1" applyBorder="1" applyAlignment="1">
      <alignment horizontal="center" vertical="center"/>
    </xf>
    <xf numFmtId="0" fontId="0" fillId="9" borderId="26" xfId="0" applyFill="1" applyBorder="1" applyAlignment="1">
      <alignment horizontal="center" vertical="center"/>
    </xf>
    <xf numFmtId="0" fontId="15" fillId="6" borderId="89" xfId="0" applyFont="1" applyFill="1" applyBorder="1" applyAlignment="1">
      <alignment horizontal="center" vertical="center"/>
    </xf>
    <xf numFmtId="0" fontId="16" fillId="6" borderId="90" xfId="0" applyFont="1" applyFill="1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14" fillId="2" borderId="93" xfId="0" applyFont="1" applyFill="1" applyBorder="1" applyAlignment="1">
      <alignment horizontal="center" vertical="center"/>
    </xf>
    <xf numFmtId="0" fontId="14" fillId="7" borderId="94" xfId="0" applyFont="1" applyFill="1" applyBorder="1" applyAlignment="1">
      <alignment horizontal="center" vertical="center"/>
    </xf>
    <xf numFmtId="0" fontId="0" fillId="9" borderId="91" xfId="0" applyFill="1" applyBorder="1" applyAlignment="1">
      <alignment horizontal="center" vertical="center"/>
    </xf>
    <xf numFmtId="0" fontId="0" fillId="9" borderId="92" xfId="0" applyFill="1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43" fontId="14" fillId="7" borderId="92" xfId="2" applyFont="1" applyFill="1" applyBorder="1" applyAlignment="1">
      <alignment horizontal="center" vertical="center"/>
    </xf>
    <xf numFmtId="0" fontId="14" fillId="2" borderId="51" xfId="0" applyFont="1" applyFill="1" applyBorder="1" applyAlignment="1">
      <alignment horizontal="center" vertical="top"/>
    </xf>
    <xf numFmtId="0" fontId="14" fillId="7" borderId="51" xfId="0" applyFont="1" applyFill="1" applyBorder="1" applyAlignment="1">
      <alignment horizontal="center" vertical="top"/>
    </xf>
    <xf numFmtId="0" fontId="0" fillId="4" borderId="3" xfId="0" applyFill="1" applyBorder="1" applyAlignment="1">
      <alignment horizontal="left" vertical="top"/>
    </xf>
    <xf numFmtId="0" fontId="0" fillId="4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top"/>
    </xf>
    <xf numFmtId="0" fontId="0" fillId="6" borderId="3" xfId="0" applyFill="1" applyBorder="1" applyAlignment="1">
      <alignment horizontal="left" vertical="top" wrapText="1"/>
    </xf>
    <xf numFmtId="0" fontId="0" fillId="6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top"/>
    </xf>
    <xf numFmtId="0" fontId="5" fillId="9" borderId="3" xfId="0" applyFont="1" applyFill="1" applyBorder="1" applyAlignment="1">
      <alignment vertical="center" wrapText="1"/>
    </xf>
    <xf numFmtId="0" fontId="13" fillId="12" borderId="3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left" vertical="top"/>
    </xf>
    <xf numFmtId="0" fontId="0" fillId="7" borderId="3" xfId="0" applyFill="1" applyBorder="1" applyAlignment="1">
      <alignment horizontal="left" vertical="top"/>
    </xf>
    <xf numFmtId="43" fontId="0" fillId="7" borderId="3" xfId="2" applyFont="1" applyFill="1" applyBorder="1" applyAlignment="1">
      <alignment horizontal="center" vertical="center"/>
    </xf>
    <xf numFmtId="43" fontId="0" fillId="8" borderId="3" xfId="2" applyFont="1" applyFill="1" applyBorder="1" applyAlignment="1">
      <alignment horizontal="left" vertical="top"/>
    </xf>
    <xf numFmtId="43" fontId="0" fillId="8" borderId="3" xfId="2" applyFont="1" applyFill="1" applyBorder="1" applyAlignment="1">
      <alignment horizontal="center" vertical="center"/>
    </xf>
    <xf numFmtId="0" fontId="13" fillId="12" borderId="97" xfId="0" applyFont="1" applyFill="1" applyBorder="1" applyAlignment="1">
      <alignment horizontal="center" vertical="center" wrapText="1"/>
    </xf>
    <xf numFmtId="43" fontId="7" fillId="8" borderId="36" xfId="2" applyFont="1" applyFill="1" applyBorder="1" applyAlignment="1">
      <alignment horizontal="center" vertical="center"/>
    </xf>
    <xf numFmtId="0" fontId="14" fillId="0" borderId="10" xfId="0" applyFont="1" applyBorder="1" applyAlignment="1">
      <alignment horizontal="left" vertical="top"/>
    </xf>
    <xf numFmtId="0" fontId="14" fillId="4" borderId="76" xfId="0" applyFont="1" applyFill="1" applyBorder="1" applyAlignment="1">
      <alignment horizontal="center" vertical="top"/>
    </xf>
    <xf numFmtId="0" fontId="14" fillId="4" borderId="84" xfId="0" applyFont="1" applyFill="1" applyBorder="1" applyAlignment="1">
      <alignment horizontal="left" vertical="top"/>
    </xf>
    <xf numFmtId="0" fontId="14" fillId="4" borderId="56" xfId="0" applyFont="1" applyFill="1" applyBorder="1" applyAlignment="1">
      <alignment horizontal="center" vertical="center"/>
    </xf>
    <xf numFmtId="0" fontId="14" fillId="4" borderId="57" xfId="0" applyFont="1" applyFill="1" applyBorder="1" applyAlignment="1">
      <alignment horizontal="center" vertical="center"/>
    </xf>
    <xf numFmtId="0" fontId="14" fillId="4" borderId="58" xfId="0" applyFont="1" applyFill="1" applyBorder="1" applyAlignment="1">
      <alignment horizontal="center" vertical="center"/>
    </xf>
    <xf numFmtId="0" fontId="14" fillId="4" borderId="87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 wrapText="1"/>
    </xf>
    <xf numFmtId="0" fontId="14" fillId="4" borderId="88" xfId="0" applyFont="1" applyFill="1" applyBorder="1" applyAlignment="1">
      <alignment horizontal="center" vertical="center"/>
    </xf>
    <xf numFmtId="0" fontId="14" fillId="0" borderId="48" xfId="0" applyFont="1" applyBorder="1" applyAlignment="1">
      <alignment horizontal="center" vertical="top"/>
    </xf>
    <xf numFmtId="0" fontId="14" fillId="0" borderId="22" xfId="0" applyFont="1" applyBorder="1" applyAlignment="1">
      <alignment horizontal="left" vertical="top"/>
    </xf>
    <xf numFmtId="0" fontId="14" fillId="0" borderId="3" xfId="0" applyFont="1" applyBorder="1" applyAlignment="1">
      <alignment horizontal="center" vertical="center"/>
    </xf>
    <xf numFmtId="0" fontId="14" fillId="0" borderId="50" xfId="0" applyFont="1" applyBorder="1" applyAlignment="1">
      <alignment horizontal="center" vertical="center"/>
    </xf>
    <xf numFmtId="0" fontId="14" fillId="0" borderId="72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14" fillId="0" borderId="69" xfId="0" applyFont="1" applyBorder="1" applyAlignment="1">
      <alignment horizontal="center" vertical="center"/>
    </xf>
    <xf numFmtId="0" fontId="14" fillId="0" borderId="65" xfId="0" applyFont="1" applyBorder="1" applyAlignment="1">
      <alignment horizontal="center" vertical="center"/>
    </xf>
    <xf numFmtId="0" fontId="14" fillId="0" borderId="80" xfId="0" applyFont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91" xfId="0" applyFont="1" applyBorder="1" applyAlignment="1">
      <alignment horizontal="center" vertical="center"/>
    </xf>
    <xf numFmtId="0" fontId="14" fillId="18" borderId="51" xfId="0" applyFont="1" applyFill="1" applyBorder="1" applyAlignment="1">
      <alignment horizontal="center" vertical="top"/>
    </xf>
    <xf numFmtId="0" fontId="14" fillId="18" borderId="2" xfId="0" applyFont="1" applyFill="1" applyBorder="1" applyAlignment="1">
      <alignment horizontal="left" vertical="top"/>
    </xf>
    <xf numFmtId="0" fontId="14" fillId="18" borderId="3" xfId="0" applyFont="1" applyFill="1" applyBorder="1" applyAlignment="1">
      <alignment horizontal="center" vertical="center"/>
    </xf>
    <xf numFmtId="0" fontId="14" fillId="18" borderId="64" xfId="0" applyFont="1" applyFill="1" applyBorder="1" applyAlignment="1">
      <alignment horizontal="center" vertical="center"/>
    </xf>
    <xf numFmtId="0" fontId="14" fillId="18" borderId="37" xfId="0" applyFont="1" applyFill="1" applyBorder="1" applyAlignment="1">
      <alignment horizontal="center" vertical="center"/>
    </xf>
    <xf numFmtId="0" fontId="14" fillId="18" borderId="51" xfId="0" applyFont="1" applyFill="1" applyBorder="1" applyAlignment="1">
      <alignment horizontal="center" vertical="center"/>
    </xf>
    <xf numFmtId="0" fontId="14" fillId="18" borderId="2" xfId="0" applyFont="1" applyFill="1" applyBorder="1" applyAlignment="1">
      <alignment horizontal="center" vertical="center"/>
    </xf>
    <xf numFmtId="0" fontId="14" fillId="18" borderId="92" xfId="0" applyFont="1" applyFill="1" applyBorder="1" applyAlignment="1">
      <alignment horizontal="center" vertical="center"/>
    </xf>
    <xf numFmtId="0" fontId="14" fillId="18" borderId="50" xfId="0" applyFont="1" applyFill="1" applyBorder="1" applyAlignment="1">
      <alignment horizontal="center" vertical="center"/>
    </xf>
    <xf numFmtId="0" fontId="14" fillId="0" borderId="51" xfId="0" applyFont="1" applyBorder="1" applyAlignment="1">
      <alignment horizontal="center" vertical="top"/>
    </xf>
    <xf numFmtId="0" fontId="14" fillId="0" borderId="2" xfId="0" applyFont="1" applyBorder="1" applyAlignment="1">
      <alignment horizontal="left" vertical="top"/>
    </xf>
    <xf numFmtId="0" fontId="14" fillId="0" borderId="64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2" borderId="2" xfId="0" applyFont="1" applyFill="1" applyBorder="1" applyAlignment="1">
      <alignment horizontal="left" vertical="top"/>
    </xf>
    <xf numFmtId="0" fontId="14" fillId="2" borderId="49" xfId="0" applyFont="1" applyFill="1" applyBorder="1" applyAlignment="1">
      <alignment horizontal="center" vertical="center"/>
    </xf>
    <xf numFmtId="0" fontId="14" fillId="2" borderId="64" xfId="0" applyFont="1" applyFill="1" applyBorder="1" applyAlignment="1">
      <alignment horizontal="center" vertical="center"/>
    </xf>
    <xf numFmtId="0" fontId="14" fillId="2" borderId="5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9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vertical="top" wrapText="1"/>
    </xf>
    <xf numFmtId="0" fontId="14" fillId="7" borderId="3" xfId="0" applyFont="1" applyFill="1" applyBorder="1" applyAlignment="1">
      <alignment horizontal="center"/>
    </xf>
    <xf numFmtId="0" fontId="14" fillId="7" borderId="50" xfId="0" applyFont="1" applyFill="1" applyBorder="1" applyAlignment="1">
      <alignment horizontal="center"/>
    </xf>
    <xf numFmtId="0" fontId="14" fillId="7" borderId="64" xfId="0" applyFont="1" applyFill="1" applyBorder="1"/>
    <xf numFmtId="0" fontId="14" fillId="7" borderId="3" xfId="0" applyFont="1" applyFill="1" applyBorder="1"/>
    <xf numFmtId="0" fontId="14" fillId="7" borderId="37" xfId="0" applyFont="1" applyFill="1" applyBorder="1" applyAlignment="1">
      <alignment horizontal="center"/>
    </xf>
    <xf numFmtId="0" fontId="14" fillId="7" borderId="51" xfId="0" applyFont="1" applyFill="1" applyBorder="1" applyAlignment="1">
      <alignment horizontal="center"/>
    </xf>
    <xf numFmtId="0" fontId="14" fillId="7" borderId="2" xfId="0" applyFont="1" applyFill="1" applyBorder="1" applyAlignment="1">
      <alignment horizontal="center"/>
    </xf>
    <xf numFmtId="0" fontId="14" fillId="7" borderId="92" xfId="0" applyFont="1" applyFill="1" applyBorder="1" applyAlignment="1">
      <alignment horizontal="center"/>
    </xf>
    <xf numFmtId="0" fontId="14" fillId="7" borderId="64" xfId="0" applyFont="1" applyFill="1" applyBorder="1" applyAlignment="1">
      <alignment horizontal="center" vertical="center"/>
    </xf>
    <xf numFmtId="0" fontId="14" fillId="22" borderId="51" xfId="0" applyFont="1" applyFill="1" applyBorder="1" applyAlignment="1">
      <alignment horizontal="center" vertical="top"/>
    </xf>
    <xf numFmtId="0" fontId="14" fillId="22" borderId="2" xfId="0" applyFont="1" applyFill="1" applyBorder="1" applyAlignment="1">
      <alignment horizontal="left" vertical="top" wrapText="1"/>
    </xf>
    <xf numFmtId="0" fontId="14" fillId="22" borderId="49" xfId="0" applyFont="1" applyFill="1" applyBorder="1" applyAlignment="1">
      <alignment horizontal="center" vertical="center"/>
    </xf>
    <xf numFmtId="0" fontId="14" fillId="22" borderId="3" xfId="0" applyFont="1" applyFill="1" applyBorder="1" applyAlignment="1">
      <alignment horizontal="center" vertical="center"/>
    </xf>
    <xf numFmtId="0" fontId="14" fillId="22" borderId="50" xfId="0" applyFont="1" applyFill="1" applyBorder="1" applyAlignment="1">
      <alignment horizontal="center" vertical="center"/>
    </xf>
    <xf numFmtId="0" fontId="14" fillId="22" borderId="64" xfId="0" applyFont="1" applyFill="1" applyBorder="1" applyAlignment="1">
      <alignment horizontal="center" vertical="center"/>
    </xf>
    <xf numFmtId="0" fontId="14" fillId="22" borderId="37" xfId="0" applyFont="1" applyFill="1" applyBorder="1" applyAlignment="1">
      <alignment horizontal="center" vertical="center"/>
    </xf>
    <xf numFmtId="0" fontId="14" fillId="22" borderId="51" xfId="0" applyFont="1" applyFill="1" applyBorder="1" applyAlignment="1">
      <alignment horizontal="center" vertical="center"/>
    </xf>
    <xf numFmtId="0" fontId="14" fillId="22" borderId="2" xfId="0" applyFont="1" applyFill="1" applyBorder="1" applyAlignment="1">
      <alignment horizontal="center" vertical="center"/>
    </xf>
    <xf numFmtId="0" fontId="14" fillId="22" borderId="92" xfId="0" applyFont="1" applyFill="1" applyBorder="1" applyAlignment="1">
      <alignment horizontal="center" vertical="center"/>
    </xf>
    <xf numFmtId="0" fontId="14" fillId="8" borderId="51" xfId="0" applyFont="1" applyFill="1" applyBorder="1" applyAlignment="1">
      <alignment horizontal="center" vertical="top"/>
    </xf>
    <xf numFmtId="0" fontId="14" fillId="8" borderId="2" xfId="0" applyFont="1" applyFill="1" applyBorder="1" applyAlignment="1">
      <alignment horizontal="left" vertical="top" wrapText="1"/>
    </xf>
    <xf numFmtId="0" fontId="14" fillId="8" borderId="49" xfId="0" applyFont="1" applyFill="1" applyBorder="1" applyAlignment="1">
      <alignment vertical="center"/>
    </xf>
    <xf numFmtId="0" fontId="14" fillId="8" borderId="3" xfId="0" applyFont="1" applyFill="1" applyBorder="1" applyAlignment="1">
      <alignment horizontal="center" vertical="center"/>
    </xf>
    <xf numFmtId="0" fontId="17" fillId="8" borderId="3" xfId="0" applyFont="1" applyFill="1" applyBorder="1" applyAlignment="1">
      <alignment horizontal="center" vertical="center" wrapText="1"/>
    </xf>
    <xf numFmtId="0" fontId="17" fillId="8" borderId="50" xfId="0" applyFont="1" applyFill="1" applyBorder="1" applyAlignment="1">
      <alignment horizontal="center" vertical="center" wrapText="1"/>
    </xf>
    <xf numFmtId="0" fontId="14" fillId="8" borderId="64" xfId="0" applyFont="1" applyFill="1" applyBorder="1" applyAlignment="1">
      <alignment horizontal="center" vertical="center"/>
    </xf>
    <xf numFmtId="0" fontId="14" fillId="8" borderId="37" xfId="0" applyFont="1" applyFill="1" applyBorder="1" applyAlignment="1">
      <alignment horizontal="center" vertical="center"/>
    </xf>
    <xf numFmtId="0" fontId="14" fillId="8" borderId="51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0" fontId="14" fillId="8" borderId="92" xfId="0" applyFont="1" applyFill="1" applyBorder="1" applyAlignment="1">
      <alignment horizontal="center" vertical="center"/>
    </xf>
    <xf numFmtId="0" fontId="14" fillId="8" borderId="49" xfId="0" applyFont="1" applyFill="1" applyBorder="1" applyAlignment="1">
      <alignment horizontal="center" vertical="center"/>
    </xf>
    <xf numFmtId="0" fontId="14" fillId="23" borderId="51" xfId="0" applyFont="1" applyFill="1" applyBorder="1" applyAlignment="1">
      <alignment horizontal="center" vertical="top"/>
    </xf>
    <xf numFmtId="0" fontId="14" fillId="23" borderId="2" xfId="0" applyFont="1" applyFill="1" applyBorder="1" applyAlignment="1">
      <alignment horizontal="left" vertical="top" wrapText="1"/>
    </xf>
    <xf numFmtId="0" fontId="14" fillId="23" borderId="53" xfId="0" applyFont="1" applyFill="1" applyBorder="1" applyAlignment="1">
      <alignment horizontal="center" vertical="center"/>
    </xf>
    <xf numFmtId="0" fontId="14" fillId="23" borderId="3" xfId="0" applyFont="1" applyFill="1" applyBorder="1" applyAlignment="1">
      <alignment horizontal="center" vertical="center"/>
    </xf>
    <xf numFmtId="0" fontId="17" fillId="23" borderId="3" xfId="0" applyFont="1" applyFill="1" applyBorder="1" applyAlignment="1">
      <alignment horizontal="center" vertical="center" wrapText="1"/>
    </xf>
    <xf numFmtId="0" fontId="17" fillId="23" borderId="50" xfId="0" applyFont="1" applyFill="1" applyBorder="1" applyAlignment="1">
      <alignment horizontal="center" vertical="center" wrapText="1"/>
    </xf>
    <xf numFmtId="0" fontId="14" fillId="23" borderId="64" xfId="0" applyFont="1" applyFill="1" applyBorder="1" applyAlignment="1">
      <alignment horizontal="center" vertical="center"/>
    </xf>
    <xf numFmtId="0" fontId="14" fillId="23" borderId="37" xfId="0" applyFont="1" applyFill="1" applyBorder="1" applyAlignment="1">
      <alignment horizontal="center" vertical="center"/>
    </xf>
    <xf numFmtId="0" fontId="14" fillId="23" borderId="51" xfId="0" applyFont="1" applyFill="1" applyBorder="1" applyAlignment="1">
      <alignment horizontal="center" vertical="center"/>
    </xf>
    <xf numFmtId="0" fontId="14" fillId="23" borderId="2" xfId="0" applyFont="1" applyFill="1" applyBorder="1" applyAlignment="1">
      <alignment horizontal="center" vertical="center"/>
    </xf>
    <xf numFmtId="0" fontId="14" fillId="23" borderId="1" xfId="0" applyFont="1" applyFill="1" applyBorder="1" applyAlignment="1">
      <alignment horizontal="center" vertical="center"/>
    </xf>
    <xf numFmtId="0" fontId="14" fillId="23" borderId="92" xfId="0" applyFont="1" applyFill="1" applyBorder="1" applyAlignment="1">
      <alignment horizontal="center" vertical="center"/>
    </xf>
    <xf numFmtId="0" fontId="14" fillId="6" borderId="51" xfId="0" applyFont="1" applyFill="1" applyBorder="1" applyAlignment="1">
      <alignment horizontal="center" vertical="top"/>
    </xf>
    <xf numFmtId="0" fontId="14" fillId="6" borderId="2" xfId="0" applyFont="1" applyFill="1" applyBorder="1" applyAlignment="1">
      <alignment horizontal="left" vertical="top" wrapText="1"/>
    </xf>
    <xf numFmtId="0" fontId="14" fillId="6" borderId="3" xfId="0" applyFont="1" applyFill="1" applyBorder="1" applyAlignment="1">
      <alignment vertical="center"/>
    </xf>
    <xf numFmtId="0" fontId="14" fillId="6" borderId="64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 wrapText="1"/>
    </xf>
    <xf numFmtId="0" fontId="17" fillId="6" borderId="50" xfId="0" applyFont="1" applyFill="1" applyBorder="1" applyAlignment="1">
      <alignment horizontal="center" vertical="center" wrapText="1"/>
    </xf>
    <xf numFmtId="0" fontId="14" fillId="6" borderId="37" xfId="0" applyFont="1" applyFill="1" applyBorder="1" applyAlignment="1">
      <alignment horizontal="center" vertical="center"/>
    </xf>
    <xf numFmtId="0" fontId="14" fillId="6" borderId="51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4" fillId="6" borderId="92" xfId="0" applyFont="1" applyFill="1" applyBorder="1" applyAlignment="1">
      <alignment horizontal="center" vertical="center"/>
    </xf>
    <xf numFmtId="0" fontId="14" fillId="21" borderId="51" xfId="0" applyFont="1" applyFill="1" applyBorder="1" applyAlignment="1">
      <alignment horizontal="center" vertical="top"/>
    </xf>
    <xf numFmtId="0" fontId="14" fillId="21" borderId="2" xfId="0" applyFont="1" applyFill="1" applyBorder="1" applyAlignment="1">
      <alignment horizontal="left" vertical="top" wrapText="1"/>
    </xf>
    <xf numFmtId="0" fontId="14" fillId="21" borderId="45" xfId="0" applyFont="1" applyFill="1" applyBorder="1" applyAlignment="1">
      <alignment horizontal="center" vertical="center"/>
    </xf>
    <xf numFmtId="0" fontId="14" fillId="21" borderId="3" xfId="0" applyFont="1" applyFill="1" applyBorder="1" applyAlignment="1">
      <alignment horizontal="center" vertical="center" wrapText="1"/>
    </xf>
    <xf numFmtId="0" fontId="14" fillId="21" borderId="3" xfId="0" applyFont="1" applyFill="1" applyBorder="1" applyAlignment="1">
      <alignment horizontal="center" vertical="center"/>
    </xf>
    <xf numFmtId="0" fontId="17" fillId="21" borderId="3" xfId="0" applyFont="1" applyFill="1" applyBorder="1" applyAlignment="1">
      <alignment horizontal="center" vertical="center" wrapText="1"/>
    </xf>
    <xf numFmtId="0" fontId="17" fillId="21" borderId="50" xfId="0" applyFont="1" applyFill="1" applyBorder="1" applyAlignment="1">
      <alignment horizontal="center" vertical="center" wrapText="1"/>
    </xf>
    <xf numFmtId="0" fontId="14" fillId="21" borderId="64" xfId="0" applyFont="1" applyFill="1" applyBorder="1" applyAlignment="1">
      <alignment horizontal="center" vertical="center"/>
    </xf>
    <xf numFmtId="0" fontId="14" fillId="21" borderId="37" xfId="0" applyFont="1" applyFill="1" applyBorder="1" applyAlignment="1">
      <alignment horizontal="center" vertical="center"/>
    </xf>
    <xf numFmtId="0" fontId="14" fillId="21" borderId="51" xfId="0" applyFont="1" applyFill="1" applyBorder="1" applyAlignment="1">
      <alignment horizontal="center" vertical="center"/>
    </xf>
    <xf numFmtId="0" fontId="14" fillId="21" borderId="2" xfId="0" applyFont="1" applyFill="1" applyBorder="1" applyAlignment="1">
      <alignment horizontal="center" vertical="center"/>
    </xf>
    <xf numFmtId="0" fontId="14" fillId="21" borderId="92" xfId="0" applyFont="1" applyFill="1" applyBorder="1" applyAlignment="1">
      <alignment horizontal="center" vertical="center"/>
    </xf>
    <xf numFmtId="0" fontId="14" fillId="21" borderId="49" xfId="0" applyFont="1" applyFill="1" applyBorder="1" applyAlignment="1">
      <alignment horizontal="center" vertical="center"/>
    </xf>
    <xf numFmtId="0" fontId="14" fillId="22" borderId="3" xfId="0" applyFont="1" applyFill="1" applyBorder="1" applyAlignment="1">
      <alignment horizontal="center" vertical="center" wrapText="1"/>
    </xf>
    <xf numFmtId="0" fontId="17" fillId="22" borderId="3" xfId="0" applyFont="1" applyFill="1" applyBorder="1" applyAlignment="1">
      <alignment horizontal="center" vertical="center" wrapText="1"/>
    </xf>
    <xf numFmtId="0" fontId="17" fillId="22" borderId="50" xfId="0" applyFont="1" applyFill="1" applyBorder="1" applyAlignment="1">
      <alignment horizontal="center" vertical="center" wrapText="1"/>
    </xf>
    <xf numFmtId="0" fontId="14" fillId="19" borderId="51" xfId="0" applyFont="1" applyFill="1" applyBorder="1" applyAlignment="1">
      <alignment horizontal="center" vertical="top"/>
    </xf>
    <xf numFmtId="0" fontId="14" fillId="19" borderId="2" xfId="0" applyFont="1" applyFill="1" applyBorder="1" applyAlignment="1">
      <alignment horizontal="left" vertical="top" wrapText="1"/>
    </xf>
    <xf numFmtId="0" fontId="14" fillId="19" borderId="49" xfId="0" applyFont="1" applyFill="1" applyBorder="1" applyAlignment="1">
      <alignment horizontal="center" vertical="center"/>
    </xf>
    <xf numFmtId="0" fontId="14" fillId="19" borderId="3" xfId="0" applyFont="1" applyFill="1" applyBorder="1" applyAlignment="1">
      <alignment horizontal="center" vertical="center" wrapText="1"/>
    </xf>
    <xf numFmtId="0" fontId="14" fillId="13" borderId="3" xfId="0" applyFont="1" applyFill="1" applyBorder="1" applyAlignment="1">
      <alignment horizontal="center" vertical="center"/>
    </xf>
    <xf numFmtId="0" fontId="14" fillId="19" borderId="3" xfId="0" applyFont="1" applyFill="1" applyBorder="1" applyAlignment="1">
      <alignment horizontal="center" vertical="center"/>
    </xf>
    <xf numFmtId="0" fontId="17" fillId="19" borderId="3" xfId="0" applyFont="1" applyFill="1" applyBorder="1" applyAlignment="1">
      <alignment horizontal="center" vertical="center" wrapText="1"/>
    </xf>
    <xf numFmtId="0" fontId="17" fillId="19" borderId="50" xfId="0" applyFont="1" applyFill="1" applyBorder="1" applyAlignment="1">
      <alignment horizontal="center" vertical="center" wrapText="1"/>
    </xf>
    <xf numFmtId="0" fontId="14" fillId="19" borderId="64" xfId="0" applyFont="1" applyFill="1" applyBorder="1" applyAlignment="1">
      <alignment horizontal="center" vertical="center"/>
    </xf>
    <xf numFmtId="0" fontId="14" fillId="19" borderId="37" xfId="0" applyFont="1" applyFill="1" applyBorder="1" applyAlignment="1">
      <alignment horizontal="center" vertical="center"/>
    </xf>
    <xf numFmtId="0" fontId="14" fillId="19" borderId="51" xfId="0" applyFont="1" applyFill="1" applyBorder="1" applyAlignment="1">
      <alignment horizontal="center" vertical="center"/>
    </xf>
    <xf numFmtId="0" fontId="14" fillId="19" borderId="2" xfId="0" applyFont="1" applyFill="1" applyBorder="1" applyAlignment="1">
      <alignment horizontal="center" vertical="center"/>
    </xf>
    <xf numFmtId="0" fontId="14" fillId="19" borderId="92" xfId="0" applyFont="1" applyFill="1" applyBorder="1" applyAlignment="1">
      <alignment horizontal="center" vertical="center"/>
    </xf>
    <xf numFmtId="0" fontId="17" fillId="2" borderId="64" xfId="0" applyFont="1" applyFill="1" applyBorder="1" applyAlignment="1">
      <alignment horizontal="center" vertical="center" wrapText="1"/>
    </xf>
    <xf numFmtId="0" fontId="17" fillId="7" borderId="64" xfId="0" applyFont="1" applyFill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top"/>
    </xf>
    <xf numFmtId="0" fontId="14" fillId="0" borderId="78" xfId="0" applyFont="1" applyBorder="1" applyAlignment="1">
      <alignment horizontal="center" vertical="top"/>
    </xf>
    <xf numFmtId="0" fontId="14" fillId="6" borderId="55" xfId="0" applyFont="1" applyFill="1" applyBorder="1" applyAlignment="1">
      <alignment horizontal="left" vertical="top"/>
    </xf>
    <xf numFmtId="0" fontId="14" fillId="6" borderId="45" xfId="0" applyFont="1" applyFill="1" applyBorder="1" applyAlignment="1">
      <alignment horizontal="center" vertical="center"/>
    </xf>
    <xf numFmtId="0" fontId="14" fillId="6" borderId="46" xfId="0" applyFont="1" applyFill="1" applyBorder="1" applyAlignment="1">
      <alignment horizontal="center" vertical="center"/>
    </xf>
    <xf numFmtId="0" fontId="14" fillId="6" borderId="47" xfId="0" applyFont="1" applyFill="1" applyBorder="1" applyAlignment="1">
      <alignment horizontal="center" vertical="center"/>
    </xf>
    <xf numFmtId="0" fontId="14" fillId="6" borderId="35" xfId="0" applyFont="1" applyFill="1" applyBorder="1" applyAlignment="1">
      <alignment horizontal="center" vertical="center"/>
    </xf>
    <xf numFmtId="0" fontId="14" fillId="6" borderId="23" xfId="0" applyFont="1" applyFill="1" applyBorder="1" applyAlignment="1">
      <alignment horizontal="center" vertical="center"/>
    </xf>
    <xf numFmtId="0" fontId="14" fillId="6" borderId="22" xfId="0" applyFont="1" applyFill="1" applyBorder="1" applyAlignment="1">
      <alignment horizontal="center" vertical="center"/>
    </xf>
    <xf numFmtId="0" fontId="14" fillId="6" borderId="78" xfId="0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 vertical="center"/>
    </xf>
    <xf numFmtId="0" fontId="14" fillId="6" borderId="95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left" vertical="top"/>
    </xf>
    <xf numFmtId="43" fontId="14" fillId="7" borderId="49" xfId="2" applyFont="1" applyFill="1" applyBorder="1" applyAlignment="1">
      <alignment horizontal="center" vertical="center"/>
    </xf>
    <xf numFmtId="43" fontId="14" fillId="7" borderId="3" xfId="2" applyFont="1" applyFill="1" applyBorder="1" applyAlignment="1">
      <alignment horizontal="center" vertical="center"/>
    </xf>
    <xf numFmtId="43" fontId="14" fillId="7" borderId="50" xfId="2" applyFont="1" applyFill="1" applyBorder="1" applyAlignment="1">
      <alignment horizontal="center" vertical="center"/>
    </xf>
    <xf numFmtId="43" fontId="14" fillId="7" borderId="2" xfId="2" applyFont="1" applyFill="1" applyBorder="1" applyAlignment="1">
      <alignment horizontal="center" vertical="center"/>
    </xf>
    <xf numFmtId="0" fontId="14" fillId="0" borderId="66" xfId="0" applyFont="1" applyBorder="1" applyAlignment="1">
      <alignment horizontal="center" vertical="top"/>
    </xf>
    <xf numFmtId="43" fontId="14" fillId="8" borderId="81" xfId="2" applyFont="1" applyFill="1" applyBorder="1" applyAlignment="1">
      <alignment horizontal="left" vertical="top"/>
    </xf>
    <xf numFmtId="43" fontId="14" fillId="8" borderId="60" xfId="2" applyFont="1" applyFill="1" applyBorder="1" applyAlignment="1">
      <alignment horizontal="center" vertical="center"/>
    </xf>
    <xf numFmtId="43" fontId="14" fillId="8" borderId="61" xfId="2" applyFont="1" applyFill="1" applyBorder="1" applyAlignment="1">
      <alignment horizontal="center" vertical="center"/>
    </xf>
    <xf numFmtId="43" fontId="14" fillId="8" borderId="62" xfId="2" applyFont="1" applyFill="1" applyBorder="1" applyAlignment="1">
      <alignment horizontal="center" vertical="center"/>
    </xf>
    <xf numFmtId="43" fontId="14" fillId="8" borderId="59" xfId="2" applyFont="1" applyFill="1" applyBorder="1" applyAlignment="1">
      <alignment horizontal="center" vertical="center"/>
    </xf>
    <xf numFmtId="43" fontId="14" fillId="8" borderId="66" xfId="2" applyFont="1" applyFill="1" applyBorder="1" applyAlignment="1">
      <alignment horizontal="center" vertical="center"/>
    </xf>
    <xf numFmtId="43" fontId="14" fillId="8" borderId="79" xfId="2" applyFont="1" applyFill="1" applyBorder="1" applyAlignment="1">
      <alignment horizontal="center" vertical="center"/>
    </xf>
    <xf numFmtId="43" fontId="14" fillId="8" borderId="85" xfId="2" applyFont="1" applyFill="1" applyBorder="1" applyAlignment="1">
      <alignment horizontal="center" vertical="center"/>
    </xf>
    <xf numFmtId="43" fontId="14" fillId="8" borderId="96" xfId="2" applyFont="1" applyFill="1" applyBorder="1" applyAlignment="1">
      <alignment horizontal="center" vertical="center"/>
    </xf>
    <xf numFmtId="43" fontId="14" fillId="8" borderId="3" xfId="2" applyFont="1" applyFill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6" fillId="20" borderId="17" xfId="0" applyFont="1" applyFill="1" applyBorder="1" applyAlignment="1">
      <alignment horizontal="left" vertical="top" wrapText="1"/>
    </xf>
    <xf numFmtId="0" fontId="0" fillId="2" borderId="13" xfId="0" applyFill="1" applyBorder="1"/>
    <xf numFmtId="0" fontId="0" fillId="2" borderId="1" xfId="0" applyFill="1" applyBorder="1"/>
    <xf numFmtId="0" fontId="8" fillId="11" borderId="103" xfId="0" applyFont="1" applyFill="1" applyBorder="1" applyAlignment="1">
      <alignment horizontal="center" vertical="top"/>
    </xf>
    <xf numFmtId="0" fontId="9" fillId="0" borderId="104" xfId="0" applyFont="1" applyBorder="1"/>
    <xf numFmtId="0" fontId="0" fillId="0" borderId="105" xfId="0" applyBorder="1"/>
    <xf numFmtId="0" fontId="3" fillId="0" borderId="106" xfId="0" applyFont="1" applyBorder="1"/>
    <xf numFmtId="0" fontId="0" fillId="0" borderId="52" xfId="0" applyBorder="1"/>
    <xf numFmtId="0" fontId="10" fillId="0" borderId="105" xfId="0" applyFont="1" applyBorder="1"/>
    <xf numFmtId="0" fontId="3" fillId="0" borderId="107" xfId="0" applyFont="1" applyBorder="1"/>
    <xf numFmtId="0" fontId="10" fillId="0" borderId="108" xfId="0" applyFont="1" applyBorder="1"/>
    <xf numFmtId="0" fontId="10" fillId="0" borderId="52" xfId="0" applyFont="1" applyBorder="1"/>
    <xf numFmtId="0" fontId="3" fillId="0" borderId="109" xfId="0" applyFont="1" applyBorder="1"/>
    <xf numFmtId="0" fontId="10" fillId="2" borderId="52" xfId="0" applyFont="1" applyFill="1" applyBorder="1"/>
    <xf numFmtId="0" fontId="3" fillId="0" borderId="110" xfId="0" applyFont="1" applyBorder="1"/>
    <xf numFmtId="0" fontId="3" fillId="0" borderId="111" xfId="0" applyFont="1" applyBorder="1"/>
    <xf numFmtId="0" fontId="10" fillId="0" borderId="112" xfId="0" applyFont="1" applyBorder="1"/>
    <xf numFmtId="0" fontId="10" fillId="0" borderId="67" xfId="0" applyFont="1" applyBorder="1"/>
    <xf numFmtId="0" fontId="0" fillId="0" borderId="67" xfId="0" applyBorder="1"/>
    <xf numFmtId="0" fontId="10" fillId="2" borderId="68" xfId="0" applyFont="1" applyFill="1" applyBorder="1"/>
    <xf numFmtId="0" fontId="14" fillId="8" borderId="54" xfId="0" applyFont="1" applyFill="1" applyBorder="1" applyAlignment="1">
      <alignment horizontal="center" vertical="center"/>
    </xf>
    <xf numFmtId="0" fontId="14" fillId="8" borderId="10" xfId="0" applyFont="1" applyFill="1" applyBorder="1" applyAlignment="1">
      <alignment horizontal="center" vertical="center"/>
    </xf>
    <xf numFmtId="0" fontId="14" fillId="8" borderId="27" xfId="0" applyFont="1" applyFill="1" applyBorder="1" applyAlignment="1">
      <alignment horizontal="center" vertical="center"/>
    </xf>
    <xf numFmtId="0" fontId="14" fillId="8" borderId="93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vertical="center"/>
    </xf>
    <xf numFmtId="0" fontId="14" fillId="2" borderId="113" xfId="0" applyFont="1" applyFill="1" applyBorder="1" applyAlignment="1">
      <alignment horizontal="center" vertical="center"/>
    </xf>
    <xf numFmtId="0" fontId="14" fillId="7" borderId="46" xfId="0" applyFont="1" applyFill="1" applyBorder="1" applyAlignment="1">
      <alignment horizontal="center" vertical="center"/>
    </xf>
    <xf numFmtId="0" fontId="14" fillId="0" borderId="71" xfId="0" applyFont="1" applyBorder="1" applyAlignment="1">
      <alignment horizontal="center" vertical="top"/>
    </xf>
    <xf numFmtId="0" fontId="14" fillId="0" borderId="88" xfId="0" applyFont="1" applyBorder="1" applyAlignment="1">
      <alignment horizontal="left" vertical="top"/>
    </xf>
    <xf numFmtId="0" fontId="0" fillId="0" borderId="117" xfId="0" applyBorder="1" applyAlignment="1">
      <alignment horizontal="center" vertical="center"/>
    </xf>
    <xf numFmtId="0" fontId="0" fillId="0" borderId="118" xfId="0" applyBorder="1" applyAlignment="1">
      <alignment horizontal="center" vertical="center"/>
    </xf>
    <xf numFmtId="0" fontId="0" fillId="0" borderId="119" xfId="0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9" borderId="87" xfId="0" applyFill="1" applyBorder="1" applyAlignment="1">
      <alignment horizontal="center" vertical="center"/>
    </xf>
    <xf numFmtId="0" fontId="0" fillId="0" borderId="120" xfId="0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0" fillId="21" borderId="0" xfId="0" applyFill="1" applyAlignment="1">
      <alignment horizontal="center" vertical="center"/>
    </xf>
    <xf numFmtId="43" fontId="0" fillId="0" borderId="1" xfId="2" applyFont="1" applyBorder="1" applyAlignment="1">
      <alignment horizontal="center" vertical="center"/>
    </xf>
    <xf numFmtId="43" fontId="0" fillId="0" borderId="0" xfId="2" applyFont="1" applyAlignment="1">
      <alignment horizontal="center" vertical="center"/>
    </xf>
    <xf numFmtId="43" fontId="0" fillId="21" borderId="0" xfId="2" applyFont="1" applyFill="1" applyAlignment="1">
      <alignment horizontal="center" vertical="center"/>
    </xf>
    <xf numFmtId="43" fontId="0" fillId="0" borderId="36" xfId="0" applyNumberFormat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25" fillId="24" borderId="20" xfId="0" applyFont="1" applyFill="1" applyBorder="1" applyAlignment="1">
      <alignment horizontal="center" vertical="center" wrapText="1"/>
    </xf>
    <xf numFmtId="0" fontId="25" fillId="24" borderId="121" xfId="0" applyFont="1" applyFill="1" applyBorder="1" applyAlignment="1">
      <alignment horizontal="center" vertical="center" wrapText="1"/>
    </xf>
    <xf numFmtId="0" fontId="26" fillId="12" borderId="21" xfId="0" applyFont="1" applyFill="1" applyBorder="1" applyAlignment="1">
      <alignment horizontal="center" vertical="center" wrapText="1"/>
    </xf>
    <xf numFmtId="0" fontId="26" fillId="12" borderId="97" xfId="0" applyFont="1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 vertical="center"/>
    </xf>
    <xf numFmtId="0" fontId="0" fillId="13" borderId="49" xfId="0" applyFill="1" applyBorder="1" applyAlignment="1">
      <alignment horizontal="center" vertical="center"/>
    </xf>
    <xf numFmtId="0" fontId="14" fillId="4" borderId="122" xfId="0" applyFont="1" applyFill="1" applyBorder="1" applyAlignment="1">
      <alignment horizontal="left" vertical="top"/>
    </xf>
    <xf numFmtId="0" fontId="14" fillId="4" borderId="123" xfId="0" applyFont="1" applyFill="1" applyBorder="1" applyAlignment="1">
      <alignment horizontal="center" vertical="center"/>
    </xf>
    <xf numFmtId="0" fontId="14" fillId="4" borderId="124" xfId="0" applyFont="1" applyFill="1" applyBorder="1" applyAlignment="1">
      <alignment horizontal="center" vertical="center"/>
    </xf>
    <xf numFmtId="0" fontId="14" fillId="4" borderId="125" xfId="0" applyFont="1" applyFill="1" applyBorder="1" applyAlignment="1">
      <alignment horizontal="center" vertical="center"/>
    </xf>
    <xf numFmtId="0" fontId="14" fillId="4" borderId="126" xfId="0" applyFont="1" applyFill="1" applyBorder="1" applyAlignment="1">
      <alignment horizontal="center" vertical="center"/>
    </xf>
    <xf numFmtId="0" fontId="14" fillId="4" borderId="127" xfId="0" applyFont="1" applyFill="1" applyBorder="1" applyAlignment="1">
      <alignment horizontal="center" vertical="center" wrapText="1"/>
    </xf>
    <xf numFmtId="0" fontId="14" fillId="4" borderId="128" xfId="0" applyFont="1" applyFill="1" applyBorder="1" applyAlignment="1">
      <alignment horizontal="center" vertical="center"/>
    </xf>
    <xf numFmtId="0" fontId="16" fillId="6" borderId="129" xfId="0" applyFont="1" applyFill="1" applyBorder="1" applyAlignment="1">
      <alignment horizontal="center" vertical="center" wrapText="1"/>
    </xf>
    <xf numFmtId="0" fontId="16" fillId="6" borderId="130" xfId="0" applyFont="1" applyFill="1" applyBorder="1" applyAlignment="1">
      <alignment horizontal="center" vertical="center" wrapText="1"/>
    </xf>
    <xf numFmtId="0" fontId="16" fillId="6" borderId="131" xfId="0" applyFont="1" applyFill="1" applyBorder="1" applyAlignment="1">
      <alignment horizontal="center" vertical="center"/>
    </xf>
    <xf numFmtId="0" fontId="16" fillId="6" borderId="122" xfId="0" applyFont="1" applyFill="1" applyBorder="1" applyAlignment="1">
      <alignment horizontal="center" vertical="center"/>
    </xf>
    <xf numFmtId="0" fontId="16" fillId="6" borderId="132" xfId="0" applyFont="1" applyFill="1" applyBorder="1" applyAlignment="1">
      <alignment horizontal="center" vertical="center"/>
    </xf>
    <xf numFmtId="0" fontId="14" fillId="0" borderId="133" xfId="0" applyFont="1" applyBorder="1" applyAlignment="1">
      <alignment horizontal="center" vertical="center"/>
    </xf>
    <xf numFmtId="0" fontId="14" fillId="18" borderId="134" xfId="0" applyFont="1" applyFill="1" applyBorder="1" applyAlignment="1">
      <alignment horizontal="center" vertical="center"/>
    </xf>
    <xf numFmtId="0" fontId="0" fillId="0" borderId="134" xfId="0" applyBorder="1" applyAlignment="1">
      <alignment horizontal="center" vertical="center"/>
    </xf>
    <xf numFmtId="0" fontId="14" fillId="22" borderId="134" xfId="0" applyFont="1" applyFill="1" applyBorder="1" applyAlignment="1">
      <alignment horizontal="center" vertical="center"/>
    </xf>
    <xf numFmtId="0" fontId="14" fillId="8" borderId="134" xfId="0" applyFont="1" applyFill="1" applyBorder="1" applyAlignment="1">
      <alignment horizontal="center" vertical="center"/>
    </xf>
    <xf numFmtId="0" fontId="14" fillId="8" borderId="135" xfId="0" applyFont="1" applyFill="1" applyBorder="1" applyAlignment="1">
      <alignment horizontal="center" vertical="center"/>
    </xf>
    <xf numFmtId="0" fontId="14" fillId="2" borderId="135" xfId="0" applyFont="1" applyFill="1" applyBorder="1" applyAlignment="1">
      <alignment horizontal="center" vertical="center"/>
    </xf>
    <xf numFmtId="0" fontId="14" fillId="7" borderId="136" xfId="0" applyFont="1" applyFill="1" applyBorder="1" applyAlignment="1">
      <alignment horizontal="center" vertical="center"/>
    </xf>
    <xf numFmtId="0" fontId="0" fillId="9" borderId="133" xfId="0" applyFill="1" applyBorder="1" applyAlignment="1">
      <alignment horizontal="center" vertical="center"/>
    </xf>
    <xf numFmtId="0" fontId="0" fillId="9" borderId="134" xfId="0" applyFill="1" applyBorder="1" applyAlignment="1">
      <alignment horizontal="center" vertical="center"/>
    </xf>
    <xf numFmtId="0" fontId="14" fillId="0" borderId="137" xfId="0" applyFont="1" applyBorder="1" applyAlignment="1">
      <alignment horizontal="center" vertical="top"/>
    </xf>
    <xf numFmtId="0" fontId="14" fillId="0" borderId="138" xfId="0" applyFont="1" applyBorder="1" applyAlignment="1">
      <alignment horizontal="left" vertical="top"/>
    </xf>
    <xf numFmtId="43" fontId="14" fillId="7" borderId="134" xfId="2" applyFont="1" applyFill="1" applyBorder="1" applyAlignment="1">
      <alignment horizontal="center" vertical="center"/>
    </xf>
    <xf numFmtId="43" fontId="14" fillId="8" borderId="59" xfId="2" applyFont="1" applyFill="1" applyBorder="1" applyAlignment="1">
      <alignment horizontal="left" vertical="top"/>
    </xf>
    <xf numFmtId="43" fontId="14" fillId="8" borderId="141" xfId="2" applyFont="1" applyFill="1" applyBorder="1" applyAlignment="1">
      <alignment horizontal="center" vertical="center"/>
    </xf>
    <xf numFmtId="43" fontId="14" fillId="8" borderId="142" xfId="2" applyFont="1" applyFill="1" applyBorder="1" applyAlignment="1">
      <alignment horizontal="center" vertical="center"/>
    </xf>
    <xf numFmtId="0" fontId="0" fillId="0" borderId="143" xfId="0" applyBorder="1" applyAlignment="1">
      <alignment horizontal="center" vertical="top"/>
    </xf>
    <xf numFmtId="0" fontId="0" fillId="0" borderId="144" xfId="0" applyBorder="1" applyAlignment="1">
      <alignment horizontal="left" vertical="top"/>
    </xf>
    <xf numFmtId="0" fontId="0" fillId="0" borderId="144" xfId="0" applyBorder="1" applyAlignment="1">
      <alignment horizontal="center" vertical="center"/>
    </xf>
    <xf numFmtId="0" fontId="15" fillId="6" borderId="146" xfId="0" applyFont="1" applyFill="1" applyBorder="1" applyAlignment="1">
      <alignment horizontal="center" vertical="center"/>
    </xf>
    <xf numFmtId="0" fontId="14" fillId="0" borderId="59" xfId="0" applyFont="1" applyBorder="1" applyAlignment="1">
      <alignment horizontal="left" vertical="top"/>
    </xf>
    <xf numFmtId="0" fontId="0" fillId="0" borderId="141" xfId="0" applyBorder="1" applyAlignment="1">
      <alignment horizontal="center" vertical="center"/>
    </xf>
    <xf numFmtId="0" fontId="0" fillId="0" borderId="147" xfId="0" applyBorder="1" applyAlignment="1">
      <alignment horizontal="center" vertical="center"/>
    </xf>
    <xf numFmtId="0" fontId="0" fillId="0" borderId="148" xfId="0" applyBorder="1" applyAlignment="1">
      <alignment horizontal="center" vertical="center"/>
    </xf>
    <xf numFmtId="0" fontId="0" fillId="0" borderId="149" xfId="0" applyBorder="1" applyAlignment="1">
      <alignment horizontal="center" vertical="center"/>
    </xf>
    <xf numFmtId="0" fontId="0" fillId="0" borderId="150" xfId="0" applyBorder="1" applyAlignment="1">
      <alignment horizontal="center" vertical="center"/>
    </xf>
    <xf numFmtId="0" fontId="0" fillId="0" borderId="151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0" fillId="0" borderId="108" xfId="0" applyBorder="1" applyAlignment="1">
      <alignment horizontal="center" vertical="center"/>
    </xf>
    <xf numFmtId="0" fontId="0" fillId="0" borderId="102" xfId="0" applyBorder="1" applyAlignment="1">
      <alignment horizontal="center" vertical="center"/>
    </xf>
    <xf numFmtId="165" fontId="0" fillId="0" borderId="139" xfId="0" applyNumberFormat="1" applyBorder="1" applyAlignment="1">
      <alignment horizontal="center" vertical="center"/>
    </xf>
    <xf numFmtId="1" fontId="14" fillId="6" borderId="123" xfId="0" applyNumberFormat="1" applyFont="1" applyFill="1" applyBorder="1" applyAlignment="1">
      <alignment horizontal="center" vertical="center"/>
    </xf>
    <xf numFmtId="1" fontId="14" fillId="6" borderId="140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21" borderId="0" xfId="0" applyNumberFormat="1" applyFill="1" applyAlignment="1">
      <alignment horizontal="center" vertical="center"/>
    </xf>
    <xf numFmtId="4" fontId="13" fillId="12" borderId="97" xfId="0" applyNumberFormat="1" applyFont="1" applyFill="1" applyBorder="1" applyAlignment="1">
      <alignment horizontal="right" vertical="center" wrapText="1"/>
    </xf>
    <xf numFmtId="0" fontId="27" fillId="12" borderId="97" xfId="0" applyFont="1" applyFill="1" applyBorder="1" applyAlignment="1">
      <alignment horizontal="right" vertical="center" wrapText="1"/>
    </xf>
    <xf numFmtId="0" fontId="14" fillId="25" borderId="51" xfId="0" applyFont="1" applyFill="1" applyBorder="1" applyAlignment="1">
      <alignment horizontal="center" vertical="top"/>
    </xf>
    <xf numFmtId="0" fontId="14" fillId="25" borderId="2" xfId="0" applyFont="1" applyFill="1" applyBorder="1" applyAlignment="1">
      <alignment horizontal="left" vertical="top" wrapText="1"/>
    </xf>
    <xf numFmtId="0" fontId="0" fillId="25" borderId="49" xfId="0" applyFill="1" applyBorder="1" applyAlignment="1">
      <alignment horizontal="center" vertical="center"/>
    </xf>
    <xf numFmtId="0" fontId="14" fillId="25" borderId="3" xfId="0" applyFont="1" applyFill="1" applyBorder="1" applyAlignment="1">
      <alignment horizontal="center" vertical="center"/>
    </xf>
    <xf numFmtId="0" fontId="17" fillId="25" borderId="3" xfId="0" applyFont="1" applyFill="1" applyBorder="1" applyAlignment="1">
      <alignment horizontal="center" vertical="center" wrapText="1"/>
    </xf>
    <xf numFmtId="0" fontId="14" fillId="25" borderId="50" xfId="0" applyFont="1" applyFill="1" applyBorder="1" applyAlignment="1">
      <alignment horizontal="center" vertical="center"/>
    </xf>
    <xf numFmtId="0" fontId="17" fillId="25" borderId="64" xfId="0" applyFont="1" applyFill="1" applyBorder="1" applyAlignment="1">
      <alignment horizontal="center" vertical="center" wrapText="1"/>
    </xf>
    <xf numFmtId="0" fontId="14" fillId="25" borderId="37" xfId="0" applyFont="1" applyFill="1" applyBorder="1" applyAlignment="1">
      <alignment horizontal="center" vertical="center"/>
    </xf>
    <xf numFmtId="0" fontId="14" fillId="25" borderId="63" xfId="0" applyFont="1" applyFill="1" applyBorder="1" applyAlignment="1">
      <alignment horizontal="center" vertical="center"/>
    </xf>
    <xf numFmtId="0" fontId="14" fillId="25" borderId="0" xfId="0" applyFont="1" applyFill="1" applyAlignment="1">
      <alignment horizontal="center" vertical="center"/>
    </xf>
    <xf numFmtId="0" fontId="14" fillId="26" borderId="51" xfId="0" applyFont="1" applyFill="1" applyBorder="1" applyAlignment="1">
      <alignment horizontal="center" vertical="top"/>
    </xf>
    <xf numFmtId="0" fontId="14" fillId="26" borderId="2" xfId="0" applyFont="1" applyFill="1" applyBorder="1" applyAlignment="1">
      <alignment horizontal="left" vertical="top" wrapText="1"/>
    </xf>
    <xf numFmtId="0" fontId="14" fillId="26" borderId="3" xfId="0" applyFont="1" applyFill="1" applyBorder="1" applyAlignment="1">
      <alignment horizontal="center" vertical="center"/>
    </xf>
    <xf numFmtId="0" fontId="17" fillId="26" borderId="3" xfId="0" applyFont="1" applyFill="1" applyBorder="1" applyAlignment="1">
      <alignment horizontal="center" vertical="center" wrapText="1"/>
    </xf>
    <xf numFmtId="0" fontId="14" fillId="26" borderId="50" xfId="0" applyFont="1" applyFill="1" applyBorder="1" applyAlignment="1">
      <alignment horizontal="center" vertical="center"/>
    </xf>
    <xf numFmtId="0" fontId="17" fillId="26" borderId="64" xfId="0" applyFont="1" applyFill="1" applyBorder="1" applyAlignment="1">
      <alignment horizontal="center" vertical="center" wrapText="1"/>
    </xf>
    <xf numFmtId="0" fontId="14" fillId="26" borderId="37" xfId="0" applyFont="1" applyFill="1" applyBorder="1" applyAlignment="1">
      <alignment horizontal="center" vertical="center"/>
    </xf>
    <xf numFmtId="0" fontId="14" fillId="26" borderId="63" xfId="0" applyFont="1" applyFill="1" applyBorder="1" applyAlignment="1">
      <alignment horizontal="center" vertical="center"/>
    </xf>
    <xf numFmtId="0" fontId="14" fillId="26" borderId="0" xfId="0" applyFont="1" applyFill="1" applyAlignment="1">
      <alignment horizontal="center" vertical="center"/>
    </xf>
    <xf numFmtId="0" fontId="14" fillId="26" borderId="2" xfId="0" quotePrefix="1" applyFont="1" applyFill="1" applyBorder="1" applyAlignment="1">
      <alignment horizontal="left" vertical="top" wrapText="1"/>
    </xf>
    <xf numFmtId="0" fontId="0" fillId="26" borderId="45" xfId="0" applyFill="1" applyBorder="1" applyAlignment="1">
      <alignment horizontal="center" vertical="center"/>
    </xf>
    <xf numFmtId="0" fontId="14" fillId="26" borderId="153" xfId="0" applyFont="1" applyFill="1" applyBorder="1" applyAlignment="1">
      <alignment horizontal="center" vertical="center"/>
    </xf>
    <xf numFmtId="0" fontId="16" fillId="6" borderId="154" xfId="0" applyFont="1" applyFill="1" applyBorder="1" applyAlignment="1">
      <alignment horizontal="center" vertical="center"/>
    </xf>
    <xf numFmtId="0" fontId="14" fillId="0" borderId="155" xfId="0" applyFont="1" applyBorder="1" applyAlignment="1">
      <alignment horizontal="center" vertical="center"/>
    </xf>
    <xf numFmtId="0" fontId="14" fillId="18" borderId="52" xfId="0" applyFont="1" applyFill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14" fillId="2" borderId="52" xfId="0" applyFont="1" applyFill="1" applyBorder="1" applyAlignment="1">
      <alignment horizontal="center" vertical="center"/>
    </xf>
    <xf numFmtId="0" fontId="14" fillId="7" borderId="52" xfId="0" applyFont="1" applyFill="1" applyBorder="1" applyAlignment="1">
      <alignment horizontal="center"/>
    </xf>
    <xf numFmtId="0" fontId="14" fillId="22" borderId="52" xfId="0" applyFont="1" applyFill="1" applyBorder="1" applyAlignment="1">
      <alignment horizontal="center" vertical="center"/>
    </xf>
    <xf numFmtId="0" fontId="14" fillId="8" borderId="52" xfId="0" applyFont="1" applyFill="1" applyBorder="1" applyAlignment="1">
      <alignment horizontal="center" vertical="center"/>
    </xf>
    <xf numFmtId="0" fontId="14" fillId="23" borderId="52" xfId="0" applyFont="1" applyFill="1" applyBorder="1" applyAlignment="1">
      <alignment horizontal="center" vertical="center"/>
    </xf>
    <xf numFmtId="0" fontId="14" fillId="6" borderId="52" xfId="0" applyFont="1" applyFill="1" applyBorder="1" applyAlignment="1">
      <alignment horizontal="center" vertical="center"/>
    </xf>
    <xf numFmtId="0" fontId="14" fillId="21" borderId="52" xfId="0" applyFont="1" applyFill="1" applyBorder="1" applyAlignment="1">
      <alignment horizontal="center" vertical="center"/>
    </xf>
    <xf numFmtId="0" fontId="14" fillId="19" borderId="52" xfId="0" applyFont="1" applyFill="1" applyBorder="1" applyAlignment="1">
      <alignment horizontal="center" vertical="center"/>
    </xf>
    <xf numFmtId="0" fontId="14" fillId="2" borderId="103" xfId="0" applyFont="1" applyFill="1" applyBorder="1" applyAlignment="1">
      <alignment horizontal="center" vertical="center"/>
    </xf>
    <xf numFmtId="0" fontId="14" fillId="25" borderId="153" xfId="0" applyFont="1" applyFill="1" applyBorder="1" applyAlignment="1">
      <alignment horizontal="center" vertical="center"/>
    </xf>
    <xf numFmtId="0" fontId="14" fillId="26" borderId="49" xfId="0" applyFont="1" applyFill="1" applyBorder="1" applyAlignment="1">
      <alignment horizontal="center" vertical="center"/>
    </xf>
    <xf numFmtId="0" fontId="0" fillId="9" borderId="155" xfId="0" applyFill="1" applyBorder="1" applyAlignment="1">
      <alignment horizontal="center" vertical="center"/>
    </xf>
    <xf numFmtId="0" fontId="16" fillId="6" borderId="156" xfId="0" applyFont="1" applyFill="1" applyBorder="1" applyAlignment="1">
      <alignment horizontal="center" vertical="center"/>
    </xf>
    <xf numFmtId="0" fontId="14" fillId="0" borderId="157" xfId="0" applyFont="1" applyBorder="1" applyAlignment="1">
      <alignment horizontal="center" vertical="center"/>
    </xf>
    <xf numFmtId="0" fontId="14" fillId="18" borderId="158" xfId="0" applyFont="1" applyFill="1" applyBorder="1" applyAlignment="1">
      <alignment horizontal="center" vertical="center"/>
    </xf>
    <xf numFmtId="0" fontId="0" fillId="0" borderId="158" xfId="0" applyBorder="1" applyAlignment="1">
      <alignment horizontal="center" vertical="center"/>
    </xf>
    <xf numFmtId="0" fontId="14" fillId="2" borderId="158" xfId="0" applyFont="1" applyFill="1" applyBorder="1" applyAlignment="1">
      <alignment horizontal="center" vertical="center"/>
    </xf>
    <xf numFmtId="0" fontId="14" fillId="7" borderId="158" xfId="0" applyFont="1" applyFill="1" applyBorder="1" applyAlignment="1">
      <alignment horizontal="center"/>
    </xf>
    <xf numFmtId="0" fontId="14" fillId="22" borderId="158" xfId="0" applyFont="1" applyFill="1" applyBorder="1" applyAlignment="1">
      <alignment horizontal="center" vertical="center"/>
    </xf>
    <xf numFmtId="0" fontId="14" fillId="8" borderId="158" xfId="0" applyFont="1" applyFill="1" applyBorder="1" applyAlignment="1">
      <alignment horizontal="center" vertical="center"/>
    </xf>
    <xf numFmtId="0" fontId="14" fillId="23" borderId="158" xfId="0" applyFont="1" applyFill="1" applyBorder="1" applyAlignment="1">
      <alignment horizontal="center" vertical="center"/>
    </xf>
    <xf numFmtId="0" fontId="14" fillId="6" borderId="158" xfId="0" applyFont="1" applyFill="1" applyBorder="1" applyAlignment="1">
      <alignment horizontal="center" vertical="center"/>
    </xf>
    <xf numFmtId="0" fontId="14" fillId="21" borderId="158" xfId="0" applyFont="1" applyFill="1" applyBorder="1" applyAlignment="1">
      <alignment horizontal="center" vertical="center"/>
    </xf>
    <xf numFmtId="0" fontId="14" fillId="19" borderId="158" xfId="0" applyFont="1" applyFill="1" applyBorder="1" applyAlignment="1">
      <alignment horizontal="center" vertical="center"/>
    </xf>
    <xf numFmtId="0" fontId="14" fillId="2" borderId="159" xfId="0" applyFont="1" applyFill="1" applyBorder="1" applyAlignment="1">
      <alignment horizontal="center" vertical="center"/>
    </xf>
    <xf numFmtId="0" fontId="14" fillId="7" borderId="160" xfId="0" applyFont="1" applyFill="1" applyBorder="1" applyAlignment="1">
      <alignment horizontal="center" vertical="center"/>
    </xf>
    <xf numFmtId="0" fontId="0" fillId="9" borderId="157" xfId="0" applyFill="1" applyBorder="1" applyAlignment="1">
      <alignment horizontal="center" vertical="center"/>
    </xf>
    <xf numFmtId="0" fontId="0" fillId="9" borderId="158" xfId="0" applyFill="1" applyBorder="1" applyAlignment="1">
      <alignment horizontal="center" vertical="center"/>
    </xf>
    <xf numFmtId="0" fontId="0" fillId="0" borderId="159" xfId="0" applyBorder="1" applyAlignment="1">
      <alignment horizontal="center" vertical="center"/>
    </xf>
    <xf numFmtId="0" fontId="14" fillId="6" borderId="48" xfId="0" applyFont="1" applyFill="1" applyBorder="1" applyAlignment="1">
      <alignment horizontal="center" vertical="center"/>
    </xf>
    <xf numFmtId="0" fontId="14" fillId="6" borderId="25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top"/>
    </xf>
    <xf numFmtId="0" fontId="0" fillId="18" borderId="3" xfId="0" applyFill="1" applyBorder="1" applyAlignment="1">
      <alignment horizontal="center" vertical="top"/>
    </xf>
    <xf numFmtId="0" fontId="14" fillId="18" borderId="3" xfId="0" applyFont="1" applyFill="1" applyBorder="1" applyAlignment="1">
      <alignment horizontal="center" vertical="top"/>
    </xf>
    <xf numFmtId="0" fontId="14" fillId="25" borderId="3" xfId="0" applyFont="1" applyFill="1" applyBorder="1" applyAlignment="1">
      <alignment horizontal="center" vertical="top"/>
    </xf>
    <xf numFmtId="0" fontId="17" fillId="25" borderId="3" xfId="0" applyFont="1" applyFill="1" applyBorder="1" applyAlignment="1">
      <alignment horizontal="center" vertical="top" wrapText="1"/>
    </xf>
    <xf numFmtId="0" fontId="14" fillId="26" borderId="3" xfId="0" applyFont="1" applyFill="1" applyBorder="1" applyAlignment="1">
      <alignment horizontal="center" vertical="top"/>
    </xf>
    <xf numFmtId="0" fontId="17" fillId="26" borderId="3" xfId="0" applyFont="1" applyFill="1" applyBorder="1" applyAlignment="1">
      <alignment horizontal="center" vertical="top" wrapText="1"/>
    </xf>
    <xf numFmtId="0" fontId="0" fillId="9" borderId="3" xfId="0" applyFill="1" applyBorder="1" applyAlignment="1">
      <alignment horizontal="center" vertical="top"/>
    </xf>
    <xf numFmtId="0" fontId="0" fillId="0" borderId="113" xfId="0" applyBorder="1" applyAlignment="1">
      <alignment horizontal="center" vertical="top"/>
    </xf>
    <xf numFmtId="0" fontId="14" fillId="4" borderId="162" xfId="0" applyFont="1" applyFill="1" applyBorder="1" applyAlignment="1">
      <alignment horizontal="center" vertical="center"/>
    </xf>
    <xf numFmtId="0" fontId="14" fillId="4" borderId="163" xfId="0" applyFont="1" applyFill="1" applyBorder="1" applyAlignment="1">
      <alignment horizontal="center" vertical="center"/>
    </xf>
    <xf numFmtId="0" fontId="14" fillId="4" borderId="164" xfId="0" applyFont="1" applyFill="1" applyBorder="1" applyAlignment="1">
      <alignment horizontal="center" vertical="center"/>
    </xf>
    <xf numFmtId="0" fontId="0" fillId="0" borderId="57" xfId="0" applyBorder="1" applyAlignment="1">
      <alignment horizontal="center" vertical="top"/>
    </xf>
    <xf numFmtId="0" fontId="14" fillId="0" borderId="57" xfId="0" applyFont="1" applyBorder="1" applyAlignment="1">
      <alignment horizontal="center" vertical="top"/>
    </xf>
    <xf numFmtId="0" fontId="14" fillId="6" borderId="56" xfId="0" applyFont="1" applyFill="1" applyBorder="1" applyAlignment="1">
      <alignment horizontal="center" vertical="center"/>
    </xf>
    <xf numFmtId="0" fontId="14" fillId="6" borderId="57" xfId="0" applyFont="1" applyFill="1" applyBorder="1" applyAlignment="1">
      <alignment horizontal="center" vertical="center"/>
    </xf>
    <xf numFmtId="0" fontId="14" fillId="6" borderId="58" xfId="0" applyFont="1" applyFill="1" applyBorder="1" applyAlignment="1">
      <alignment horizontal="center" vertical="center"/>
    </xf>
    <xf numFmtId="0" fontId="14" fillId="0" borderId="69" xfId="0" applyFont="1" applyBorder="1" applyAlignment="1">
      <alignment horizontal="center" vertical="top"/>
    </xf>
    <xf numFmtId="0" fontId="0" fillId="18" borderId="37" xfId="0" applyFill="1" applyBorder="1" applyAlignment="1">
      <alignment horizontal="left" vertical="top"/>
    </xf>
    <xf numFmtId="0" fontId="14" fillId="18" borderId="37" xfId="0" applyFont="1" applyFill="1" applyBorder="1" applyAlignment="1">
      <alignment horizontal="center" vertical="top"/>
    </xf>
    <xf numFmtId="0" fontId="14" fillId="0" borderId="37" xfId="0" applyFont="1" applyBorder="1" applyAlignment="1">
      <alignment horizontal="center" vertical="top"/>
    </xf>
    <xf numFmtId="0" fontId="14" fillId="25" borderId="37" xfId="0" applyFont="1" applyFill="1" applyBorder="1" applyAlignment="1">
      <alignment horizontal="center" vertical="top"/>
    </xf>
    <xf numFmtId="0" fontId="14" fillId="26" borderId="37" xfId="0" applyFont="1" applyFill="1" applyBorder="1" applyAlignment="1">
      <alignment horizontal="center" vertical="top"/>
    </xf>
    <xf numFmtId="0" fontId="0" fillId="9" borderId="37" xfId="0" applyFill="1" applyBorder="1" applyAlignment="1">
      <alignment horizontal="center" vertical="top"/>
    </xf>
    <xf numFmtId="0" fontId="0" fillId="0" borderId="37" xfId="0" applyBorder="1" applyAlignment="1">
      <alignment horizontal="center" vertical="top"/>
    </xf>
    <xf numFmtId="0" fontId="0" fillId="0" borderId="114" xfId="0" applyBorder="1" applyAlignment="1">
      <alignment horizontal="center" vertical="top"/>
    </xf>
    <xf numFmtId="0" fontId="14" fillId="0" borderId="56" xfId="0" applyFont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0" fontId="14" fillId="18" borderId="49" xfId="0" applyFont="1" applyFill="1" applyBorder="1" applyAlignment="1">
      <alignment horizontal="center" vertical="center"/>
    </xf>
    <xf numFmtId="0" fontId="14" fillId="0" borderId="49" xfId="0" applyFont="1" applyBorder="1" applyAlignment="1">
      <alignment horizontal="center" vertical="center"/>
    </xf>
    <xf numFmtId="0" fontId="17" fillId="25" borderId="49" xfId="0" applyFont="1" applyFill="1" applyBorder="1" applyAlignment="1">
      <alignment horizontal="center" vertical="center" wrapText="1"/>
    </xf>
    <xf numFmtId="0" fontId="14" fillId="26" borderId="49" xfId="0" applyFont="1" applyFill="1" applyBorder="1" applyAlignment="1">
      <alignment horizontal="center" vertical="top"/>
    </xf>
    <xf numFmtId="0" fontId="14" fillId="6" borderId="155" xfId="0" applyFont="1" applyFill="1" applyBorder="1" applyAlignment="1">
      <alignment horizontal="center" vertical="center"/>
    </xf>
    <xf numFmtId="43" fontId="14" fillId="7" borderId="52" xfId="2" applyFont="1" applyFill="1" applyBorder="1" applyAlignment="1">
      <alignment horizontal="center" vertical="center"/>
    </xf>
    <xf numFmtId="43" fontId="14" fillId="8" borderId="67" xfId="2" applyFont="1" applyFill="1" applyBorder="1" applyAlignment="1">
      <alignment horizontal="center" vertical="center"/>
    </xf>
    <xf numFmtId="43" fontId="14" fillId="8" borderId="68" xfId="2" applyFont="1" applyFill="1" applyBorder="1" applyAlignment="1">
      <alignment horizontal="center" vertical="center"/>
    </xf>
    <xf numFmtId="0" fontId="0" fillId="0" borderId="64" xfId="0" applyBorder="1" applyAlignment="1">
      <alignment horizontal="center" vertical="top"/>
    </xf>
    <xf numFmtId="0" fontId="0" fillId="0" borderId="165" xfId="0" applyBorder="1" applyAlignment="1">
      <alignment horizontal="center" vertical="top"/>
    </xf>
    <xf numFmtId="0" fontId="14" fillId="6" borderId="22" xfId="0" applyFont="1" applyFill="1" applyBorder="1" applyAlignment="1">
      <alignment horizontal="left" vertical="top"/>
    </xf>
    <xf numFmtId="0" fontId="14" fillId="0" borderId="65" xfId="0" applyFont="1" applyBorder="1" applyAlignment="1">
      <alignment horizontal="center" vertical="top"/>
    </xf>
    <xf numFmtId="0" fontId="14" fillId="0" borderId="166" xfId="0" applyFont="1" applyBorder="1" applyAlignment="1">
      <alignment horizontal="left" vertical="top"/>
    </xf>
    <xf numFmtId="0" fontId="14" fillId="18" borderId="52" xfId="0" applyFont="1" applyFill="1" applyBorder="1" applyAlignment="1">
      <alignment horizontal="left" vertical="top"/>
    </xf>
    <xf numFmtId="0" fontId="14" fillId="0" borderId="52" xfId="0" applyFont="1" applyBorder="1" applyAlignment="1">
      <alignment horizontal="left" vertical="top"/>
    </xf>
    <xf numFmtId="0" fontId="14" fillId="25" borderId="52" xfId="0" applyFont="1" applyFill="1" applyBorder="1" applyAlignment="1">
      <alignment horizontal="left" vertical="top" wrapText="1"/>
    </xf>
    <xf numFmtId="0" fontId="14" fillId="26" borderId="52" xfId="0" applyFont="1" applyFill="1" applyBorder="1" applyAlignment="1">
      <alignment horizontal="left" vertical="top" wrapText="1"/>
    </xf>
    <xf numFmtId="0" fontId="14" fillId="26" borderId="52" xfId="0" quotePrefix="1" applyFont="1" applyFill="1" applyBorder="1" applyAlignment="1">
      <alignment horizontal="left" vertical="top" wrapText="1"/>
    </xf>
    <xf numFmtId="0" fontId="14" fillId="0" borderId="103" xfId="0" applyFont="1" applyBorder="1" applyAlignment="1">
      <alignment horizontal="left" vertical="top"/>
    </xf>
    <xf numFmtId="0" fontId="14" fillId="0" borderId="49" xfId="0" applyFont="1" applyBorder="1" applyAlignment="1">
      <alignment horizontal="center" vertical="top"/>
    </xf>
    <xf numFmtId="0" fontId="14" fillId="0" borderId="50" xfId="0" applyFont="1" applyBorder="1" applyAlignment="1">
      <alignment horizontal="left" vertical="top"/>
    </xf>
    <xf numFmtId="0" fontId="14" fillId="0" borderId="60" xfId="0" applyFont="1" applyBorder="1" applyAlignment="1">
      <alignment horizontal="center" vertical="top"/>
    </xf>
    <xf numFmtId="0" fontId="14" fillId="0" borderId="62" xfId="0" applyFont="1" applyBorder="1" applyAlignment="1">
      <alignment horizontal="left" vertical="top"/>
    </xf>
    <xf numFmtId="0" fontId="0" fillId="0" borderId="72" xfId="0" applyBorder="1" applyAlignment="1">
      <alignment horizontal="center" vertical="top"/>
    </xf>
    <xf numFmtId="0" fontId="0" fillId="18" borderId="64" xfId="0" applyFill="1" applyBorder="1" applyAlignment="1">
      <alignment horizontal="center" vertical="top"/>
    </xf>
    <xf numFmtId="0" fontId="0" fillId="25" borderId="64" xfId="0" applyFill="1" applyBorder="1" applyAlignment="1">
      <alignment horizontal="center" vertical="top"/>
    </xf>
    <xf numFmtId="0" fontId="0" fillId="9" borderId="64" xfId="0" applyFill="1" applyBorder="1" applyAlignment="1">
      <alignment horizontal="center" vertical="top"/>
    </xf>
    <xf numFmtId="0" fontId="14" fillId="4" borderId="167" xfId="0" applyFont="1" applyFill="1" applyBorder="1" applyAlignment="1">
      <alignment horizontal="center" vertical="top"/>
    </xf>
    <xf numFmtId="0" fontId="14" fillId="4" borderId="168" xfId="0" applyFont="1" applyFill="1" applyBorder="1" applyAlignment="1">
      <alignment horizontal="left" vertical="top"/>
    </xf>
    <xf numFmtId="0" fontId="13" fillId="12" borderId="21" xfId="0" applyFont="1" applyFill="1" applyBorder="1" applyAlignment="1">
      <alignment horizontal="center" vertical="top" wrapText="1"/>
    </xf>
    <xf numFmtId="0" fontId="13" fillId="12" borderId="97" xfId="0" applyFont="1" applyFill="1" applyBorder="1" applyAlignment="1">
      <alignment horizontal="center" vertical="top" wrapText="1"/>
    </xf>
    <xf numFmtId="0" fontId="14" fillId="20" borderId="3" xfId="0" applyFont="1" applyFill="1" applyBorder="1" applyAlignment="1">
      <alignment horizontal="center" vertical="center"/>
    </xf>
    <xf numFmtId="0" fontId="17" fillId="20" borderId="3" xfId="0" applyFont="1" applyFill="1" applyBorder="1" applyAlignment="1">
      <alignment horizontal="center" vertical="center" wrapText="1"/>
    </xf>
    <xf numFmtId="0" fontId="14" fillId="20" borderId="37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 wrapText="1"/>
    </xf>
    <xf numFmtId="0" fontId="0" fillId="13" borderId="0" xfId="0" applyFill="1" applyAlignment="1">
      <alignment horizontal="center" vertical="center"/>
    </xf>
    <xf numFmtId="0" fontId="25" fillId="24" borderId="0" xfId="0" applyFont="1" applyFill="1" applyAlignment="1">
      <alignment horizontal="center" vertical="center" wrapText="1"/>
    </xf>
    <xf numFmtId="43" fontId="0" fillId="0" borderId="0" xfId="2" applyFont="1" applyBorder="1" applyAlignment="1">
      <alignment horizontal="center" vertical="center"/>
    </xf>
    <xf numFmtId="4" fontId="13" fillId="12" borderId="0" xfId="0" applyNumberFormat="1" applyFont="1" applyFill="1" applyAlignment="1">
      <alignment horizontal="right" vertical="center" wrapText="1"/>
    </xf>
    <xf numFmtId="0" fontId="13" fillId="12" borderId="0" xfId="0" applyFont="1" applyFill="1" applyAlignment="1">
      <alignment horizontal="center" vertical="top" wrapText="1"/>
    </xf>
    <xf numFmtId="0" fontId="26" fillId="12" borderId="0" xfId="0" applyFont="1" applyFill="1" applyAlignment="1">
      <alignment horizontal="center" vertical="center" wrapText="1"/>
    </xf>
    <xf numFmtId="0" fontId="27" fillId="12" borderId="0" xfId="0" applyFont="1" applyFill="1" applyAlignment="1">
      <alignment horizontal="right" vertical="center" wrapText="1"/>
    </xf>
    <xf numFmtId="43" fontId="0" fillId="21" borderId="0" xfId="2" applyFont="1" applyFill="1" applyBorder="1" applyAlignment="1">
      <alignment horizontal="center" vertical="center"/>
    </xf>
    <xf numFmtId="0" fontId="14" fillId="4" borderId="56" xfId="0" applyFont="1" applyFill="1" applyBorder="1" applyAlignment="1">
      <alignment horizontal="center" vertical="top"/>
    </xf>
    <xf numFmtId="0" fontId="14" fillId="18" borderId="49" xfId="0" applyFont="1" applyFill="1" applyBorder="1" applyAlignment="1">
      <alignment horizontal="center" vertical="top"/>
    </xf>
    <xf numFmtId="0" fontId="14" fillId="22" borderId="49" xfId="0" applyFont="1" applyFill="1" applyBorder="1" applyAlignment="1">
      <alignment horizontal="center" vertical="top"/>
    </xf>
    <xf numFmtId="0" fontId="14" fillId="8" borderId="49" xfId="0" applyFont="1" applyFill="1" applyBorder="1" applyAlignment="1">
      <alignment horizontal="center" vertical="top"/>
    </xf>
    <xf numFmtId="0" fontId="14" fillId="21" borderId="49" xfId="0" applyFont="1" applyFill="1" applyBorder="1" applyAlignment="1">
      <alignment horizontal="center" vertical="top"/>
    </xf>
    <xf numFmtId="0" fontId="14" fillId="20" borderId="49" xfId="0" applyFont="1" applyFill="1" applyBorder="1" applyAlignment="1">
      <alignment horizontal="center" vertical="top"/>
    </xf>
    <xf numFmtId="0" fontId="14" fillId="0" borderId="56" xfId="0" applyFont="1" applyBorder="1" applyAlignment="1">
      <alignment horizontal="center" vertical="top"/>
    </xf>
    <xf numFmtId="1" fontId="14" fillId="6" borderId="57" xfId="0" applyNumberFormat="1" applyFont="1" applyFill="1" applyBorder="1" applyAlignment="1">
      <alignment horizontal="center" vertical="center"/>
    </xf>
    <xf numFmtId="0" fontId="14" fillId="0" borderId="53" xfId="0" applyFont="1" applyBorder="1" applyAlignment="1">
      <alignment horizontal="center" vertical="top"/>
    </xf>
    <xf numFmtId="165" fontId="0" fillId="0" borderId="113" xfId="0" applyNumberFormat="1" applyBorder="1" applyAlignment="1">
      <alignment horizontal="center" vertical="center"/>
    </xf>
    <xf numFmtId="0" fontId="14" fillId="4" borderId="58" xfId="0" applyFont="1" applyFill="1" applyBorder="1" applyAlignment="1">
      <alignment horizontal="left" vertical="top"/>
    </xf>
    <xf numFmtId="0" fontId="14" fillId="18" borderId="50" xfId="0" applyFont="1" applyFill="1" applyBorder="1" applyAlignment="1">
      <alignment horizontal="left" vertical="top"/>
    </xf>
    <xf numFmtId="0" fontId="14" fillId="22" borderId="50" xfId="0" applyFont="1" applyFill="1" applyBorder="1" applyAlignment="1">
      <alignment horizontal="left" vertical="top" wrapText="1"/>
    </xf>
    <xf numFmtId="0" fontId="14" fillId="8" borderId="50" xfId="0" applyFont="1" applyFill="1" applyBorder="1" applyAlignment="1">
      <alignment horizontal="left" vertical="top" wrapText="1"/>
    </xf>
    <xf numFmtId="0" fontId="14" fillId="21" borderId="50" xfId="0" applyFont="1" applyFill="1" applyBorder="1" applyAlignment="1">
      <alignment horizontal="left" vertical="top" wrapText="1"/>
    </xf>
    <xf numFmtId="0" fontId="14" fillId="20" borderId="50" xfId="0" applyFont="1" applyFill="1" applyBorder="1" applyAlignment="1">
      <alignment horizontal="left" vertical="top" wrapText="1"/>
    </xf>
    <xf numFmtId="0" fontId="14" fillId="0" borderId="161" xfId="0" applyFont="1" applyBorder="1" applyAlignment="1">
      <alignment horizontal="left" vertical="top"/>
    </xf>
    <xf numFmtId="0" fontId="14" fillId="6" borderId="58" xfId="0" applyFont="1" applyFill="1" applyBorder="1" applyAlignment="1">
      <alignment horizontal="left" vertical="top"/>
    </xf>
    <xf numFmtId="0" fontId="14" fillId="7" borderId="50" xfId="0" applyFont="1" applyFill="1" applyBorder="1" applyAlignment="1">
      <alignment horizontal="left" vertical="top"/>
    </xf>
    <xf numFmtId="43" fontId="14" fillId="8" borderId="62" xfId="2" applyFont="1" applyFill="1" applyBorder="1" applyAlignment="1">
      <alignment horizontal="left" vertical="top"/>
    </xf>
    <xf numFmtId="0" fontId="14" fillId="4" borderId="72" xfId="0" applyFont="1" applyFill="1" applyBorder="1" applyAlignment="1">
      <alignment horizontal="center" vertical="center"/>
    </xf>
    <xf numFmtId="0" fontId="0" fillId="18" borderId="64" xfId="0" applyFill="1" applyBorder="1" applyAlignment="1">
      <alignment horizontal="center" vertical="center"/>
    </xf>
    <xf numFmtId="0" fontId="0" fillId="2" borderId="64" xfId="0" applyFill="1" applyBorder="1"/>
    <xf numFmtId="0" fontId="0" fillId="21" borderId="64" xfId="0" applyFill="1" applyBorder="1" applyAlignment="1">
      <alignment horizontal="center" vertical="center"/>
    </xf>
    <xf numFmtId="0" fontId="0" fillId="13" borderId="64" xfId="0" applyFill="1" applyBorder="1" applyAlignment="1">
      <alignment horizontal="center" vertical="center"/>
    </xf>
    <xf numFmtId="165" fontId="0" fillId="0" borderId="165" xfId="0" applyNumberFormat="1" applyBorder="1" applyAlignment="1">
      <alignment horizontal="center" vertical="center"/>
    </xf>
    <xf numFmtId="1" fontId="14" fillId="6" borderId="72" xfId="0" applyNumberFormat="1" applyFont="1" applyFill="1" applyBorder="1" applyAlignment="1">
      <alignment horizontal="center" vertical="center"/>
    </xf>
    <xf numFmtId="43" fontId="14" fillId="7" borderId="64" xfId="2" applyFont="1" applyFill="1" applyBorder="1" applyAlignment="1">
      <alignment horizontal="center" vertical="center"/>
    </xf>
    <xf numFmtId="43" fontId="14" fillId="8" borderId="73" xfId="2" applyFont="1" applyFill="1" applyBorder="1" applyAlignment="1">
      <alignment horizontal="center" vertical="center"/>
    </xf>
    <xf numFmtId="0" fontId="14" fillId="4" borderId="46" xfId="0" applyFont="1" applyFill="1" applyBorder="1" applyAlignment="1">
      <alignment horizontal="center" vertical="center" wrapText="1"/>
    </xf>
    <xf numFmtId="0" fontId="16" fillId="6" borderId="46" xfId="0" applyFont="1" applyFill="1" applyBorder="1" applyAlignment="1">
      <alignment horizontal="center" vertical="center"/>
    </xf>
    <xf numFmtId="0" fontId="15" fillId="6" borderId="169" xfId="0" applyFont="1" applyFill="1" applyBorder="1" applyAlignment="1">
      <alignment horizontal="center" vertical="center"/>
    </xf>
    <xf numFmtId="0" fontId="14" fillId="4" borderId="45" xfId="0" applyFont="1" applyFill="1" applyBorder="1" applyAlignment="1">
      <alignment horizontal="center" vertical="center"/>
    </xf>
    <xf numFmtId="0" fontId="17" fillId="2" borderId="49" xfId="0" applyFont="1" applyFill="1" applyBorder="1" applyAlignment="1">
      <alignment horizontal="center" vertical="center" wrapText="1"/>
    </xf>
    <xf numFmtId="0" fontId="17" fillId="7" borderId="49" xfId="0" applyFont="1" applyFill="1" applyBorder="1" applyAlignment="1">
      <alignment horizontal="center" vertical="center" wrapText="1"/>
    </xf>
    <xf numFmtId="0" fontId="17" fillId="21" borderId="49" xfId="0" applyFont="1" applyFill="1" applyBorder="1" applyAlignment="1">
      <alignment horizontal="center" vertical="center" wrapText="1"/>
    </xf>
    <xf numFmtId="0" fontId="17" fillId="20" borderId="49" xfId="0" applyFont="1" applyFill="1" applyBorder="1" applyAlignment="1">
      <alignment horizontal="center" vertical="center" wrapText="1"/>
    </xf>
    <xf numFmtId="165" fontId="0" fillId="0" borderId="53" xfId="0" applyNumberFormat="1" applyBorder="1" applyAlignment="1">
      <alignment horizontal="center" vertical="center"/>
    </xf>
    <xf numFmtId="1" fontId="14" fillId="6" borderId="56" xfId="0" applyNumberFormat="1" applyFont="1" applyFill="1" applyBorder="1" applyAlignment="1">
      <alignment horizontal="center" vertical="center"/>
    </xf>
    <xf numFmtId="0" fontId="14" fillId="4" borderId="69" xfId="0" applyFont="1" applyFill="1" applyBorder="1" applyAlignment="1">
      <alignment horizontal="center" vertical="center"/>
    </xf>
    <xf numFmtId="0" fontId="17" fillId="8" borderId="37" xfId="0" applyFont="1" applyFill="1" applyBorder="1" applyAlignment="1">
      <alignment horizontal="center" vertical="center" wrapText="1"/>
    </xf>
    <xf numFmtId="165" fontId="0" fillId="0" borderId="114" xfId="0" applyNumberFormat="1" applyBorder="1" applyAlignment="1">
      <alignment horizontal="center" vertical="center"/>
    </xf>
    <xf numFmtId="1" fontId="14" fillId="6" borderId="69" xfId="0" applyNumberFormat="1" applyFont="1" applyFill="1" applyBorder="1" applyAlignment="1">
      <alignment horizontal="center" vertical="center"/>
    </xf>
    <xf numFmtId="43" fontId="14" fillId="7" borderId="37" xfId="2" applyFont="1" applyFill="1" applyBorder="1" applyAlignment="1">
      <alignment horizontal="center" vertical="center"/>
    </xf>
    <xf numFmtId="43" fontId="14" fillId="8" borderId="70" xfId="2" applyFont="1" applyFill="1" applyBorder="1" applyAlignment="1">
      <alignment horizontal="center" vertical="center"/>
    </xf>
    <xf numFmtId="0" fontId="16" fillId="6" borderId="45" xfId="0" applyFont="1" applyFill="1" applyBorder="1" applyAlignment="1">
      <alignment horizontal="center" vertical="center" wrapText="1"/>
    </xf>
    <xf numFmtId="0" fontId="14" fillId="20" borderId="49" xfId="0" applyFont="1" applyFill="1" applyBorder="1" applyAlignment="1">
      <alignment horizontal="center" vertical="center"/>
    </xf>
    <xf numFmtId="0" fontId="14" fillId="4" borderId="116" xfId="0" applyFont="1" applyFill="1" applyBorder="1" applyAlignment="1">
      <alignment horizontal="center" vertical="center"/>
    </xf>
    <xf numFmtId="0" fontId="16" fillId="6" borderId="45" xfId="0" applyFont="1" applyFill="1" applyBorder="1" applyAlignment="1">
      <alignment horizontal="center" vertical="center"/>
    </xf>
    <xf numFmtId="0" fontId="16" fillId="6" borderId="116" xfId="0" applyFont="1" applyFill="1" applyBorder="1" applyAlignment="1">
      <alignment horizontal="center" vertical="center" wrapText="1"/>
    </xf>
    <xf numFmtId="0" fontId="16" fillId="6" borderId="116" xfId="0" applyFont="1" applyFill="1" applyBorder="1" applyAlignment="1">
      <alignment horizontal="center" vertical="center"/>
    </xf>
    <xf numFmtId="0" fontId="16" fillId="6" borderId="170" xfId="0" applyFont="1" applyFill="1" applyBorder="1" applyAlignment="1">
      <alignment horizontal="center" vertical="center"/>
    </xf>
    <xf numFmtId="0" fontId="14" fillId="0" borderId="94" xfId="0" applyFont="1" applyBorder="1" applyAlignment="1">
      <alignment horizontal="center" vertical="center"/>
    </xf>
    <xf numFmtId="0" fontId="14" fillId="18" borderId="94" xfId="0" applyFont="1" applyFill="1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14" fillId="22" borderId="94" xfId="0" applyFont="1" applyFill="1" applyBorder="1" applyAlignment="1">
      <alignment horizontal="center" vertical="center"/>
    </xf>
    <xf numFmtId="0" fontId="14" fillId="8" borderId="94" xfId="0" applyFont="1" applyFill="1" applyBorder="1" applyAlignment="1">
      <alignment horizontal="center" vertical="center"/>
    </xf>
    <xf numFmtId="0" fontId="14" fillId="2" borderId="94" xfId="0" applyFont="1" applyFill="1" applyBorder="1" applyAlignment="1">
      <alignment horizontal="center" vertical="center"/>
    </xf>
    <xf numFmtId="0" fontId="14" fillId="21" borderId="94" xfId="0" applyFont="1" applyFill="1" applyBorder="1" applyAlignment="1">
      <alignment horizontal="center" vertical="center"/>
    </xf>
    <xf numFmtId="0" fontId="14" fillId="20" borderId="94" xfId="0" applyFont="1" applyFill="1" applyBorder="1" applyAlignment="1">
      <alignment horizontal="center" vertical="center"/>
    </xf>
    <xf numFmtId="0" fontId="0" fillId="9" borderId="94" xfId="0" applyFill="1" applyBorder="1" applyAlignment="1">
      <alignment horizontal="center" vertical="center"/>
    </xf>
    <xf numFmtId="165" fontId="0" fillId="0" borderId="171" xfId="0" applyNumberFormat="1" applyBorder="1" applyAlignment="1">
      <alignment horizontal="center" vertical="center"/>
    </xf>
    <xf numFmtId="1" fontId="14" fillId="6" borderId="172" xfId="0" applyNumberFormat="1" applyFont="1" applyFill="1" applyBorder="1" applyAlignment="1">
      <alignment horizontal="center" vertical="center"/>
    </xf>
    <xf numFmtId="43" fontId="14" fillId="7" borderId="94" xfId="2" applyFont="1" applyFill="1" applyBorder="1" applyAlignment="1">
      <alignment horizontal="center" vertical="center"/>
    </xf>
    <xf numFmtId="43" fontId="14" fillId="8" borderId="173" xfId="2" applyFont="1" applyFill="1" applyBorder="1" applyAlignment="1">
      <alignment horizontal="center" vertical="center"/>
    </xf>
    <xf numFmtId="0" fontId="14" fillId="20" borderId="50" xfId="0" quotePrefix="1" applyFont="1" applyFill="1" applyBorder="1" applyAlignment="1">
      <alignment horizontal="left" vertical="top" wrapText="1"/>
    </xf>
    <xf numFmtId="0" fontId="14" fillId="20" borderId="113" xfId="0" applyFont="1" applyFill="1" applyBorder="1" applyAlignment="1">
      <alignment horizontal="center" vertical="center"/>
    </xf>
    <xf numFmtId="0" fontId="0" fillId="9" borderId="174" xfId="0" applyFill="1" applyBorder="1" applyAlignment="1">
      <alignment horizontal="center" vertical="center"/>
    </xf>
    <xf numFmtId="0" fontId="0" fillId="9" borderId="46" xfId="0" applyFill="1" applyBorder="1" applyAlignment="1">
      <alignment horizontal="center" vertical="center"/>
    </xf>
    <xf numFmtId="0" fontId="14" fillId="20" borderId="46" xfId="0" applyFont="1" applyFill="1" applyBorder="1" applyAlignment="1">
      <alignment horizontal="center" vertical="center"/>
    </xf>
    <xf numFmtId="0" fontId="0" fillId="0" borderId="0" xfId="0" quotePrefix="1" applyAlignment="1">
      <alignment horizontal="left" vertical="top" wrapText="1"/>
    </xf>
    <xf numFmtId="0" fontId="14" fillId="20" borderId="49" xfId="0" applyFont="1" applyFill="1" applyBorder="1" applyAlignment="1">
      <alignment horizontal="left" vertical="top" wrapText="1"/>
    </xf>
    <xf numFmtId="0" fontId="14" fillId="20" borderId="3" xfId="0" applyFont="1" applyFill="1" applyBorder="1" applyAlignment="1">
      <alignment horizontal="left" vertical="top" wrapText="1"/>
    </xf>
    <xf numFmtId="0" fontId="14" fillId="20" borderId="94" xfId="0" applyFont="1" applyFill="1" applyBorder="1" applyAlignment="1">
      <alignment horizontal="left" vertical="top" wrapText="1"/>
    </xf>
    <xf numFmtId="0" fontId="0" fillId="20" borderId="175" xfId="0" applyFill="1" applyBorder="1" applyAlignment="1">
      <alignment horizontal="center" vertical="center"/>
    </xf>
    <xf numFmtId="0" fontId="14" fillId="20" borderId="174" xfId="0" applyFont="1" applyFill="1" applyBorder="1" applyAlignment="1">
      <alignment horizontal="center" vertical="center"/>
    </xf>
    <xf numFmtId="0" fontId="14" fillId="20" borderId="64" xfId="0" applyFont="1" applyFill="1" applyBorder="1" applyAlignment="1">
      <alignment horizontal="center" vertical="center"/>
    </xf>
    <xf numFmtId="0" fontId="0" fillId="0" borderId="0" xfId="0" quotePrefix="1" applyAlignment="1">
      <alignment horizontal="left" vertical="top"/>
    </xf>
    <xf numFmtId="0" fontId="17" fillId="13" borderId="49" xfId="0" applyFont="1" applyFill="1" applyBorder="1" applyAlignment="1">
      <alignment horizontal="center" vertical="center" wrapText="1"/>
    </xf>
    <xf numFmtId="0" fontId="14" fillId="27" borderId="50" xfId="0" applyFont="1" applyFill="1" applyBorder="1" applyAlignment="1">
      <alignment horizontal="left" vertical="top" wrapText="1"/>
    </xf>
    <xf numFmtId="0" fontId="14" fillId="27" borderId="49" xfId="0" applyFont="1" applyFill="1" applyBorder="1" applyAlignment="1">
      <alignment horizontal="center" vertical="top"/>
    </xf>
    <xf numFmtId="0" fontId="0" fillId="28" borderId="0" xfId="0" applyFill="1" applyAlignment="1">
      <alignment horizontal="center" vertical="center"/>
    </xf>
    <xf numFmtId="0" fontId="14" fillId="7" borderId="3" xfId="0" applyFont="1" applyFill="1" applyBorder="1" applyAlignment="1">
      <alignment horizontal="left" vertical="center"/>
    </xf>
    <xf numFmtId="0" fontId="14" fillId="4" borderId="116" xfId="0" applyFont="1" applyFill="1" applyBorder="1" applyAlignment="1">
      <alignment horizontal="center" vertical="center" wrapText="1"/>
    </xf>
    <xf numFmtId="0" fontId="0" fillId="2" borderId="64" xfId="0" applyFill="1" applyBorder="1" applyAlignment="1">
      <alignment horizontal="center"/>
    </xf>
    <xf numFmtId="0" fontId="14" fillId="7" borderId="49" xfId="0" applyFont="1" applyFill="1" applyBorder="1" applyAlignment="1">
      <alignment horizontal="center" vertical="top"/>
    </xf>
    <xf numFmtId="0" fontId="14" fillId="7" borderId="50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center"/>
    </xf>
    <xf numFmtId="0" fontId="0" fillId="28" borderId="0" xfId="0" applyFill="1" applyAlignment="1">
      <alignment horizontal="center" vertical="top"/>
    </xf>
    <xf numFmtId="0" fontId="0" fillId="29" borderId="3" xfId="0" applyFill="1" applyBorder="1" applyAlignment="1">
      <alignment horizontal="center" vertical="top"/>
    </xf>
    <xf numFmtId="0" fontId="0" fillId="28" borderId="3" xfId="0" applyFill="1" applyBorder="1" applyAlignment="1">
      <alignment horizontal="center" vertical="top"/>
    </xf>
    <xf numFmtId="0" fontId="14" fillId="20" borderId="113" xfId="0" applyFont="1" applyFill="1" applyBorder="1" applyAlignment="1">
      <alignment vertical="center"/>
    </xf>
    <xf numFmtId="0" fontId="20" fillId="20" borderId="50" xfId="0" applyFont="1" applyFill="1" applyBorder="1" applyAlignment="1">
      <alignment horizontal="left" vertical="top" wrapText="1"/>
    </xf>
    <xf numFmtId="0" fontId="17" fillId="20" borderId="37" xfId="0" applyFont="1" applyFill="1" applyBorder="1" applyAlignment="1">
      <alignment horizontal="center" vertical="center" wrapText="1"/>
    </xf>
    <xf numFmtId="0" fontId="14" fillId="20" borderId="1" xfId="0" applyFont="1" applyFill="1" applyBorder="1" applyAlignment="1">
      <alignment vertical="center"/>
    </xf>
    <xf numFmtId="0" fontId="8" fillId="10" borderId="6" xfId="0" applyFont="1" applyFill="1" applyBorder="1" applyAlignment="1">
      <alignment horizontal="center" vertical="top"/>
    </xf>
    <xf numFmtId="0" fontId="25" fillId="29" borderId="3" xfId="0" applyFont="1" applyFill="1" applyBorder="1" applyAlignment="1">
      <alignment horizontal="center" vertical="top" wrapText="1"/>
    </xf>
    <xf numFmtId="0" fontId="16" fillId="0" borderId="3" xfId="0" applyFont="1" applyBorder="1" applyAlignment="1">
      <alignment horizontal="center" vertical="top"/>
    </xf>
    <xf numFmtId="0" fontId="8" fillId="11" borderId="176" xfId="0" applyFont="1" applyFill="1" applyBorder="1" applyAlignment="1">
      <alignment horizontal="center" vertical="top"/>
    </xf>
    <xf numFmtId="0" fontId="10" fillId="0" borderId="68" xfId="0" applyFont="1" applyBorder="1"/>
    <xf numFmtId="0" fontId="10" fillId="2" borderId="172" xfId="0" applyFont="1" applyFill="1" applyBorder="1"/>
    <xf numFmtId="0" fontId="10" fillId="30" borderId="173" xfId="0" applyFont="1" applyFill="1" applyBorder="1"/>
    <xf numFmtId="0" fontId="10" fillId="30" borderId="1" xfId="0" applyFont="1" applyFill="1" applyBorder="1"/>
    <xf numFmtId="0" fontId="10" fillId="30" borderId="52" xfId="0" applyFont="1" applyFill="1" applyBorder="1"/>
    <xf numFmtId="0" fontId="10" fillId="30" borderId="13" xfId="0" applyFont="1" applyFill="1" applyBorder="1"/>
    <xf numFmtId="0" fontId="0" fillId="30" borderId="13" xfId="0" applyFill="1" applyBorder="1"/>
    <xf numFmtId="0" fontId="10" fillId="30" borderId="108" xfId="0" applyFont="1" applyFill="1" applyBorder="1"/>
    <xf numFmtId="0" fontId="0" fillId="30" borderId="1" xfId="0" applyFill="1" applyBorder="1"/>
    <xf numFmtId="0" fontId="10" fillId="30" borderId="68" xfId="0" applyFont="1" applyFill="1" applyBorder="1"/>
    <xf numFmtId="0" fontId="0" fillId="30" borderId="52" xfId="0" applyFill="1" applyBorder="1"/>
    <xf numFmtId="0" fontId="0" fillId="7" borderId="64" xfId="0" applyFill="1" applyBorder="1" applyAlignment="1">
      <alignment horizontal="center" vertical="center"/>
    </xf>
    <xf numFmtId="0" fontId="0" fillId="7" borderId="49" xfId="0" applyFill="1" applyBorder="1" applyAlignment="1">
      <alignment horizontal="center" vertical="center"/>
    </xf>
    <xf numFmtId="0" fontId="0" fillId="0" borderId="144" xfId="0" applyBorder="1" applyAlignment="1">
      <alignment horizontal="center" vertical="top"/>
    </xf>
    <xf numFmtId="0" fontId="14" fillId="0" borderId="1" xfId="0" applyFont="1" applyBorder="1" applyAlignment="1">
      <alignment horizontal="left" vertical="top"/>
    </xf>
    <xf numFmtId="0" fontId="14" fillId="18" borderId="1" xfId="0" applyFont="1" applyFill="1" applyBorder="1" applyAlignment="1">
      <alignment horizontal="left" vertical="top"/>
    </xf>
    <xf numFmtId="0" fontId="14" fillId="2" borderId="1" xfId="0" applyFont="1" applyFill="1" applyBorder="1" applyAlignment="1">
      <alignment horizontal="left" vertical="top" wrapText="1"/>
    </xf>
    <xf numFmtId="0" fontId="14" fillId="7" borderId="1" xfId="0" applyFont="1" applyFill="1" applyBorder="1" applyAlignment="1">
      <alignment horizontal="left" vertical="top" wrapText="1"/>
    </xf>
    <xf numFmtId="0" fontId="14" fillId="2" borderId="1" xfId="0" applyFont="1" applyFill="1" applyBorder="1" applyAlignment="1">
      <alignment horizontal="left" vertical="top"/>
    </xf>
    <xf numFmtId="0" fontId="14" fillId="7" borderId="1" xfId="0" applyFont="1" applyFill="1" applyBorder="1" applyAlignment="1">
      <alignment vertical="top" wrapText="1"/>
    </xf>
    <xf numFmtId="0" fontId="14" fillId="7" borderId="1" xfId="0" applyFont="1" applyFill="1" applyBorder="1" applyAlignment="1">
      <alignment horizontal="left" vertical="top"/>
    </xf>
    <xf numFmtId="0" fontId="14" fillId="0" borderId="2" xfId="0" applyFont="1" applyBorder="1" applyAlignment="1">
      <alignment horizontal="center" vertical="top"/>
    </xf>
    <xf numFmtId="0" fontId="14" fillId="18" borderId="2" xfId="0" applyFont="1" applyFill="1" applyBorder="1" applyAlignment="1">
      <alignment horizontal="center" vertical="top"/>
    </xf>
    <xf numFmtId="0" fontId="14" fillId="2" borderId="2" xfId="0" applyFont="1" applyFill="1" applyBorder="1" applyAlignment="1">
      <alignment horizontal="center" vertical="top"/>
    </xf>
    <xf numFmtId="0" fontId="14" fillId="7" borderId="2" xfId="0" applyFont="1" applyFill="1" applyBorder="1" applyAlignment="1">
      <alignment horizontal="center" vertical="top"/>
    </xf>
    <xf numFmtId="0" fontId="14" fillId="0" borderId="46" xfId="0" applyFont="1" applyBorder="1" applyAlignment="1">
      <alignment horizontal="center" vertical="center"/>
    </xf>
    <xf numFmtId="0" fontId="16" fillId="6" borderId="178" xfId="0" applyFont="1" applyFill="1" applyBorder="1" applyAlignment="1">
      <alignment horizontal="center" vertical="center"/>
    </xf>
    <xf numFmtId="0" fontId="16" fillId="6" borderId="180" xfId="0" applyFont="1" applyFill="1" applyBorder="1" applyAlignment="1">
      <alignment horizontal="center" vertical="center"/>
    </xf>
    <xf numFmtId="0" fontId="14" fillId="0" borderId="116" xfId="0" applyFont="1" applyBorder="1" applyAlignment="1">
      <alignment horizontal="center" vertical="center"/>
    </xf>
    <xf numFmtId="0" fontId="14" fillId="6" borderId="181" xfId="0" applyFont="1" applyFill="1" applyBorder="1" applyAlignment="1">
      <alignment horizontal="left" vertical="top"/>
    </xf>
    <xf numFmtId="43" fontId="14" fillId="8" borderId="67" xfId="2" applyFont="1" applyFill="1" applyBorder="1" applyAlignment="1">
      <alignment horizontal="left" vertical="top"/>
    </xf>
    <xf numFmtId="0" fontId="14" fillId="4" borderId="152" xfId="0" applyFont="1" applyFill="1" applyBorder="1" applyAlignment="1">
      <alignment horizontal="center" vertical="top"/>
    </xf>
    <xf numFmtId="0" fontId="14" fillId="0" borderId="182" xfId="0" applyFont="1" applyBorder="1" applyAlignment="1">
      <alignment horizontal="center" vertical="top"/>
    </xf>
    <xf numFmtId="0" fontId="14" fillId="18" borderId="12" xfId="0" applyFont="1" applyFill="1" applyBorder="1" applyAlignment="1">
      <alignment horizontal="center" vertical="top"/>
    </xf>
    <xf numFmtId="0" fontId="14" fillId="0" borderId="12" xfId="0" applyFont="1" applyBorder="1" applyAlignment="1">
      <alignment horizontal="center" vertical="top"/>
    </xf>
    <xf numFmtId="0" fontId="14" fillId="2" borderId="12" xfId="0" applyFont="1" applyFill="1" applyBorder="1" applyAlignment="1">
      <alignment horizontal="center" vertical="top"/>
    </xf>
    <xf numFmtId="0" fontId="14" fillId="7" borderId="12" xfId="0" applyFont="1" applyFill="1" applyBorder="1" applyAlignment="1">
      <alignment horizontal="center" vertical="top"/>
    </xf>
    <xf numFmtId="0" fontId="14" fillId="2" borderId="106" xfId="0" applyFont="1" applyFill="1" applyBorder="1" applyAlignment="1">
      <alignment horizontal="center" vertical="top"/>
    </xf>
    <xf numFmtId="0" fontId="14" fillId="7" borderId="106" xfId="0" applyFont="1" applyFill="1" applyBorder="1" applyAlignment="1">
      <alignment horizontal="center" vertical="top"/>
    </xf>
    <xf numFmtId="0" fontId="14" fillId="0" borderId="106" xfId="0" applyFont="1" applyBorder="1" applyAlignment="1">
      <alignment horizontal="center" vertical="top"/>
    </xf>
    <xf numFmtId="0" fontId="14" fillId="0" borderId="183" xfId="0" applyFont="1" applyBorder="1" applyAlignment="1">
      <alignment horizontal="center" vertical="top"/>
    </xf>
    <xf numFmtId="0" fontId="14" fillId="0" borderId="110" xfId="0" applyFont="1" applyBorder="1" applyAlignment="1">
      <alignment horizontal="center" vertical="top"/>
    </xf>
    <xf numFmtId="0" fontId="14" fillId="4" borderId="184" xfId="0" applyFont="1" applyFill="1" applyBorder="1" applyAlignment="1">
      <alignment horizontal="left" vertical="top"/>
    </xf>
    <xf numFmtId="0" fontId="14" fillId="4" borderId="82" xfId="0" applyFont="1" applyFill="1" applyBorder="1" applyAlignment="1">
      <alignment horizontal="left" vertical="top"/>
    </xf>
    <xf numFmtId="0" fontId="14" fillId="0" borderId="185" xfId="0" applyFont="1" applyBorder="1" applyAlignment="1">
      <alignment horizontal="left" vertical="top"/>
    </xf>
    <xf numFmtId="0" fontId="14" fillId="0" borderId="52" xfId="0" applyFont="1" applyBorder="1" applyAlignment="1">
      <alignment horizontal="center" vertical="top"/>
    </xf>
    <xf numFmtId="0" fontId="14" fillId="18" borderId="106" xfId="0" applyFont="1" applyFill="1" applyBorder="1" applyAlignment="1">
      <alignment horizontal="left" vertical="top"/>
    </xf>
    <xf numFmtId="0" fontId="14" fillId="0" borderId="106" xfId="0" applyFont="1" applyBorder="1" applyAlignment="1">
      <alignment horizontal="left" vertical="top"/>
    </xf>
    <xf numFmtId="0" fontId="14" fillId="7" borderId="106" xfId="0" applyFont="1" applyFill="1" applyBorder="1" applyAlignment="1">
      <alignment horizontal="left" vertical="top" wrapText="1"/>
    </xf>
    <xf numFmtId="0" fontId="14" fillId="2" borderId="106" xfId="0" applyFont="1" applyFill="1" applyBorder="1" applyAlignment="1">
      <alignment horizontal="left" vertical="top"/>
    </xf>
    <xf numFmtId="0" fontId="14" fillId="7" borderId="106" xfId="0" applyFont="1" applyFill="1" applyBorder="1" applyAlignment="1">
      <alignment vertical="top" wrapText="1"/>
    </xf>
    <xf numFmtId="0" fontId="14" fillId="6" borderId="183" xfId="0" applyFont="1" applyFill="1" applyBorder="1" applyAlignment="1">
      <alignment horizontal="left" vertical="top"/>
    </xf>
    <xf numFmtId="0" fontId="14" fillId="0" borderId="166" xfId="0" applyFont="1" applyBorder="1" applyAlignment="1">
      <alignment horizontal="center" vertical="top"/>
    </xf>
    <xf numFmtId="0" fontId="14" fillId="7" borderId="106" xfId="0" applyFont="1" applyFill="1" applyBorder="1" applyAlignment="1">
      <alignment horizontal="left" vertical="top"/>
    </xf>
    <xf numFmtId="43" fontId="14" fillId="8" borderId="110" xfId="2" applyFont="1" applyFill="1" applyBorder="1" applyAlignment="1">
      <alignment horizontal="left" vertical="top"/>
    </xf>
    <xf numFmtId="0" fontId="14" fillId="0" borderId="68" xfId="0" applyFont="1" applyBorder="1" applyAlignment="1">
      <alignment horizontal="center" vertical="top"/>
    </xf>
    <xf numFmtId="0" fontId="14" fillId="4" borderId="46" xfId="0" applyFont="1" applyFill="1" applyBorder="1" applyAlignment="1">
      <alignment horizontal="center" vertical="center"/>
    </xf>
    <xf numFmtId="0" fontId="14" fillId="13" borderId="46" xfId="0" applyFont="1" applyFill="1" applyBorder="1" applyAlignment="1">
      <alignment horizontal="center" vertical="center"/>
    </xf>
    <xf numFmtId="0" fontId="14" fillId="4" borderId="82" xfId="0" applyFont="1" applyFill="1" applyBorder="1" applyAlignment="1">
      <alignment horizontal="center" vertical="top"/>
    </xf>
    <xf numFmtId="0" fontId="14" fillId="7" borderId="64" xfId="0" applyFont="1" applyFill="1" applyBorder="1" applyAlignment="1">
      <alignment horizontal="center"/>
    </xf>
    <xf numFmtId="0" fontId="14" fillId="7" borderId="49" xfId="0" applyFont="1" applyFill="1" applyBorder="1" applyAlignment="1">
      <alignment horizontal="center"/>
    </xf>
    <xf numFmtId="0" fontId="14" fillId="0" borderId="175" xfId="0" applyFont="1" applyBorder="1" applyAlignment="1">
      <alignment horizontal="center" vertical="center"/>
    </xf>
    <xf numFmtId="0" fontId="14" fillId="4" borderId="177" xfId="0" applyFont="1" applyFill="1" applyBorder="1" applyAlignment="1">
      <alignment horizontal="center" vertical="center"/>
    </xf>
    <xf numFmtId="0" fontId="14" fillId="4" borderId="178" xfId="0" applyFont="1" applyFill="1" applyBorder="1" applyAlignment="1">
      <alignment horizontal="center" vertical="center" wrapText="1"/>
    </xf>
    <xf numFmtId="0" fontId="16" fillId="6" borderId="162" xfId="0" applyFont="1" applyFill="1" applyBorder="1" applyAlignment="1">
      <alignment horizontal="center" vertical="center"/>
    </xf>
    <xf numFmtId="0" fontId="16" fillId="6" borderId="163" xfId="0" applyFont="1" applyFill="1" applyBorder="1" applyAlignment="1">
      <alignment horizontal="center" vertical="center"/>
    </xf>
    <xf numFmtId="0" fontId="16" fillId="6" borderId="164" xfId="0" applyFont="1" applyFill="1" applyBorder="1" applyAlignment="1">
      <alignment horizontal="center" vertical="center"/>
    </xf>
    <xf numFmtId="0" fontId="16" fillId="6" borderId="187" xfId="0" applyFont="1" applyFill="1" applyBorder="1" applyAlignment="1">
      <alignment horizontal="center" vertical="center"/>
    </xf>
    <xf numFmtId="0" fontId="15" fillId="6" borderId="64" xfId="0" applyFont="1" applyFill="1" applyBorder="1" applyAlignment="1">
      <alignment horizontal="center" vertical="center"/>
    </xf>
    <xf numFmtId="0" fontId="16" fillId="6" borderId="189" xfId="0" applyFont="1" applyFill="1" applyBorder="1" applyAlignment="1">
      <alignment horizontal="center" vertical="center"/>
    </xf>
    <xf numFmtId="0" fontId="14" fillId="0" borderId="186" xfId="0" applyFont="1" applyBorder="1" applyAlignment="1">
      <alignment horizontal="center" vertical="center"/>
    </xf>
    <xf numFmtId="0" fontId="14" fillId="18" borderId="160" xfId="0" applyFont="1" applyFill="1" applyBorder="1" applyAlignment="1">
      <alignment horizontal="center" vertical="center"/>
    </xf>
    <xf numFmtId="0" fontId="0" fillId="0" borderId="160" xfId="0" applyBorder="1" applyAlignment="1">
      <alignment horizontal="center" vertical="center"/>
    </xf>
    <xf numFmtId="0" fontId="14" fillId="2" borderId="160" xfId="0" applyFont="1" applyFill="1" applyBorder="1" applyAlignment="1">
      <alignment horizontal="center" vertical="center"/>
    </xf>
    <xf numFmtId="0" fontId="14" fillId="7" borderId="160" xfId="0" applyFont="1" applyFill="1" applyBorder="1" applyAlignment="1">
      <alignment horizontal="center"/>
    </xf>
    <xf numFmtId="0" fontId="14" fillId="0" borderId="106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14" fillId="0" borderId="160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50" xfId="0" applyFont="1" applyBorder="1" applyAlignment="1">
      <alignment horizontal="center" vertical="center" wrapText="1"/>
    </xf>
    <xf numFmtId="0" fontId="14" fillId="7" borderId="174" xfId="0" applyFont="1" applyFill="1" applyBorder="1" applyAlignment="1">
      <alignment horizontal="center" vertical="top"/>
    </xf>
    <xf numFmtId="0" fontId="14" fillId="7" borderId="174" xfId="0" applyFont="1" applyFill="1" applyBorder="1" applyAlignment="1">
      <alignment horizontal="left" vertical="top" wrapText="1"/>
    </xf>
    <xf numFmtId="0" fontId="14" fillId="7" borderId="174" xfId="0" quotePrefix="1" applyFont="1" applyFill="1" applyBorder="1" applyAlignment="1">
      <alignment horizontal="left" vertical="top" wrapText="1"/>
    </xf>
    <xf numFmtId="0" fontId="14" fillId="7" borderId="1" xfId="0" quotePrefix="1" applyFont="1" applyFill="1" applyBorder="1" applyAlignment="1">
      <alignment horizontal="left" vertical="top" wrapText="1"/>
    </xf>
    <xf numFmtId="0" fontId="14" fillId="7" borderId="49" xfId="0" applyFont="1" applyFill="1" applyBorder="1" applyAlignment="1">
      <alignment horizontal="left" vertical="top" wrapText="1"/>
    </xf>
    <xf numFmtId="0" fontId="14" fillId="7" borderId="3" xfId="0" applyFont="1" applyFill="1" applyBorder="1" applyAlignment="1">
      <alignment horizontal="left" vertical="top" wrapText="1"/>
    </xf>
    <xf numFmtId="0" fontId="14" fillId="7" borderId="160" xfId="0" applyFont="1" applyFill="1" applyBorder="1" applyAlignment="1">
      <alignment horizontal="left" vertical="top" wrapText="1"/>
    </xf>
    <xf numFmtId="0" fontId="0" fillId="7" borderId="3" xfId="0" applyFill="1" applyBorder="1" applyAlignment="1">
      <alignment horizontal="center" vertical="center"/>
    </xf>
    <xf numFmtId="0" fontId="0" fillId="7" borderId="50" xfId="0" applyFill="1" applyBorder="1" applyAlignment="1">
      <alignment horizontal="center" vertical="center"/>
    </xf>
    <xf numFmtId="0" fontId="0" fillId="7" borderId="37" xfId="0" applyFill="1" applyBorder="1" applyAlignment="1">
      <alignment horizontal="center" vertical="center"/>
    </xf>
    <xf numFmtId="0" fontId="0" fillId="7" borderId="160" xfId="0" applyFill="1" applyBorder="1" applyAlignment="1">
      <alignment horizontal="center" vertical="center"/>
    </xf>
    <xf numFmtId="0" fontId="14" fillId="7" borderId="8" xfId="0" applyFont="1" applyFill="1" applyBorder="1" applyAlignment="1">
      <alignment horizontal="center" vertical="top"/>
    </xf>
    <xf numFmtId="0" fontId="14" fillId="7" borderId="107" xfId="0" applyFont="1" applyFill="1" applyBorder="1" applyAlignment="1">
      <alignment horizontal="left" vertical="top"/>
    </xf>
    <xf numFmtId="0" fontId="14" fillId="7" borderId="3" xfId="0" applyFont="1" applyFill="1" applyBorder="1" applyAlignment="1">
      <alignment horizontal="center" vertical="center" wrapText="1"/>
    </xf>
    <xf numFmtId="0" fontId="17" fillId="7" borderId="50" xfId="0" applyFont="1" applyFill="1" applyBorder="1" applyAlignment="1">
      <alignment horizontal="center" vertical="center" wrapText="1"/>
    </xf>
    <xf numFmtId="0" fontId="16" fillId="7" borderId="106" xfId="0" quotePrefix="1" applyFont="1" applyFill="1" applyBorder="1" applyAlignment="1">
      <alignment horizontal="left" vertical="top" wrapText="1"/>
    </xf>
    <xf numFmtId="0" fontId="16" fillId="7" borderId="1" xfId="0" quotePrefix="1" applyFont="1" applyFill="1" applyBorder="1" applyAlignment="1">
      <alignment horizontal="left" vertical="top" wrapText="1"/>
    </xf>
    <xf numFmtId="0" fontId="0" fillId="7" borderId="49" xfId="0" applyFill="1" applyBorder="1"/>
    <xf numFmtId="0" fontId="14" fillId="7" borderId="109" xfId="0" applyFont="1" applyFill="1" applyBorder="1" applyAlignment="1">
      <alignment horizontal="center" vertical="top"/>
    </xf>
    <xf numFmtId="0" fontId="14" fillId="7" borderId="109" xfId="0" applyFont="1" applyFill="1" applyBorder="1" applyAlignment="1">
      <alignment horizontal="left" vertical="top"/>
    </xf>
    <xf numFmtId="0" fontId="14" fillId="7" borderId="27" xfId="0" applyFont="1" applyFill="1" applyBorder="1" applyAlignment="1">
      <alignment horizontal="left" vertical="top"/>
    </xf>
    <xf numFmtId="0" fontId="14" fillId="7" borderId="10" xfId="0" applyFont="1" applyFill="1" applyBorder="1" applyAlignment="1">
      <alignment horizontal="center" vertical="top"/>
    </xf>
    <xf numFmtId="0" fontId="0" fillId="7" borderId="60" xfId="0" applyFill="1" applyBorder="1" applyAlignment="1">
      <alignment horizontal="center" vertical="center"/>
    </xf>
    <xf numFmtId="0" fontId="0" fillId="7" borderId="61" xfId="0" applyFill="1" applyBorder="1" applyAlignment="1">
      <alignment horizontal="center" vertical="center"/>
    </xf>
    <xf numFmtId="0" fontId="0" fillId="7" borderId="62" xfId="0" applyFill="1" applyBorder="1" applyAlignment="1">
      <alignment horizontal="center" vertical="center"/>
    </xf>
    <xf numFmtId="0" fontId="0" fillId="7" borderId="73" xfId="0" applyFill="1" applyBorder="1" applyAlignment="1">
      <alignment horizontal="center" vertical="center"/>
    </xf>
    <xf numFmtId="0" fontId="0" fillId="7" borderId="70" xfId="0" applyFill="1" applyBorder="1" applyAlignment="1">
      <alignment horizontal="center" vertical="center"/>
    </xf>
    <xf numFmtId="0" fontId="0" fillId="7" borderId="190" xfId="0" applyFill="1" applyBorder="1" applyAlignment="1">
      <alignment horizontal="center" vertical="center"/>
    </xf>
    <xf numFmtId="0" fontId="14" fillId="2" borderId="174" xfId="0" applyFont="1" applyFill="1" applyBorder="1" applyAlignment="1">
      <alignment horizontal="center" vertical="top"/>
    </xf>
    <xf numFmtId="0" fontId="14" fillId="2" borderId="174" xfId="0" applyFont="1" applyFill="1" applyBorder="1" applyAlignment="1">
      <alignment horizontal="left" vertical="top" wrapText="1"/>
    </xf>
    <xf numFmtId="0" fontId="0" fillId="2" borderId="49" xfId="0" applyFill="1" applyBorder="1" applyAlignment="1">
      <alignment horizontal="center" vertical="center"/>
    </xf>
    <xf numFmtId="0" fontId="0" fillId="2" borderId="0" xfId="0" applyFill="1" applyAlignment="1">
      <alignment horizontal="left" vertical="top"/>
    </xf>
    <xf numFmtId="0" fontId="0" fillId="2" borderId="3" xfId="0" applyFill="1" applyBorder="1" applyAlignment="1">
      <alignment horizontal="center" vertical="center"/>
    </xf>
    <xf numFmtId="0" fontId="0" fillId="2" borderId="160" xfId="0" applyFill="1" applyBorder="1" applyAlignment="1">
      <alignment horizontal="center" vertical="center"/>
    </xf>
    <xf numFmtId="0" fontId="16" fillId="6" borderId="163" xfId="0" applyFont="1" applyFill="1" applyBorder="1" applyAlignment="1">
      <alignment horizontal="center" vertical="center" wrapText="1"/>
    </xf>
    <xf numFmtId="2" fontId="14" fillId="6" borderId="175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4" fillId="4" borderId="180" xfId="0" applyFont="1" applyFill="1" applyBorder="1" applyAlignment="1">
      <alignment horizontal="center" vertical="center" wrapText="1"/>
    </xf>
    <xf numFmtId="0" fontId="14" fillId="7" borderId="37" xfId="0" applyFont="1" applyFill="1" applyBorder="1"/>
    <xf numFmtId="0" fontId="14" fillId="4" borderId="180" xfId="0" applyFont="1" applyFill="1" applyBorder="1" applyAlignment="1">
      <alignment horizontal="center" vertical="center"/>
    </xf>
    <xf numFmtId="0" fontId="16" fillId="6" borderId="191" xfId="0" applyFont="1" applyFill="1" applyBorder="1" applyAlignment="1">
      <alignment horizontal="center" vertical="center"/>
    </xf>
    <xf numFmtId="0" fontId="0" fillId="2" borderId="64" xfId="0" applyFill="1" applyBorder="1" applyAlignment="1">
      <alignment horizontal="center" vertical="center"/>
    </xf>
    <xf numFmtId="0" fontId="16" fillId="6" borderId="192" xfId="0" applyFont="1" applyFill="1" applyBorder="1" applyAlignment="1">
      <alignment horizontal="center" vertical="center" wrapText="1"/>
    </xf>
    <xf numFmtId="0" fontId="16" fillId="6" borderId="193" xfId="0" applyFont="1" applyFill="1" applyBorder="1" applyAlignment="1">
      <alignment horizontal="center" vertical="center" wrapText="1"/>
    </xf>
    <xf numFmtId="0" fontId="14" fillId="0" borderId="194" xfId="0" applyFont="1" applyBorder="1" applyAlignment="1">
      <alignment horizontal="center" vertical="center"/>
    </xf>
    <xf numFmtId="0" fontId="14" fillId="0" borderId="195" xfId="0" applyFont="1" applyBorder="1" applyAlignment="1">
      <alignment horizontal="center" vertical="center"/>
    </xf>
    <xf numFmtId="0" fontId="14" fillId="18" borderId="196" xfId="0" applyFont="1" applyFill="1" applyBorder="1" applyAlignment="1">
      <alignment horizontal="center" vertical="center"/>
    </xf>
    <xf numFmtId="0" fontId="14" fillId="18" borderId="197" xfId="0" applyFont="1" applyFill="1" applyBorder="1" applyAlignment="1">
      <alignment horizontal="center" vertical="center"/>
    </xf>
    <xf numFmtId="0" fontId="14" fillId="2" borderId="196" xfId="0" applyFont="1" applyFill="1" applyBorder="1" applyAlignment="1">
      <alignment horizontal="center" vertical="center"/>
    </xf>
    <xf numFmtId="0" fontId="14" fillId="2" borderId="197" xfId="0" applyFont="1" applyFill="1" applyBorder="1" applyAlignment="1">
      <alignment horizontal="center" vertical="center"/>
    </xf>
    <xf numFmtId="0" fontId="14" fillId="0" borderId="196" xfId="0" applyFont="1" applyBorder="1" applyAlignment="1">
      <alignment horizontal="center" vertical="center"/>
    </xf>
    <xf numFmtId="0" fontId="14" fillId="0" borderId="197" xfId="0" applyFont="1" applyBorder="1" applyAlignment="1">
      <alignment horizontal="center" vertical="center"/>
    </xf>
    <xf numFmtId="0" fontId="14" fillId="7" borderId="196" xfId="0" applyFont="1" applyFill="1" applyBorder="1" applyAlignment="1">
      <alignment horizontal="center" vertical="center"/>
    </xf>
    <xf numFmtId="0" fontId="14" fillId="7" borderId="197" xfId="0" applyFont="1" applyFill="1" applyBorder="1" applyAlignment="1">
      <alignment horizontal="center" vertical="center"/>
    </xf>
    <xf numFmtId="0" fontId="0" fillId="7" borderId="196" xfId="0" applyFill="1" applyBorder="1" applyAlignment="1">
      <alignment horizontal="center" vertical="center"/>
    </xf>
    <xf numFmtId="0" fontId="0" fillId="7" borderId="197" xfId="0" applyFill="1" applyBorder="1" applyAlignment="1">
      <alignment horizontal="center" vertical="center"/>
    </xf>
    <xf numFmtId="0" fontId="14" fillId="7" borderId="196" xfId="0" applyFont="1" applyFill="1" applyBorder="1" applyAlignment="1">
      <alignment horizontal="center"/>
    </xf>
    <xf numFmtId="0" fontId="14" fillId="7" borderId="197" xfId="0" applyFont="1" applyFill="1" applyBorder="1" applyAlignment="1">
      <alignment horizontal="center"/>
    </xf>
    <xf numFmtId="0" fontId="0" fillId="7" borderId="198" xfId="0" applyFill="1" applyBorder="1" applyAlignment="1">
      <alignment horizontal="center" vertical="center"/>
    </xf>
    <xf numFmtId="0" fontId="0" fillId="7" borderId="199" xfId="0" applyFill="1" applyBorder="1" applyAlignment="1">
      <alignment horizontal="center" vertical="center"/>
    </xf>
    <xf numFmtId="0" fontId="13" fillId="12" borderId="1" xfId="0" applyFont="1" applyFill="1" applyBorder="1" applyAlignment="1">
      <alignment horizontal="left" vertical="center" wrapText="1"/>
    </xf>
    <xf numFmtId="0" fontId="25" fillId="24" borderId="1" xfId="0" applyFont="1" applyFill="1" applyBorder="1" applyAlignment="1">
      <alignment horizontal="center" vertical="center" wrapText="1"/>
    </xf>
    <xf numFmtId="0" fontId="28" fillId="24" borderId="20" xfId="0" applyFont="1" applyFill="1" applyBorder="1" applyAlignment="1">
      <alignment horizontal="center" vertical="center" wrapText="1"/>
    </xf>
    <xf numFmtId="0" fontId="28" fillId="24" borderId="121" xfId="0" applyFont="1" applyFill="1" applyBorder="1" applyAlignment="1">
      <alignment horizontal="center" vertical="center" wrapText="1"/>
    </xf>
    <xf numFmtId="0" fontId="13" fillId="12" borderId="21" xfId="0" applyFont="1" applyFill="1" applyBorder="1" applyAlignment="1">
      <alignment vertical="center" wrapText="1"/>
    </xf>
    <xf numFmtId="0" fontId="14" fillId="7" borderId="113" xfId="0" applyFont="1" applyFill="1" applyBorder="1" applyAlignment="1">
      <alignment horizontal="center" vertical="center"/>
    </xf>
    <xf numFmtId="0" fontId="0" fillId="7" borderId="46" xfId="0" applyFill="1" applyBorder="1" applyAlignment="1">
      <alignment horizontal="center" vertical="center"/>
    </xf>
    <xf numFmtId="0" fontId="14" fillId="6" borderId="185" xfId="0" applyFont="1" applyFill="1" applyBorder="1" applyAlignment="1">
      <alignment horizontal="left" vertical="top"/>
    </xf>
    <xf numFmtId="0" fontId="14" fillId="6" borderId="23" xfId="0" applyFont="1" applyFill="1" applyBorder="1" applyAlignment="1">
      <alignment horizontal="left" vertical="top"/>
    </xf>
    <xf numFmtId="0" fontId="14" fillId="0" borderId="155" xfId="0" applyFont="1" applyBorder="1" applyAlignment="1">
      <alignment horizontal="center" vertical="top"/>
    </xf>
    <xf numFmtId="0" fontId="14" fillId="0" borderId="182" xfId="0" applyFont="1" applyBorder="1" applyAlignment="1">
      <alignment horizontal="left" vertical="top"/>
    </xf>
    <xf numFmtId="0" fontId="14" fillId="18" borderId="12" xfId="0" applyFont="1" applyFill="1" applyBorder="1" applyAlignment="1">
      <alignment horizontal="left" vertical="top"/>
    </xf>
    <xf numFmtId="0" fontId="14" fillId="2" borderId="12" xfId="0" applyFont="1" applyFill="1" applyBorder="1" applyAlignment="1">
      <alignment horizontal="left" vertical="top"/>
    </xf>
    <xf numFmtId="0" fontId="14" fillId="0" borderId="12" xfId="0" applyFont="1" applyBorder="1" applyAlignment="1">
      <alignment horizontal="left" vertical="top"/>
    </xf>
    <xf numFmtId="0" fontId="14" fillId="0" borderId="12" xfId="0" applyFont="1" applyBorder="1" applyAlignment="1">
      <alignment horizontal="left" vertical="top" wrapText="1"/>
    </xf>
    <xf numFmtId="0" fontId="14" fillId="2" borderId="201" xfId="0" applyFont="1" applyFill="1" applyBorder="1" applyAlignment="1">
      <alignment horizontal="left" vertical="top" wrapText="1"/>
    </xf>
    <xf numFmtId="0" fontId="14" fillId="7" borderId="201" xfId="0" applyFont="1" applyFill="1" applyBorder="1" applyAlignment="1">
      <alignment horizontal="left" vertical="top" wrapText="1"/>
    </xf>
    <xf numFmtId="0" fontId="14" fillId="7" borderId="201" xfId="0" quotePrefix="1" applyFont="1" applyFill="1" applyBorder="1" applyAlignment="1">
      <alignment horizontal="left" vertical="top" wrapText="1"/>
    </xf>
    <xf numFmtId="0" fontId="14" fillId="7" borderId="12" xfId="0" applyFont="1" applyFill="1" applyBorder="1" applyAlignment="1">
      <alignment horizontal="left" vertical="top"/>
    </xf>
    <xf numFmtId="0" fontId="14" fillId="7" borderId="8" xfId="0" applyFont="1" applyFill="1" applyBorder="1" applyAlignment="1">
      <alignment horizontal="left" vertical="top"/>
    </xf>
    <xf numFmtId="0" fontId="14" fillId="7" borderId="12" xfId="0" applyFont="1" applyFill="1" applyBorder="1" applyAlignment="1">
      <alignment vertical="top" wrapText="1"/>
    </xf>
    <xf numFmtId="0" fontId="14" fillId="7" borderId="12" xfId="0" applyFont="1" applyFill="1" applyBorder="1" applyAlignment="1">
      <alignment horizontal="left" vertical="top" wrapText="1"/>
    </xf>
    <xf numFmtId="0" fontId="16" fillId="7" borderId="12" xfId="0" quotePrefix="1" applyFont="1" applyFill="1" applyBorder="1" applyAlignment="1">
      <alignment horizontal="left" vertical="top" wrapText="1"/>
    </xf>
    <xf numFmtId="0" fontId="14" fillId="7" borderId="9" xfId="0" applyFont="1" applyFill="1" applyBorder="1" applyAlignment="1">
      <alignment horizontal="left" vertical="top"/>
    </xf>
    <xf numFmtId="0" fontId="14" fillId="7" borderId="37" xfId="0" applyFont="1" applyFill="1" applyBorder="1" applyAlignment="1">
      <alignment horizontal="left" vertical="top" wrapText="1"/>
    </xf>
    <xf numFmtId="0" fontId="16" fillId="6" borderId="153" xfId="0" applyFont="1" applyFill="1" applyBorder="1" applyAlignment="1">
      <alignment horizontal="center" vertical="center"/>
    </xf>
    <xf numFmtId="0" fontId="14" fillId="0" borderId="202" xfId="0" applyFont="1" applyBorder="1" applyAlignment="1">
      <alignment horizontal="center" vertical="center"/>
    </xf>
    <xf numFmtId="0" fontId="14" fillId="18" borderId="203" xfId="0" applyFont="1" applyFill="1" applyBorder="1" applyAlignment="1">
      <alignment horizontal="center" vertical="center"/>
    </xf>
    <xf numFmtId="0" fontId="14" fillId="2" borderId="203" xfId="0" applyFont="1" applyFill="1" applyBorder="1" applyAlignment="1">
      <alignment horizontal="center" vertical="center"/>
    </xf>
    <xf numFmtId="0" fontId="0" fillId="0" borderId="203" xfId="0" applyBorder="1" applyAlignment="1">
      <alignment horizontal="center" vertical="center"/>
    </xf>
    <xf numFmtId="0" fontId="0" fillId="2" borderId="203" xfId="0" applyFill="1" applyBorder="1" applyAlignment="1">
      <alignment horizontal="center" vertical="center"/>
    </xf>
    <xf numFmtId="0" fontId="14" fillId="0" borderId="203" xfId="0" applyFont="1" applyBorder="1" applyAlignment="1">
      <alignment horizontal="center" vertical="center"/>
    </xf>
    <xf numFmtId="0" fontId="14" fillId="7" borderId="203" xfId="0" applyFont="1" applyFill="1" applyBorder="1" applyAlignment="1">
      <alignment horizontal="center" vertical="center"/>
    </xf>
    <xf numFmtId="0" fontId="14" fillId="7" borderId="203" xfId="0" applyFont="1" applyFill="1" applyBorder="1" applyAlignment="1">
      <alignment horizontal="left" vertical="top" wrapText="1"/>
    </xf>
    <xf numFmtId="0" fontId="0" fillId="7" borderId="203" xfId="0" applyFill="1" applyBorder="1" applyAlignment="1">
      <alignment horizontal="center" vertical="center"/>
    </xf>
    <xf numFmtId="0" fontId="14" fillId="7" borderId="203" xfId="0" applyFont="1" applyFill="1" applyBorder="1" applyAlignment="1">
      <alignment horizontal="center"/>
    </xf>
    <xf numFmtId="0" fontId="0" fillId="7" borderId="206" xfId="0" applyFill="1" applyBorder="1" applyAlignment="1">
      <alignment horizontal="center" vertical="center"/>
    </xf>
    <xf numFmtId="2" fontId="14" fillId="6" borderId="200" xfId="0" applyNumberFormat="1" applyFont="1" applyFill="1" applyBorder="1" applyAlignment="1">
      <alignment horizontal="center" vertical="center"/>
    </xf>
    <xf numFmtId="2" fontId="14" fillId="6" borderId="202" xfId="0" applyNumberFormat="1" applyFont="1" applyFill="1" applyBorder="1" applyAlignment="1">
      <alignment horizontal="center" vertical="center"/>
    </xf>
    <xf numFmtId="43" fontId="14" fillId="7" borderId="203" xfId="2" applyFont="1" applyFill="1" applyBorder="1" applyAlignment="1">
      <alignment horizontal="center" vertical="center"/>
    </xf>
    <xf numFmtId="43" fontId="14" fillId="8" borderId="206" xfId="2" applyFont="1" applyFill="1" applyBorder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4" borderId="184" xfId="0" applyFont="1" applyFill="1" applyBorder="1" applyAlignment="1">
      <alignment horizontal="center" vertical="top"/>
    </xf>
    <xf numFmtId="0" fontId="14" fillId="4" borderId="208" xfId="0" applyFont="1" applyFill="1" applyBorder="1" applyAlignment="1">
      <alignment horizontal="left" vertical="top"/>
    </xf>
    <xf numFmtId="0" fontId="14" fillId="0" borderId="185" xfId="0" applyFont="1" applyBorder="1" applyAlignment="1">
      <alignment horizontal="center" vertical="top"/>
    </xf>
    <xf numFmtId="0" fontId="14" fillId="18" borderId="106" xfId="0" applyFont="1" applyFill="1" applyBorder="1" applyAlignment="1">
      <alignment horizontal="center" vertical="top"/>
    </xf>
    <xf numFmtId="0" fontId="14" fillId="7" borderId="63" xfId="0" applyFont="1" applyFill="1" applyBorder="1" applyAlignment="1">
      <alignment horizontal="center" vertical="top"/>
    </xf>
    <xf numFmtId="0" fontId="14" fillId="7" borderId="107" xfId="0" applyFont="1" applyFill="1" applyBorder="1" applyAlignment="1">
      <alignment horizontal="center" vertical="top"/>
    </xf>
    <xf numFmtId="0" fontId="14" fillId="7" borderId="110" xfId="0" applyFont="1" applyFill="1" applyBorder="1" applyAlignment="1">
      <alignment horizontal="center" vertical="top"/>
    </xf>
    <xf numFmtId="0" fontId="14" fillId="7" borderId="111" xfId="0" applyFont="1" applyFill="1" applyBorder="1" applyAlignment="1">
      <alignment horizontal="left" vertical="top"/>
    </xf>
    <xf numFmtId="0" fontId="14" fillId="7" borderId="67" xfId="0" applyFont="1" applyFill="1" applyBorder="1" applyAlignment="1">
      <alignment horizontal="left" vertical="top"/>
    </xf>
    <xf numFmtId="0" fontId="14" fillId="7" borderId="2" xfId="0" applyFont="1" applyFill="1" applyBorder="1" applyAlignment="1">
      <alignment horizontal="center" vertical="top" wrapText="1"/>
    </xf>
    <xf numFmtId="0" fontId="14" fillId="7" borderId="27" xfId="0" applyFont="1" applyFill="1" applyBorder="1" applyAlignment="1">
      <alignment horizontal="center" vertical="center"/>
    </xf>
    <xf numFmtId="0" fontId="17" fillId="7" borderId="165" xfId="0" applyFont="1" applyFill="1" applyBorder="1" applyAlignment="1">
      <alignment horizontal="center" vertical="center" wrapText="1"/>
    </xf>
    <xf numFmtId="0" fontId="17" fillId="7" borderId="113" xfId="0" applyFont="1" applyFill="1" applyBorder="1" applyAlignment="1">
      <alignment horizontal="center" vertical="center" wrapText="1"/>
    </xf>
    <xf numFmtId="0" fontId="14" fillId="13" borderId="57" xfId="0" applyFont="1" applyFill="1" applyBorder="1" applyAlignment="1">
      <alignment horizontal="center" vertical="center"/>
    </xf>
    <xf numFmtId="0" fontId="0" fillId="7" borderId="49" xfId="0" applyFill="1" applyBorder="1" applyAlignment="1">
      <alignment vertical="center"/>
    </xf>
    <xf numFmtId="0" fontId="0" fillId="7" borderId="45" xfId="0" applyFill="1" applyBorder="1" applyAlignment="1">
      <alignment horizontal="center" vertical="center"/>
    </xf>
    <xf numFmtId="0" fontId="14" fillId="7" borderId="81" xfId="0" applyFont="1" applyFill="1" applyBorder="1" applyAlignment="1">
      <alignment horizontal="center" vertical="top"/>
    </xf>
    <xf numFmtId="0" fontId="14" fillId="4" borderId="19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vertical="center"/>
    </xf>
    <xf numFmtId="0" fontId="14" fillId="2" borderId="204" xfId="0" applyFont="1" applyFill="1" applyBorder="1" applyAlignment="1">
      <alignment vertical="center"/>
    </xf>
    <xf numFmtId="0" fontId="14" fillId="7" borderId="27" xfId="0" applyFont="1" applyFill="1" applyBorder="1" applyAlignment="1">
      <alignment vertical="center"/>
    </xf>
    <xf numFmtId="0" fontId="14" fillId="2" borderId="205" xfId="0" applyFont="1" applyFill="1" applyBorder="1" applyAlignment="1">
      <alignment vertical="center"/>
    </xf>
    <xf numFmtId="0" fontId="14" fillId="7" borderId="0" xfId="0" applyFont="1" applyFill="1" applyAlignment="1">
      <alignment vertical="center"/>
    </xf>
    <xf numFmtId="0" fontId="29" fillId="13" borderId="207" xfId="0" applyFont="1" applyFill="1" applyBorder="1" applyAlignment="1">
      <alignment vertical="top" wrapText="1"/>
    </xf>
    <xf numFmtId="0" fontId="14" fillId="7" borderId="54" xfId="0" applyFont="1" applyFill="1" applyBorder="1" applyAlignment="1">
      <alignment vertical="center"/>
    </xf>
    <xf numFmtId="0" fontId="13" fillId="12" borderId="21" xfId="0" applyFont="1" applyFill="1" applyBorder="1" applyAlignment="1">
      <alignment vertical="top" wrapText="1"/>
    </xf>
    <xf numFmtId="4" fontId="13" fillId="12" borderId="97" xfId="0" applyNumberFormat="1" applyFont="1" applyFill="1" applyBorder="1" applyAlignment="1">
      <alignment horizontal="right" vertical="top" wrapText="1"/>
    </xf>
    <xf numFmtId="0" fontId="27" fillId="12" borderId="97" xfId="0" applyFont="1" applyFill="1" applyBorder="1" applyAlignment="1">
      <alignment horizontal="right" vertical="top" wrapText="1"/>
    </xf>
    <xf numFmtId="0" fontId="14" fillId="7" borderId="203" xfId="0" applyFont="1" applyFill="1" applyBorder="1" applyAlignment="1">
      <alignment horizontal="center" vertical="top" wrapText="1"/>
    </xf>
    <xf numFmtId="0" fontId="20" fillId="7" borderId="201" xfId="0" applyFont="1" applyFill="1" applyBorder="1" applyAlignment="1">
      <alignment horizontal="left" vertical="top" wrapText="1"/>
    </xf>
    <xf numFmtId="0" fontId="14" fillId="7" borderId="165" xfId="0" applyFont="1" applyFill="1" applyBorder="1" applyAlignment="1">
      <alignment horizontal="center" vertical="center"/>
    </xf>
    <xf numFmtId="0" fontId="0" fillId="2" borderId="53" xfId="0" applyFill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2" fontId="0" fillId="13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3" fillId="12" borderId="1" xfId="0" applyFont="1" applyFill="1" applyBorder="1" applyAlignment="1">
      <alignment horizontal="left" vertical="center"/>
    </xf>
    <xf numFmtId="0" fontId="13" fillId="12" borderId="1" xfId="0" applyFont="1" applyFill="1" applyBorder="1" applyAlignment="1">
      <alignment horizontal="center" vertical="center"/>
    </xf>
    <xf numFmtId="0" fontId="0" fillId="21" borderId="0" xfId="0" applyFill="1" applyAlignment="1">
      <alignment horizontal="left" vertical="top"/>
    </xf>
    <xf numFmtId="0" fontId="25" fillId="24" borderId="1" xfId="0" applyFont="1" applyFill="1" applyBorder="1" applyAlignment="1">
      <alignment horizontal="center" vertical="center"/>
    </xf>
    <xf numFmtId="0" fontId="13" fillId="12" borderId="0" xfId="0" applyFont="1" applyFill="1" applyAlignment="1">
      <alignment horizontal="center" vertical="center"/>
    </xf>
    <xf numFmtId="2" fontId="0" fillId="31" borderId="0" xfId="0" applyNumberFormat="1" applyFill="1" applyAlignment="1">
      <alignment horizontal="center" vertical="center"/>
    </xf>
    <xf numFmtId="43" fontId="0" fillId="31" borderId="0" xfId="0" applyNumberFormat="1" applyFill="1" applyAlignment="1">
      <alignment horizontal="center" vertical="center"/>
    </xf>
    <xf numFmtId="0" fontId="28" fillId="24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vertical="top"/>
    </xf>
    <xf numFmtId="0" fontId="13" fillId="12" borderId="1" xfId="0" applyFont="1" applyFill="1" applyBorder="1" applyAlignment="1">
      <alignment horizontal="center" vertical="top"/>
    </xf>
    <xf numFmtId="1" fontId="13" fillId="12" borderId="1" xfId="0" applyNumberFormat="1" applyFont="1" applyFill="1" applyBorder="1" applyAlignment="1">
      <alignment horizontal="center" vertical="top"/>
    </xf>
    <xf numFmtId="4" fontId="13" fillId="12" borderId="1" xfId="0" applyNumberFormat="1" applyFont="1" applyFill="1" applyBorder="1" applyAlignment="1">
      <alignment horizontal="right" vertical="top"/>
    </xf>
    <xf numFmtId="0" fontId="27" fillId="12" borderId="1" xfId="0" applyFont="1" applyFill="1" applyBorder="1" applyAlignment="1">
      <alignment horizontal="right" vertical="top"/>
    </xf>
    <xf numFmtId="0" fontId="10" fillId="2" borderId="108" xfId="0" applyFont="1" applyFill="1" applyBorder="1"/>
    <xf numFmtId="0" fontId="2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5" fillId="6" borderId="82" xfId="0" applyFont="1" applyFill="1" applyBorder="1" applyAlignment="1">
      <alignment horizontal="center" vertical="center"/>
    </xf>
    <xf numFmtId="0" fontId="0" fillId="26" borderId="53" xfId="0" applyFill="1" applyBorder="1" applyAlignment="1">
      <alignment horizontal="center" vertical="center"/>
    </xf>
    <xf numFmtId="0" fontId="0" fillId="26" borderId="117" xfId="0" applyFill="1" applyBorder="1" applyAlignment="1">
      <alignment horizontal="center" vertical="center"/>
    </xf>
    <xf numFmtId="0" fontId="0" fillId="26" borderId="45" xfId="0" applyFill="1" applyBorder="1" applyAlignment="1">
      <alignment horizontal="center" vertical="center"/>
    </xf>
    <xf numFmtId="0" fontId="15" fillId="6" borderId="43" xfId="0" applyFont="1" applyFill="1" applyBorder="1" applyAlignment="1">
      <alignment horizontal="center" vertical="center"/>
    </xf>
    <xf numFmtId="0" fontId="15" fillId="6" borderId="75" xfId="0" applyFont="1" applyFill="1" applyBorder="1" applyAlignment="1">
      <alignment horizontal="center" vertical="center"/>
    </xf>
    <xf numFmtId="0" fontId="15" fillId="6" borderId="44" xfId="0" applyFont="1" applyFill="1" applyBorder="1" applyAlignment="1">
      <alignment horizontal="center" vertical="center"/>
    </xf>
    <xf numFmtId="0" fontId="15" fillId="6" borderId="74" xfId="0" applyFont="1" applyFill="1" applyBorder="1" applyAlignment="1">
      <alignment horizontal="center" vertical="center"/>
    </xf>
    <xf numFmtId="0" fontId="15" fillId="6" borderId="83" xfId="0" applyFont="1" applyFill="1" applyBorder="1" applyAlignment="1">
      <alignment horizontal="center" vertical="center"/>
    </xf>
    <xf numFmtId="0" fontId="14" fillId="21" borderId="3" xfId="0" applyFont="1" applyFill="1" applyBorder="1" applyAlignment="1">
      <alignment horizontal="center" vertical="center"/>
    </xf>
    <xf numFmtId="0" fontId="0" fillId="7" borderId="49" xfId="0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0" fillId="26" borderId="64" xfId="0" applyFill="1" applyBorder="1" applyAlignment="1">
      <alignment horizontal="center" vertical="top"/>
    </xf>
    <xf numFmtId="0" fontId="14" fillId="26" borderId="161" xfId="0" applyFont="1" applyFill="1" applyBorder="1" applyAlignment="1">
      <alignment horizontal="center" vertical="center"/>
    </xf>
    <xf numFmtId="0" fontId="14" fillId="26" borderId="119" xfId="0" applyFont="1" applyFill="1" applyBorder="1" applyAlignment="1">
      <alignment horizontal="center" vertical="center"/>
    </xf>
    <xf numFmtId="0" fontId="14" fillId="26" borderId="47" xfId="0" applyFont="1" applyFill="1" applyBorder="1" applyAlignment="1">
      <alignment horizontal="center" vertical="center"/>
    </xf>
    <xf numFmtId="0" fontId="14" fillId="7" borderId="114" xfId="0" applyFont="1" applyFill="1" applyBorder="1" applyAlignment="1">
      <alignment horizontal="center" vertical="center"/>
    </xf>
    <xf numFmtId="0" fontId="14" fillId="7" borderId="115" xfId="0" applyFont="1" applyFill="1" applyBorder="1" applyAlignment="1">
      <alignment horizontal="center" vertical="center"/>
    </xf>
    <xf numFmtId="0" fontId="14" fillId="7" borderId="116" xfId="0" applyFont="1" applyFill="1" applyBorder="1" applyAlignment="1">
      <alignment horizontal="center" vertical="center"/>
    </xf>
    <xf numFmtId="0" fontId="14" fillId="8" borderId="53" xfId="0" applyFont="1" applyFill="1" applyBorder="1" applyAlignment="1">
      <alignment horizontal="center" vertical="center"/>
    </xf>
    <xf numFmtId="0" fontId="14" fillId="8" borderId="117" xfId="0" applyFont="1" applyFill="1" applyBorder="1" applyAlignment="1">
      <alignment horizontal="center" vertical="center"/>
    </xf>
    <xf numFmtId="0" fontId="14" fillId="8" borderId="45" xfId="0" applyFont="1" applyFill="1" applyBorder="1" applyAlignment="1">
      <alignment horizontal="center" vertical="center"/>
    </xf>
    <xf numFmtId="0" fontId="15" fillId="6" borderId="144" xfId="0" applyFont="1" applyFill="1" applyBorder="1" applyAlignment="1">
      <alignment horizontal="center" vertical="center"/>
    </xf>
    <xf numFmtId="0" fontId="15" fillId="6" borderId="145" xfId="0" applyFont="1" applyFill="1" applyBorder="1" applyAlignment="1">
      <alignment horizontal="center" vertical="center"/>
    </xf>
    <xf numFmtId="0" fontId="13" fillId="12" borderId="152" xfId="0" applyFont="1" applyFill="1" applyBorder="1" applyAlignment="1">
      <alignment horizontal="right" vertical="center" wrapText="1"/>
    </xf>
    <xf numFmtId="0" fontId="13" fillId="12" borderId="121" xfId="0" applyFont="1" applyFill="1" applyBorder="1" applyAlignment="1">
      <alignment horizontal="right" vertical="center" wrapText="1"/>
    </xf>
    <xf numFmtId="0" fontId="15" fillId="6" borderId="130" xfId="0" applyFont="1" applyFill="1" applyBorder="1" applyAlignment="1">
      <alignment horizontal="center" vertical="center"/>
    </xf>
    <xf numFmtId="0" fontId="0" fillId="0" borderId="114" xfId="0" applyBorder="1" applyAlignment="1">
      <alignment horizontal="center" vertical="center"/>
    </xf>
    <xf numFmtId="0" fontId="0" fillId="0" borderId="115" xfId="0" applyBorder="1" applyAlignment="1">
      <alignment horizontal="center" vertical="center"/>
    </xf>
    <xf numFmtId="0" fontId="0" fillId="0" borderId="115" xfId="0" applyBorder="1" applyAlignment="1">
      <alignment horizontal="center"/>
    </xf>
    <xf numFmtId="0" fontId="0" fillId="0" borderId="116" xfId="0" applyBorder="1" applyAlignment="1">
      <alignment horizontal="center"/>
    </xf>
    <xf numFmtId="0" fontId="0" fillId="0" borderId="3" xfId="0" applyBorder="1" applyAlignment="1">
      <alignment horizontal="center" vertical="top"/>
    </xf>
    <xf numFmtId="0" fontId="14" fillId="8" borderId="64" xfId="0" applyFont="1" applyFill="1" applyBorder="1" applyAlignment="1">
      <alignment horizontal="center" vertical="center"/>
    </xf>
    <xf numFmtId="0" fontId="0" fillId="7" borderId="64" xfId="0" applyFill="1" applyBorder="1" applyAlignment="1">
      <alignment horizontal="center" vertical="center"/>
    </xf>
    <xf numFmtId="0" fontId="0" fillId="20" borderId="53" xfId="0" applyFill="1" applyBorder="1" applyAlignment="1">
      <alignment horizontal="center" vertical="center"/>
    </xf>
    <xf numFmtId="0" fontId="0" fillId="20" borderId="117" xfId="0" applyFill="1" applyBorder="1" applyAlignment="1">
      <alignment horizontal="center" vertical="center"/>
    </xf>
    <xf numFmtId="0" fontId="0" fillId="20" borderId="45" xfId="0" applyFill="1" applyBorder="1" applyAlignment="1">
      <alignment horizontal="center" vertical="center"/>
    </xf>
    <xf numFmtId="0" fontId="14" fillId="20" borderId="113" xfId="0" applyFont="1" applyFill="1" applyBorder="1" applyAlignment="1">
      <alignment horizontal="center" vertical="center"/>
    </xf>
    <xf numFmtId="0" fontId="14" fillId="20" borderId="118" xfId="0" applyFont="1" applyFill="1" applyBorder="1" applyAlignment="1">
      <alignment horizontal="center" vertical="center"/>
    </xf>
    <xf numFmtId="0" fontId="14" fillId="20" borderId="46" xfId="0" applyFont="1" applyFill="1" applyBorder="1" applyAlignment="1">
      <alignment horizontal="center" vertical="center"/>
    </xf>
    <xf numFmtId="0" fontId="13" fillId="12" borderId="0" xfId="0" applyFont="1" applyFill="1" applyAlignment="1">
      <alignment horizontal="right" vertical="center" wrapText="1"/>
    </xf>
    <xf numFmtId="0" fontId="0" fillId="0" borderId="177" xfId="0" applyBorder="1" applyAlignment="1">
      <alignment horizontal="center" vertical="center"/>
    </xf>
    <xf numFmtId="0" fontId="0" fillId="0" borderId="178" xfId="0" applyBorder="1" applyAlignment="1">
      <alignment horizontal="center" vertical="center"/>
    </xf>
    <xf numFmtId="0" fontId="0" fillId="0" borderId="179" xfId="0" applyBorder="1" applyAlignment="1">
      <alignment horizontal="center" vertical="center"/>
    </xf>
    <xf numFmtId="0" fontId="14" fillId="0" borderId="49" xfId="0" applyFont="1" applyBorder="1" applyAlignment="1">
      <alignment horizontal="center" vertical="center"/>
    </xf>
    <xf numFmtId="0" fontId="15" fillId="6" borderId="188" xfId="0" applyFont="1" applyFill="1" applyBorder="1" applyAlignment="1">
      <alignment horizontal="center" vertical="center"/>
    </xf>
    <xf numFmtId="0" fontId="15" fillId="6" borderId="163" xfId="0" applyFont="1" applyFill="1" applyBorder="1" applyAlignment="1">
      <alignment horizontal="center" vertical="center"/>
    </xf>
    <xf numFmtId="0" fontId="15" fillId="6" borderId="187" xfId="0" applyFont="1" applyFill="1" applyBorder="1" applyAlignment="1">
      <alignment horizontal="center" vertical="center"/>
    </xf>
    <xf numFmtId="0" fontId="14" fillId="7" borderId="113" xfId="0" applyFont="1" applyFill="1" applyBorder="1" applyAlignment="1">
      <alignment horizontal="center" vertical="center"/>
    </xf>
    <xf numFmtId="0" fontId="14" fillId="7" borderId="46" xfId="0" applyFont="1" applyFill="1" applyBorder="1" applyAlignment="1">
      <alignment horizontal="center" vertical="center"/>
    </xf>
    <xf numFmtId="0" fontId="14" fillId="2" borderId="171" xfId="0" applyFont="1" applyFill="1" applyBorder="1" applyAlignment="1">
      <alignment horizontal="center" vertical="center"/>
    </xf>
    <xf numFmtId="0" fontId="14" fillId="2" borderId="170" xfId="0" applyFont="1" applyFill="1" applyBorder="1" applyAlignment="1">
      <alignment horizontal="center" vertical="center"/>
    </xf>
    <xf numFmtId="0" fontId="15" fillId="6" borderId="162" xfId="0" applyFont="1" applyFill="1" applyBorder="1" applyAlignment="1">
      <alignment horizontal="center" vertical="center"/>
    </xf>
    <xf numFmtId="0" fontId="15" fillId="6" borderId="164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5" fillId="17" borderId="0" xfId="0" applyFont="1" applyFill="1" applyAlignment="1">
      <alignment horizontal="center" vertical="center"/>
    </xf>
    <xf numFmtId="0" fontId="14" fillId="9" borderId="36" xfId="0" applyFont="1" applyFill="1" applyBorder="1" applyAlignment="1">
      <alignment horizontal="center" vertical="center"/>
    </xf>
    <xf numFmtId="0" fontId="14" fillId="7" borderId="36" xfId="0" applyFont="1" applyFill="1" applyBorder="1" applyAlignment="1">
      <alignment horizontal="center" vertical="center"/>
    </xf>
    <xf numFmtId="0" fontId="0" fillId="14" borderId="28" xfId="0" applyFill="1" applyBorder="1" applyAlignment="1">
      <alignment horizontal="center" vertical="center"/>
    </xf>
    <xf numFmtId="0" fontId="0" fillId="15" borderId="28" xfId="0" applyFill="1" applyBorder="1" applyAlignment="1">
      <alignment horizontal="center" vertical="center"/>
    </xf>
    <xf numFmtId="0" fontId="15" fillId="16" borderId="0" xfId="0" applyFont="1" applyFill="1" applyAlignment="1">
      <alignment horizontal="center" vertical="center"/>
    </xf>
    <xf numFmtId="0" fontId="15" fillId="6" borderId="28" xfId="0" applyFont="1" applyFill="1" applyBorder="1" applyAlignment="1">
      <alignment horizontal="center" vertical="center"/>
    </xf>
    <xf numFmtId="0" fontId="15" fillId="6" borderId="29" xfId="0" applyFont="1" applyFill="1" applyBorder="1" applyAlignment="1">
      <alignment horizontal="center" vertical="center"/>
    </xf>
    <xf numFmtId="0" fontId="0" fillId="0" borderId="162" xfId="0" applyBorder="1" applyAlignment="1">
      <alignment horizontal="center" vertical="center"/>
    </xf>
    <xf numFmtId="0" fontId="0" fillId="0" borderId="163" xfId="0" applyBorder="1" applyAlignment="1">
      <alignment horizontal="center" vertical="center"/>
    </xf>
    <xf numFmtId="0" fontId="0" fillId="0" borderId="164" xfId="0" applyBorder="1" applyAlignment="1">
      <alignment horizontal="center" vertical="center"/>
    </xf>
    <xf numFmtId="0" fontId="0" fillId="7" borderId="53" xfId="0" applyFill="1" applyBorder="1" applyAlignment="1">
      <alignment horizontal="center" vertical="center"/>
    </xf>
    <xf numFmtId="0" fontId="0" fillId="7" borderId="117" xfId="0" applyFill="1" applyBorder="1" applyAlignment="1">
      <alignment horizontal="center" vertical="center"/>
    </xf>
    <xf numFmtId="0" fontId="13" fillId="12" borderId="152" xfId="0" applyFont="1" applyFill="1" applyBorder="1" applyAlignment="1">
      <alignment horizontal="right" vertical="top" wrapText="1"/>
    </xf>
    <xf numFmtId="0" fontId="13" fillId="12" borderId="121" xfId="0" applyFont="1" applyFill="1" applyBorder="1" applyAlignment="1">
      <alignment horizontal="right" vertical="top" wrapText="1"/>
    </xf>
    <xf numFmtId="0" fontId="0" fillId="7" borderId="45" xfId="0" applyFill="1" applyBorder="1" applyAlignment="1">
      <alignment horizontal="center" vertical="center"/>
    </xf>
    <xf numFmtId="0" fontId="14" fillId="7" borderId="118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right" vertical="top"/>
    </xf>
    <xf numFmtId="0" fontId="31" fillId="0" borderId="0" xfId="0" applyFont="1" applyAlignment="1">
      <alignment horizontal="left" vertical="top"/>
    </xf>
    <xf numFmtId="0" fontId="0" fillId="7" borderId="1" xfId="0" applyFill="1" applyBorder="1" applyAlignment="1">
      <alignment horizontal="center" vertical="center"/>
    </xf>
    <xf numFmtId="0" fontId="8" fillId="10" borderId="99" xfId="0" applyFont="1" applyFill="1" applyBorder="1" applyAlignment="1">
      <alignment horizontal="center" vertical="top"/>
    </xf>
    <xf numFmtId="0" fontId="8" fillId="10" borderId="100" xfId="0" applyFont="1" applyFill="1" applyBorder="1" applyAlignment="1">
      <alignment horizontal="center" vertical="top"/>
    </xf>
    <xf numFmtId="0" fontId="8" fillId="10" borderId="101" xfId="0" applyFont="1" applyFill="1" applyBorder="1" applyAlignment="1">
      <alignment horizontal="center" vertical="top"/>
    </xf>
    <xf numFmtId="0" fontId="8" fillId="10" borderId="98" xfId="0" applyFont="1" applyFill="1" applyBorder="1" applyAlignment="1">
      <alignment horizontal="center" vertical="center"/>
    </xf>
    <xf numFmtId="0" fontId="8" fillId="10" borderId="102" xfId="0" applyFont="1" applyFill="1" applyBorder="1" applyAlignment="1">
      <alignment horizontal="center" vertical="center"/>
    </xf>
    <xf numFmtId="0" fontId="8" fillId="10" borderId="99" xfId="0" applyFont="1" applyFill="1" applyBorder="1" applyAlignment="1">
      <alignment horizontal="center" vertical="center"/>
    </xf>
    <xf numFmtId="0" fontId="8" fillId="10" borderId="8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top"/>
    </xf>
    <xf numFmtId="0" fontId="8" fillId="10" borderId="6" xfId="0" applyFont="1" applyFill="1" applyBorder="1" applyAlignment="1">
      <alignment horizontal="center" vertical="top"/>
    </xf>
    <xf numFmtId="0" fontId="8" fillId="10" borderId="4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4" fontId="32" fillId="12" borderId="1" xfId="0" applyNumberFormat="1" applyFont="1" applyFill="1" applyBorder="1" applyAlignment="1">
      <alignment horizontal="right" vertical="top"/>
    </xf>
  </cellXfs>
  <cellStyles count="4">
    <cellStyle name="Comma" xfId="2" builtinId="3"/>
    <cellStyle name="Comma 2" xfId="3" xr:uid="{904BE742-DC7A-4D71-B5F2-B6052DCA2A3C}"/>
    <cellStyle name="Normal" xfId="0" builtinId="0"/>
    <cellStyle name="Normal 5" xfId="1" xr:uid="{E5475860-98E2-4948-8287-FC028A049E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180978</xdr:colOff>
      <xdr:row>25</xdr:row>
      <xdr:rowOff>166688</xdr:rowOff>
    </xdr:from>
    <xdr:to>
      <xdr:col>9</xdr:col>
      <xdr:colOff>162524</xdr:colOff>
      <xdr:row>49</xdr:row>
      <xdr:rowOff>50628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3E2FBA-0F84-4C15-A75E-AEE3BC31B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5178" y="7043738"/>
          <a:ext cx="9062046" cy="4303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28575</xdr:colOff>
      <xdr:row>3</xdr:row>
      <xdr:rowOff>9525</xdr:rowOff>
    </xdr:from>
    <xdr:to>
      <xdr:col>60</xdr:col>
      <xdr:colOff>422271</xdr:colOff>
      <xdr:row>43</xdr:row>
      <xdr:rowOff>122348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1891F7-2DE1-4416-AFC7-8D19207A0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935275" y="758825"/>
          <a:ext cx="10150471" cy="654537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35</xdr:row>
      <xdr:rowOff>200025</xdr:rowOff>
    </xdr:from>
    <xdr:to>
      <xdr:col>10</xdr:col>
      <xdr:colOff>295275</xdr:colOff>
      <xdr:row>36</xdr:row>
      <xdr:rowOff>190500</xdr:rowOff>
    </xdr:to>
    <xdr:sp macro="" textlink="">
      <xdr:nvSpPr>
        <xdr:cNvPr id="3" name="5-Point Star 2">
          <a:extLst>
            <a:ext uri="{FF2B5EF4-FFF2-40B4-BE49-F238E27FC236}">
              <a16:creationId xmlns:a16="http://schemas.microsoft.com/office/drawing/2014/main" id="{A8863559-80F7-48BC-88E6-5F07135D9ACE}"/>
            </a:ext>
            <a:ext uri="{147F2762-F138-4A5C-976F-8EAC2B608ADB}">
              <a16:predDERef xmlns:a16="http://schemas.microsoft.com/office/drawing/2014/main" pred="{9BD03EA8-25C8-9871-14C6-595DBAFF9DE9}"/>
            </a:ext>
          </a:extLst>
        </xdr:cNvPr>
        <xdr:cNvSpPr/>
      </xdr:nvSpPr>
      <xdr:spPr>
        <a:xfrm>
          <a:off x="6553200" y="7858125"/>
          <a:ext cx="238125" cy="219075"/>
        </a:xfrm>
        <a:prstGeom prst="star5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22</xdr:col>
      <xdr:colOff>28575</xdr:colOff>
      <xdr:row>55</xdr:row>
      <xdr:rowOff>200025</xdr:rowOff>
    </xdr:from>
    <xdr:to>
      <xdr:col>22</xdr:col>
      <xdr:colOff>266700</xdr:colOff>
      <xdr:row>56</xdr:row>
      <xdr:rowOff>190500</xdr:rowOff>
    </xdr:to>
    <xdr:sp macro="" textlink="">
      <xdr:nvSpPr>
        <xdr:cNvPr id="2" name="5-Point Star 15">
          <a:extLst>
            <a:ext uri="{FF2B5EF4-FFF2-40B4-BE49-F238E27FC236}">
              <a16:creationId xmlns:a16="http://schemas.microsoft.com/office/drawing/2014/main" id="{DDA4803B-2AE6-43E6-ACAF-F161725DEC00}"/>
            </a:ext>
            <a:ext uri="{147F2762-F138-4A5C-976F-8EAC2B608ADB}">
              <a16:predDERef xmlns:a16="http://schemas.microsoft.com/office/drawing/2014/main" pred="{24DDEBD0-BF46-4F0E-BD4D-CA30DDADFAAC}"/>
            </a:ext>
          </a:extLst>
        </xdr:cNvPr>
        <xdr:cNvSpPr/>
      </xdr:nvSpPr>
      <xdr:spPr>
        <a:xfrm>
          <a:off x="12734925" y="12344400"/>
          <a:ext cx="238125" cy="219075"/>
        </a:xfrm>
        <a:prstGeom prst="star5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14</xdr:col>
      <xdr:colOff>76200</xdr:colOff>
      <xdr:row>55</xdr:row>
      <xdr:rowOff>200025</xdr:rowOff>
    </xdr:from>
    <xdr:to>
      <xdr:col>14</xdr:col>
      <xdr:colOff>314325</xdr:colOff>
      <xdr:row>56</xdr:row>
      <xdr:rowOff>190500</xdr:rowOff>
    </xdr:to>
    <xdr:sp macro="" textlink="">
      <xdr:nvSpPr>
        <xdr:cNvPr id="5" name="5-Point Star 2">
          <a:extLst>
            <a:ext uri="{FF2B5EF4-FFF2-40B4-BE49-F238E27FC236}">
              <a16:creationId xmlns:a16="http://schemas.microsoft.com/office/drawing/2014/main" id="{1622FEE6-4D0E-44D6-A81D-91F828443964}"/>
            </a:ext>
            <a:ext uri="{147F2762-F138-4A5C-976F-8EAC2B608ADB}">
              <a16:predDERef xmlns:a16="http://schemas.microsoft.com/office/drawing/2014/main" pred="{DD524092-8286-418E-923D-BE9FCA8D1BA8}"/>
            </a:ext>
          </a:extLst>
        </xdr:cNvPr>
        <xdr:cNvSpPr/>
      </xdr:nvSpPr>
      <xdr:spPr>
        <a:xfrm>
          <a:off x="8324850" y="12344400"/>
          <a:ext cx="238125" cy="219075"/>
        </a:xfrm>
        <a:prstGeom prst="star5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B6CAD-027D-4973-8E5F-0B30951F1EBF}">
  <dimension ref="A1:L19"/>
  <sheetViews>
    <sheetView showGridLines="0" zoomScaleNormal="100" workbookViewId="0">
      <pane xSplit="3" ySplit="2" topLeftCell="D3" activePane="bottomRight" state="frozen"/>
      <selection pane="topRight" activeCell="E1" sqref="E1"/>
      <selection pane="bottomLeft" activeCell="A6" sqref="A6"/>
      <selection pane="bottomRight" activeCell="E14" sqref="E14"/>
    </sheetView>
  </sheetViews>
  <sheetFormatPr defaultColWidth="8.90625" defaultRowHeight="14.5"/>
  <cols>
    <col min="1" max="1" width="0.6328125" customWidth="1"/>
    <col min="2" max="2" width="6.90625" customWidth="1"/>
    <col min="3" max="3" width="81.36328125" customWidth="1"/>
    <col min="4" max="12" width="10.08984375" customWidth="1"/>
  </cols>
  <sheetData>
    <row r="1" spans="1:12" s="1" customFormat="1" ht="31.4" customHeight="1">
      <c r="A1" s="1030" t="s">
        <v>0</v>
      </c>
      <c r="B1" s="1030"/>
      <c r="C1" s="1030"/>
      <c r="D1" s="1030"/>
      <c r="E1" s="1030"/>
      <c r="F1" s="1030"/>
      <c r="G1" s="1030"/>
    </row>
    <row r="2" spans="1:12" s="2" customFormat="1">
      <c r="B2" s="3" t="s">
        <v>1</v>
      </c>
      <c r="C2" s="3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</row>
    <row r="3" spans="1:12" s="2" customFormat="1" ht="23.5" customHeight="1">
      <c r="B3" s="4">
        <v>1</v>
      </c>
      <c r="C3" s="7" t="s">
        <v>12</v>
      </c>
      <c r="D3" s="9"/>
      <c r="E3" s="9"/>
      <c r="F3" s="9"/>
      <c r="G3" s="9"/>
      <c r="H3" s="9"/>
      <c r="I3" s="9"/>
      <c r="J3" s="9"/>
      <c r="K3" s="9"/>
      <c r="L3" s="9"/>
    </row>
    <row r="4" spans="1:12" s="2" customFormat="1" ht="23.5" customHeight="1">
      <c r="B4" s="5">
        <v>1.1000000000000001</v>
      </c>
      <c r="C4" s="8" t="s">
        <v>13</v>
      </c>
      <c r="D4" s="9"/>
      <c r="E4" s="9"/>
      <c r="F4" s="9"/>
      <c r="G4" s="9"/>
      <c r="H4" s="9"/>
      <c r="I4" s="9"/>
      <c r="J4" s="9"/>
      <c r="K4" s="9"/>
      <c r="L4" s="9"/>
    </row>
    <row r="5" spans="1:12" s="2" customFormat="1" ht="23.5" customHeight="1">
      <c r="B5" s="5">
        <v>1.2</v>
      </c>
      <c r="C5" s="8" t="s">
        <v>14</v>
      </c>
      <c r="D5" s="9"/>
      <c r="E5" s="9"/>
      <c r="F5" s="9"/>
      <c r="G5" s="9"/>
      <c r="H5" s="9"/>
      <c r="I5" s="9"/>
      <c r="J5" s="9"/>
      <c r="K5" s="9"/>
      <c r="L5" s="9"/>
    </row>
    <row r="6" spans="1:12" s="2" customFormat="1" ht="23.5" customHeight="1">
      <c r="B6" s="4">
        <v>2</v>
      </c>
      <c r="C6" s="7" t="s">
        <v>15</v>
      </c>
      <c r="D6" s="9"/>
      <c r="E6" s="9"/>
      <c r="F6" s="9"/>
      <c r="G6" s="9"/>
      <c r="H6" s="9"/>
      <c r="I6" s="9"/>
      <c r="J6" s="9"/>
      <c r="K6" s="9"/>
      <c r="L6" s="9"/>
    </row>
    <row r="7" spans="1:12" s="2" customFormat="1" ht="23.5" customHeight="1">
      <c r="B7" s="5">
        <v>2.1</v>
      </c>
      <c r="C7" s="8" t="s">
        <v>16</v>
      </c>
      <c r="D7" s="9"/>
      <c r="E7" s="9"/>
      <c r="F7" s="9"/>
      <c r="G7" s="9"/>
      <c r="H7" s="9"/>
      <c r="I7" s="9"/>
      <c r="J7" s="9"/>
      <c r="K7" s="9"/>
      <c r="L7" s="9"/>
    </row>
    <row r="8" spans="1:12" s="2" customFormat="1" ht="23.5" customHeight="1">
      <c r="B8" s="5">
        <v>2.2000000000000002</v>
      </c>
      <c r="C8" s="8" t="s">
        <v>17</v>
      </c>
      <c r="D8" s="9"/>
      <c r="E8" s="10"/>
      <c r="F8" s="9"/>
      <c r="G8" s="9"/>
      <c r="H8" s="9"/>
      <c r="I8" s="9"/>
      <c r="J8" s="9"/>
      <c r="K8" s="9"/>
      <c r="L8" s="9"/>
    </row>
    <row r="9" spans="1:12" s="2" customFormat="1" ht="23.5" customHeight="1">
      <c r="B9" s="5">
        <v>2.2999999999999998</v>
      </c>
      <c r="C9" s="8" t="s">
        <v>18</v>
      </c>
      <c r="D9" s="9"/>
      <c r="E9" s="9"/>
      <c r="F9" s="9"/>
      <c r="G9" s="9"/>
      <c r="H9" s="9"/>
      <c r="I9" s="9"/>
      <c r="J9" s="9"/>
      <c r="K9" s="9"/>
      <c r="L9" s="9"/>
    </row>
    <row r="10" spans="1:12" s="2" customFormat="1" ht="23.5" customHeight="1">
      <c r="B10" s="4">
        <v>3</v>
      </c>
      <c r="C10" s="7" t="s">
        <v>19</v>
      </c>
      <c r="D10" s="9"/>
      <c r="E10" s="9"/>
      <c r="F10" s="9"/>
      <c r="G10" s="9"/>
      <c r="H10" s="9"/>
      <c r="I10" s="9"/>
      <c r="J10" s="9"/>
      <c r="K10" s="9"/>
      <c r="L10" s="9"/>
    </row>
    <row r="11" spans="1:12" s="2" customFormat="1" ht="23.5" customHeight="1">
      <c r="B11" s="5">
        <v>3.1</v>
      </c>
      <c r="C11" s="8" t="s">
        <v>20</v>
      </c>
      <c r="D11" s="9"/>
      <c r="E11" s="9"/>
      <c r="F11" s="9"/>
      <c r="G11" s="9"/>
      <c r="H11" s="9"/>
      <c r="I11" s="9"/>
      <c r="J11" s="9"/>
      <c r="K11" s="9"/>
      <c r="L11" s="9"/>
    </row>
    <row r="12" spans="1:12" s="2" customFormat="1" ht="23.5" customHeight="1">
      <c r="B12" s="5">
        <v>3.2</v>
      </c>
      <c r="C12" s="8" t="s">
        <v>21</v>
      </c>
      <c r="D12" s="9"/>
      <c r="E12" s="9"/>
      <c r="F12" s="9"/>
      <c r="G12" s="9"/>
      <c r="H12" s="9"/>
      <c r="I12" s="9"/>
      <c r="J12" s="9"/>
      <c r="K12" s="9"/>
      <c r="L12" s="9"/>
    </row>
    <row r="13" spans="1:12" s="2" customFormat="1" ht="23.5" customHeight="1">
      <c r="B13" s="4">
        <v>4</v>
      </c>
      <c r="C13" s="7" t="s">
        <v>22</v>
      </c>
      <c r="D13" s="9"/>
      <c r="E13" s="9"/>
      <c r="F13" s="9"/>
      <c r="G13" s="9"/>
      <c r="H13" s="9"/>
      <c r="I13" s="9"/>
      <c r="J13" s="9"/>
      <c r="K13" s="9"/>
      <c r="L13" s="9"/>
    </row>
    <row r="14" spans="1:12" s="2" customFormat="1" ht="23.5" customHeight="1">
      <c r="B14" s="5">
        <v>4.0999999999999996</v>
      </c>
      <c r="C14" s="8" t="s">
        <v>23</v>
      </c>
      <c r="D14" s="9"/>
      <c r="E14" s="9"/>
      <c r="F14" s="9"/>
      <c r="G14" s="9"/>
      <c r="H14" s="9"/>
      <c r="I14" s="9"/>
      <c r="J14" s="9"/>
      <c r="K14" s="9"/>
      <c r="L14" s="9"/>
    </row>
    <row r="15" spans="1:12" s="2" customFormat="1" ht="23.5" customHeight="1">
      <c r="B15" s="5">
        <v>4.2</v>
      </c>
      <c r="C15" s="8" t="s">
        <v>24</v>
      </c>
      <c r="D15" s="9"/>
      <c r="E15" s="9"/>
      <c r="F15" s="9"/>
      <c r="G15" s="9"/>
      <c r="H15" s="9"/>
      <c r="I15" s="9"/>
      <c r="J15" s="9"/>
      <c r="K15" s="9"/>
      <c r="L15" s="9"/>
    </row>
    <row r="16" spans="1:12" s="2" customFormat="1" ht="75">
      <c r="B16" s="4">
        <v>5</v>
      </c>
      <c r="C16" s="7" t="s">
        <v>25</v>
      </c>
      <c r="D16" s="9"/>
      <c r="E16" s="9"/>
      <c r="F16" s="9"/>
      <c r="G16" s="9"/>
      <c r="H16" s="9"/>
      <c r="I16" s="9"/>
      <c r="J16" s="9"/>
      <c r="K16" s="9"/>
      <c r="L16" s="9"/>
    </row>
    <row r="17" spans="2:12" s="2" customFormat="1">
      <c r="B17" s="5"/>
      <c r="C17" s="12" t="s">
        <v>26</v>
      </c>
      <c r="D17" s="13">
        <f t="shared" ref="D17:L17" si="0">SUM(D3:D16)</f>
        <v>0</v>
      </c>
      <c r="E17" s="13">
        <f t="shared" si="0"/>
        <v>0</v>
      </c>
      <c r="F17" s="13">
        <f t="shared" si="0"/>
        <v>0</v>
      </c>
      <c r="G17" s="13">
        <f t="shared" si="0"/>
        <v>0</v>
      </c>
      <c r="H17" s="13">
        <f t="shared" si="0"/>
        <v>0</v>
      </c>
      <c r="I17" s="13">
        <f t="shared" si="0"/>
        <v>0</v>
      </c>
      <c r="J17" s="13">
        <f t="shared" si="0"/>
        <v>0</v>
      </c>
      <c r="K17" s="13">
        <f t="shared" si="0"/>
        <v>0</v>
      </c>
      <c r="L17" s="13">
        <f t="shared" si="0"/>
        <v>0</v>
      </c>
    </row>
    <row r="18" spans="2:12">
      <c r="C18" s="14" t="s">
        <v>27</v>
      </c>
      <c r="D18" s="15">
        <v>8500</v>
      </c>
      <c r="E18" s="15">
        <v>8500</v>
      </c>
      <c r="F18" s="15">
        <v>14000</v>
      </c>
      <c r="G18" s="15">
        <v>14000</v>
      </c>
      <c r="H18" s="15">
        <v>8500</v>
      </c>
      <c r="I18" s="15">
        <v>8500</v>
      </c>
      <c r="J18" s="15">
        <v>14000</v>
      </c>
      <c r="K18" s="15">
        <v>8500</v>
      </c>
      <c r="L18" s="15">
        <v>8500</v>
      </c>
    </row>
    <row r="19" spans="2:12">
      <c r="C19" s="16" t="s">
        <v>28</v>
      </c>
      <c r="D19" s="17">
        <f t="shared" ref="D19:L19" si="1">D17*D18</f>
        <v>0</v>
      </c>
      <c r="E19" s="17">
        <f t="shared" si="1"/>
        <v>0</v>
      </c>
      <c r="F19" s="17">
        <f t="shared" si="1"/>
        <v>0</v>
      </c>
      <c r="G19" s="17">
        <f t="shared" si="1"/>
        <v>0</v>
      </c>
      <c r="H19" s="17">
        <f t="shared" si="1"/>
        <v>0</v>
      </c>
      <c r="I19" s="17">
        <f t="shared" si="1"/>
        <v>0</v>
      </c>
      <c r="J19" s="17">
        <f t="shared" si="1"/>
        <v>0</v>
      </c>
      <c r="K19" s="17">
        <f t="shared" si="1"/>
        <v>0</v>
      </c>
      <c r="L19" s="17">
        <f t="shared" si="1"/>
        <v>0</v>
      </c>
    </row>
  </sheetData>
  <mergeCells count="1">
    <mergeCell ref="A1:G1"/>
  </mergeCells>
  <pageMargins left="0.11811023622047245" right="0.11811023622047245" top="0.55118110236220474" bottom="0.35433070866141736" header="0.31496062992125984" footer="0.31496062992125984"/>
  <pageSetup paperSize="9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EC472-6181-43AB-BD3E-9AE73A7198F8}">
  <dimension ref="B2:T30"/>
  <sheetViews>
    <sheetView zoomScaleNormal="100" workbookViewId="0">
      <pane xSplit="3" ySplit="2" topLeftCell="D31" activePane="bottomRight" state="frozen"/>
      <selection pane="topRight" activeCell="D1" sqref="D1"/>
      <selection pane="bottomLeft" activeCell="A3" sqref="A3"/>
      <selection pane="bottomRight" activeCell="D31" sqref="D31"/>
    </sheetView>
  </sheetViews>
  <sheetFormatPr defaultColWidth="9.08984375" defaultRowHeight="14.5"/>
  <cols>
    <col min="1" max="1" width="4.36328125" style="20" customWidth="1"/>
    <col min="2" max="2" width="3.90625" style="20" customWidth="1"/>
    <col min="3" max="3" width="72.36328125" style="20" customWidth="1"/>
    <col min="4" max="4" width="11.90625" style="19" customWidth="1"/>
    <col min="5" max="5" width="12" style="19" customWidth="1"/>
    <col min="6" max="6" width="12.6328125" style="19" customWidth="1"/>
    <col min="7" max="7" width="14.90625" style="19" customWidth="1"/>
    <col min="8" max="8" width="16.6328125" style="19" customWidth="1"/>
    <col min="9" max="9" width="11.6328125" style="19" customWidth="1"/>
    <col min="10" max="10" width="12.6328125" style="19" customWidth="1"/>
    <col min="11" max="11" width="13.36328125" style="19" customWidth="1"/>
    <col min="12" max="12" width="11.90625" style="19" customWidth="1"/>
    <col min="13" max="14" width="11.36328125" style="19" customWidth="1"/>
    <col min="15" max="15" width="9.90625" style="19" hidden="1" customWidth="1"/>
    <col min="16" max="16" width="11.36328125" style="19" customWidth="1"/>
    <col min="17" max="17" width="17.36328125" style="19" customWidth="1"/>
    <col min="18" max="18" width="11.36328125" style="20" bestFit="1" customWidth="1"/>
    <col min="19" max="16384" width="9.08984375" style="20"/>
  </cols>
  <sheetData>
    <row r="2" spans="2:20">
      <c r="B2" s="18" t="s">
        <v>29</v>
      </c>
      <c r="C2" s="18" t="s">
        <v>30</v>
      </c>
      <c r="D2" s="6" t="s">
        <v>3</v>
      </c>
      <c r="E2" s="6" t="s">
        <v>31</v>
      </c>
      <c r="F2" s="6" t="s">
        <v>5</v>
      </c>
      <c r="G2" s="6" t="s">
        <v>6</v>
      </c>
      <c r="H2" s="6" t="s">
        <v>32</v>
      </c>
      <c r="I2" s="6" t="s">
        <v>7</v>
      </c>
      <c r="J2" s="6" t="s">
        <v>33</v>
      </c>
      <c r="K2" s="6" t="s">
        <v>34</v>
      </c>
      <c r="L2" s="6" t="s">
        <v>8</v>
      </c>
      <c r="M2" s="6" t="s">
        <v>9</v>
      </c>
      <c r="N2" s="6" t="s">
        <v>35</v>
      </c>
      <c r="O2" s="6" t="s">
        <v>10</v>
      </c>
      <c r="P2" s="6" t="s">
        <v>11</v>
      </c>
    </row>
    <row r="3" spans="2:20">
      <c r="B3" s="21">
        <v>1</v>
      </c>
      <c r="C3" s="51" t="s">
        <v>36</v>
      </c>
      <c r="D3" s="22">
        <v>2</v>
      </c>
      <c r="E3" s="22">
        <v>1</v>
      </c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4" spans="2:20">
      <c r="B4" s="21">
        <v>2</v>
      </c>
      <c r="C4" s="51" t="s">
        <v>37</v>
      </c>
      <c r="D4" s="22">
        <v>10</v>
      </c>
      <c r="E4" s="22">
        <v>4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20">
      <c r="B5" s="21">
        <v>3</v>
      </c>
      <c r="C5" s="20" t="s">
        <v>38</v>
      </c>
      <c r="D5" s="22">
        <v>2</v>
      </c>
      <c r="E5" s="22">
        <v>2</v>
      </c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</row>
    <row r="6" spans="2:20">
      <c r="C6" s="20" t="s">
        <v>39</v>
      </c>
      <c r="D6" s="19">
        <v>1</v>
      </c>
      <c r="E6" s="19">
        <v>2</v>
      </c>
    </row>
    <row r="7" spans="2:20" s="79" customFormat="1">
      <c r="B7" s="80"/>
      <c r="C7" s="81" t="s">
        <v>40</v>
      </c>
      <c r="D7" s="86"/>
      <c r="E7" s="82">
        <v>1</v>
      </c>
      <c r="F7" s="82">
        <v>1</v>
      </c>
      <c r="G7" s="82"/>
      <c r="H7" s="82">
        <v>6</v>
      </c>
      <c r="I7" s="83"/>
      <c r="J7" s="83"/>
      <c r="K7" s="83"/>
      <c r="L7" s="84"/>
      <c r="M7" s="84"/>
      <c r="N7" s="84"/>
      <c r="O7" s="84"/>
      <c r="P7" s="84"/>
      <c r="Q7" s="84"/>
      <c r="R7" s="84"/>
      <c r="S7" s="84"/>
      <c r="T7" s="85"/>
    </row>
    <row r="8" spans="2:20" s="79" customFormat="1">
      <c r="B8" s="80"/>
      <c r="C8" s="81" t="s">
        <v>41</v>
      </c>
      <c r="D8" s="1031">
        <v>3</v>
      </c>
      <c r="E8" s="82">
        <v>0.5</v>
      </c>
      <c r="F8" s="82"/>
      <c r="G8" s="82">
        <v>1.5</v>
      </c>
      <c r="H8" s="83">
        <v>1</v>
      </c>
      <c r="I8" s="83">
        <v>3</v>
      </c>
      <c r="J8" s="83"/>
      <c r="K8" s="84"/>
      <c r="L8" s="84">
        <v>3</v>
      </c>
      <c r="M8" s="84">
        <v>1</v>
      </c>
      <c r="N8" s="84"/>
      <c r="O8" s="84">
        <v>3</v>
      </c>
      <c r="P8" s="84"/>
      <c r="Q8" s="84"/>
      <c r="R8" s="84"/>
      <c r="S8" s="85"/>
    </row>
    <row r="9" spans="2:20" ht="58">
      <c r="B9" s="61">
        <v>4</v>
      </c>
      <c r="C9" s="67" t="s">
        <v>42</v>
      </c>
      <c r="D9" s="1031"/>
      <c r="E9" s="24">
        <v>5</v>
      </c>
      <c r="F9" s="24">
        <v>4</v>
      </c>
      <c r="G9" s="24">
        <v>10</v>
      </c>
      <c r="H9" s="24"/>
      <c r="I9" s="24">
        <v>5</v>
      </c>
      <c r="J9" s="24"/>
      <c r="K9" s="24"/>
      <c r="L9" s="24"/>
      <c r="M9" s="24"/>
      <c r="N9" s="24"/>
      <c r="O9" s="24"/>
      <c r="P9" s="24"/>
      <c r="Q9" s="20"/>
    </row>
    <row r="10" spans="2:20">
      <c r="B10" s="61"/>
      <c r="C10" s="68" t="s">
        <v>43</v>
      </c>
      <c r="D10" s="1031"/>
      <c r="E10" s="22">
        <v>2</v>
      </c>
      <c r="F10" s="22">
        <v>1</v>
      </c>
      <c r="G10" s="23">
        <v>2</v>
      </c>
      <c r="H10" s="22"/>
      <c r="I10" s="22">
        <v>1</v>
      </c>
      <c r="J10" s="22"/>
      <c r="K10" s="23"/>
      <c r="L10" s="23"/>
      <c r="M10" s="23"/>
      <c r="N10" s="23"/>
      <c r="O10" s="23"/>
      <c r="P10" s="22"/>
      <c r="Q10" s="20"/>
    </row>
    <row r="11" spans="2:20">
      <c r="B11" s="61"/>
      <c r="C11" s="74" t="s">
        <v>44</v>
      </c>
      <c r="D11" s="1031"/>
      <c r="E11" s="19">
        <v>5</v>
      </c>
      <c r="F11" s="19">
        <v>3</v>
      </c>
      <c r="G11" s="75">
        <v>10</v>
      </c>
      <c r="I11" s="19">
        <v>5</v>
      </c>
      <c r="K11" s="75"/>
      <c r="L11" s="75"/>
      <c r="M11" s="75"/>
      <c r="N11" s="75"/>
      <c r="O11" s="23"/>
      <c r="P11" s="76"/>
      <c r="Q11" s="20"/>
    </row>
    <row r="12" spans="2:20">
      <c r="B12" s="71"/>
      <c r="C12" s="72" t="s">
        <v>45</v>
      </c>
      <c r="D12" s="1031"/>
      <c r="E12" s="62">
        <v>2</v>
      </c>
      <c r="F12" s="62"/>
      <c r="G12" s="73">
        <v>4</v>
      </c>
      <c r="H12" s="62"/>
      <c r="I12" s="62">
        <v>2</v>
      </c>
      <c r="J12" s="62"/>
      <c r="K12" s="62"/>
      <c r="L12" s="73"/>
      <c r="M12" s="73"/>
      <c r="N12" s="73"/>
      <c r="O12" s="23"/>
      <c r="P12" s="59"/>
    </row>
    <row r="13" spans="2:20">
      <c r="B13" s="71"/>
      <c r="C13" s="72" t="s">
        <v>46</v>
      </c>
      <c r="D13" s="1031"/>
      <c r="E13" s="62">
        <v>2</v>
      </c>
      <c r="F13" s="62"/>
      <c r="G13" s="73">
        <v>4</v>
      </c>
      <c r="H13" s="62"/>
      <c r="I13" s="62">
        <v>2</v>
      </c>
      <c r="J13" s="62"/>
      <c r="K13" s="62"/>
      <c r="L13" s="73"/>
      <c r="M13" s="73"/>
      <c r="N13" s="73"/>
      <c r="O13" s="23"/>
      <c r="P13" s="59"/>
    </row>
    <row r="14" spans="2:20">
      <c r="B14" s="71"/>
      <c r="C14" s="72" t="s">
        <v>47</v>
      </c>
      <c r="D14" s="1031"/>
      <c r="E14" s="62">
        <v>2</v>
      </c>
      <c r="F14" s="62"/>
      <c r="G14" s="73">
        <v>4</v>
      </c>
      <c r="H14" s="62"/>
      <c r="I14" s="62">
        <v>2</v>
      </c>
      <c r="J14" s="62"/>
      <c r="K14" s="62"/>
      <c r="L14" s="73"/>
      <c r="M14" s="73"/>
      <c r="N14" s="73"/>
      <c r="O14" s="23"/>
      <c r="P14" s="59"/>
    </row>
    <row r="15" spans="2:20">
      <c r="B15" s="71"/>
      <c r="C15" s="72" t="s">
        <v>48</v>
      </c>
      <c r="D15" s="1031"/>
      <c r="E15" s="62">
        <v>2</v>
      </c>
      <c r="F15" s="62"/>
      <c r="G15" s="73">
        <v>4</v>
      </c>
      <c r="H15" s="62"/>
      <c r="I15" s="62">
        <v>2</v>
      </c>
      <c r="J15" s="62"/>
      <c r="K15" s="62"/>
      <c r="L15" s="73"/>
      <c r="M15" s="73"/>
      <c r="N15" s="73"/>
      <c r="O15" s="23"/>
      <c r="P15" s="59"/>
    </row>
    <row r="16" spans="2:20">
      <c r="B16" s="71"/>
      <c r="C16" s="72" t="s">
        <v>49</v>
      </c>
      <c r="D16" s="1031"/>
      <c r="E16" s="62">
        <v>2</v>
      </c>
      <c r="F16" s="62"/>
      <c r="G16" s="73">
        <v>4</v>
      </c>
      <c r="H16" s="62"/>
      <c r="I16" s="62">
        <v>2</v>
      </c>
      <c r="J16" s="62"/>
      <c r="K16" s="62"/>
      <c r="L16" s="73"/>
      <c r="M16" s="73"/>
      <c r="N16" s="73"/>
      <c r="O16" s="23"/>
      <c r="P16" s="59"/>
    </row>
    <row r="17" spans="2:17">
      <c r="B17" s="77"/>
      <c r="C17" s="74" t="s">
        <v>50</v>
      </c>
      <c r="D17" s="1031"/>
      <c r="E17" s="22">
        <v>2</v>
      </c>
      <c r="F17" s="22">
        <v>1</v>
      </c>
      <c r="G17" s="23">
        <v>2</v>
      </c>
      <c r="H17" s="22"/>
      <c r="I17" s="22">
        <v>1</v>
      </c>
      <c r="L17" s="75"/>
      <c r="M17" s="75"/>
      <c r="N17" s="75"/>
      <c r="O17" s="23"/>
      <c r="P17" s="78"/>
    </row>
    <row r="18" spans="2:17" ht="21.5">
      <c r="B18" s="61">
        <v>4.5999999999999996</v>
      </c>
      <c r="C18" s="70" t="s">
        <v>51</v>
      </c>
      <c r="D18" s="1031"/>
      <c r="E18" s="22">
        <v>1</v>
      </c>
      <c r="F18" s="22">
        <v>0.5</v>
      </c>
      <c r="G18" s="23">
        <v>1</v>
      </c>
      <c r="H18" s="22"/>
      <c r="I18" s="22">
        <v>1</v>
      </c>
      <c r="J18" s="23"/>
      <c r="K18" s="23"/>
      <c r="L18" s="23"/>
      <c r="M18" s="23"/>
      <c r="N18" s="23"/>
      <c r="O18" s="23"/>
      <c r="P18" s="69"/>
      <c r="Q18" s="20"/>
    </row>
    <row r="19" spans="2:17" ht="20.25" customHeight="1">
      <c r="B19" s="58">
        <v>4.7</v>
      </c>
      <c r="C19" s="63" t="s">
        <v>52</v>
      </c>
      <c r="D19" s="1032"/>
      <c r="E19" s="64"/>
      <c r="F19" s="65"/>
      <c r="G19" s="65"/>
      <c r="H19" s="65"/>
      <c r="I19" s="64"/>
      <c r="J19" s="65">
        <v>3</v>
      </c>
      <c r="K19" s="65"/>
      <c r="L19" s="65"/>
      <c r="M19" s="65"/>
      <c r="N19" s="65"/>
      <c r="O19" s="66"/>
      <c r="P19" s="60"/>
      <c r="Q19" s="20"/>
    </row>
    <row r="20" spans="2:17" ht="22" thickBot="1">
      <c r="B20" s="21">
        <v>5</v>
      </c>
      <c r="C20" s="51" t="s">
        <v>53</v>
      </c>
      <c r="D20" s="23">
        <v>1</v>
      </c>
      <c r="E20" s="23">
        <v>2</v>
      </c>
      <c r="F20" s="23">
        <v>2</v>
      </c>
      <c r="G20" s="23">
        <v>2</v>
      </c>
      <c r="H20" s="23"/>
      <c r="I20" s="23"/>
      <c r="J20" s="23">
        <v>0.5</v>
      </c>
      <c r="K20" s="23"/>
      <c r="L20" s="23"/>
      <c r="M20" s="23"/>
      <c r="N20" s="23"/>
      <c r="O20" s="23"/>
      <c r="P20" s="23"/>
      <c r="Q20" s="56"/>
    </row>
    <row r="21" spans="2:17" ht="17.5" customHeight="1" thickBot="1">
      <c r="B21" s="21">
        <v>6</v>
      </c>
      <c r="C21" s="51" t="s">
        <v>54</v>
      </c>
      <c r="D21" s="23">
        <v>1</v>
      </c>
      <c r="E21" s="23">
        <f>2+4</f>
        <v>6</v>
      </c>
      <c r="F21" s="23">
        <v>1</v>
      </c>
      <c r="G21" s="23">
        <f>2+4</f>
        <v>6</v>
      </c>
      <c r="H21" s="23"/>
      <c r="I21" s="22">
        <v>2</v>
      </c>
      <c r="J21" s="23">
        <v>0.5</v>
      </c>
      <c r="K21" s="23"/>
      <c r="L21" s="23"/>
      <c r="M21" s="23"/>
      <c r="N21" s="23"/>
      <c r="O21" s="23"/>
      <c r="P21" s="23"/>
      <c r="Q21" s="56"/>
    </row>
    <row r="22" spans="2:17">
      <c r="B22" s="21">
        <v>7</v>
      </c>
      <c r="C22" s="51" t="s">
        <v>55</v>
      </c>
      <c r="D22" s="23">
        <v>2</v>
      </c>
      <c r="E22" s="23">
        <f>2+4</f>
        <v>6</v>
      </c>
      <c r="F22" s="23">
        <v>1</v>
      </c>
      <c r="G22" s="23">
        <f>1+4</f>
        <v>5</v>
      </c>
      <c r="H22" s="23"/>
      <c r="I22" s="23">
        <v>1</v>
      </c>
      <c r="J22" s="23">
        <v>0.5</v>
      </c>
      <c r="K22" s="23"/>
      <c r="L22" s="23"/>
      <c r="M22" s="23"/>
      <c r="N22" s="23"/>
      <c r="O22" s="23"/>
      <c r="P22" s="23"/>
    </row>
    <row r="23" spans="2:17">
      <c r="B23" s="21">
        <v>8</v>
      </c>
      <c r="C23" s="51" t="s">
        <v>56</v>
      </c>
      <c r="D23" s="23"/>
      <c r="E23" s="23"/>
      <c r="F23" s="23"/>
      <c r="G23" s="23">
        <v>2</v>
      </c>
      <c r="H23" s="23"/>
      <c r="I23" s="23"/>
      <c r="J23" s="23"/>
      <c r="K23" s="23"/>
      <c r="L23" s="23"/>
      <c r="M23" s="23"/>
      <c r="N23" s="23"/>
      <c r="O23" s="23"/>
      <c r="P23" s="23"/>
    </row>
    <row r="24" spans="2:17">
      <c r="B24" s="21">
        <v>9</v>
      </c>
      <c r="C24" s="51" t="s">
        <v>57</v>
      </c>
      <c r="D24" s="22"/>
      <c r="E24" s="22">
        <v>1</v>
      </c>
      <c r="F24" s="22"/>
      <c r="G24" s="22">
        <v>2</v>
      </c>
      <c r="H24" s="22"/>
      <c r="I24" s="22"/>
      <c r="J24" s="22"/>
      <c r="K24" s="22"/>
      <c r="L24" s="22"/>
      <c r="M24" s="22"/>
      <c r="N24" s="22">
        <v>3</v>
      </c>
      <c r="O24" s="22"/>
      <c r="P24" s="22">
        <v>3</v>
      </c>
    </row>
    <row r="25" spans="2:17">
      <c r="B25" s="21">
        <v>10</v>
      </c>
      <c r="C25" s="51" t="s">
        <v>58</v>
      </c>
      <c r="D25" s="22">
        <v>0.5</v>
      </c>
      <c r="E25" s="22">
        <f>1+2</f>
        <v>3</v>
      </c>
      <c r="F25" s="22"/>
      <c r="G25" s="22">
        <f>1+2</f>
        <v>3</v>
      </c>
      <c r="H25" s="22"/>
      <c r="I25" s="22"/>
      <c r="J25" s="22">
        <v>0.5</v>
      </c>
      <c r="K25" s="22"/>
      <c r="L25" s="22"/>
      <c r="M25" s="22"/>
      <c r="N25" s="22"/>
      <c r="O25" s="22"/>
      <c r="P25" s="22"/>
    </row>
    <row r="26" spans="2:17" ht="23.25" customHeight="1">
      <c r="B26" s="21"/>
      <c r="C26" s="52" t="s">
        <v>26</v>
      </c>
      <c r="D26" s="24">
        <f t="shared" ref="D26:P26" si="0">SUM(D3:D25)</f>
        <v>22.5</v>
      </c>
      <c r="E26" s="24">
        <f t="shared" si="0"/>
        <v>53.5</v>
      </c>
      <c r="F26" s="24">
        <f t="shared" si="0"/>
        <v>14.5</v>
      </c>
      <c r="G26" s="24">
        <f t="shared" si="0"/>
        <v>66.5</v>
      </c>
      <c r="H26" s="24">
        <f t="shared" si="0"/>
        <v>7</v>
      </c>
      <c r="I26" s="24">
        <f t="shared" si="0"/>
        <v>29</v>
      </c>
      <c r="J26" s="24">
        <f t="shared" si="0"/>
        <v>5</v>
      </c>
      <c r="K26" s="24">
        <f t="shared" si="0"/>
        <v>0</v>
      </c>
      <c r="L26" s="24">
        <f t="shared" si="0"/>
        <v>3</v>
      </c>
      <c r="M26" s="24">
        <f t="shared" si="0"/>
        <v>1</v>
      </c>
      <c r="N26" s="24">
        <f t="shared" si="0"/>
        <v>3</v>
      </c>
      <c r="O26" s="24">
        <f t="shared" si="0"/>
        <v>3</v>
      </c>
      <c r="P26" s="24">
        <f t="shared" si="0"/>
        <v>3</v>
      </c>
      <c r="Q26" s="19">
        <f>SUM(D26:P26)</f>
        <v>211</v>
      </c>
    </row>
    <row r="27" spans="2:17" ht="23.25" customHeight="1">
      <c r="B27" s="21"/>
      <c r="C27" s="25" t="s">
        <v>27</v>
      </c>
      <c r="D27" s="26">
        <v>8500</v>
      </c>
      <c r="E27" s="26">
        <v>8500</v>
      </c>
      <c r="F27" s="26">
        <v>14000</v>
      </c>
      <c r="G27" s="26">
        <v>14000</v>
      </c>
      <c r="H27" s="26">
        <v>8500</v>
      </c>
      <c r="I27" s="26">
        <v>8500</v>
      </c>
      <c r="J27" s="26">
        <v>14000</v>
      </c>
      <c r="K27" s="26">
        <v>7500</v>
      </c>
      <c r="L27" s="26">
        <v>8500</v>
      </c>
      <c r="M27" s="26">
        <v>14000</v>
      </c>
      <c r="N27" s="26">
        <v>14000</v>
      </c>
      <c r="O27" s="26">
        <v>8500</v>
      </c>
      <c r="P27" s="26">
        <v>8500</v>
      </c>
      <c r="Q27" s="22"/>
    </row>
    <row r="28" spans="2:17" ht="16">
      <c r="B28" s="21"/>
      <c r="C28" s="27" t="s">
        <v>28</v>
      </c>
      <c r="D28" s="28">
        <f>D26*D27</f>
        <v>191250</v>
      </c>
      <c r="E28" s="28">
        <f t="shared" ref="E28:P28" si="1">E26*E27</f>
        <v>454750</v>
      </c>
      <c r="F28" s="28">
        <f t="shared" si="1"/>
        <v>203000</v>
      </c>
      <c r="G28" s="28">
        <f t="shared" si="1"/>
        <v>931000</v>
      </c>
      <c r="H28" s="28">
        <f t="shared" si="1"/>
        <v>59500</v>
      </c>
      <c r="I28" s="28">
        <f t="shared" si="1"/>
        <v>246500</v>
      </c>
      <c r="J28" s="28">
        <f t="shared" si="1"/>
        <v>70000</v>
      </c>
      <c r="K28" s="28">
        <f t="shared" si="1"/>
        <v>0</v>
      </c>
      <c r="L28" s="28">
        <f t="shared" si="1"/>
        <v>25500</v>
      </c>
      <c r="M28" s="28">
        <f t="shared" ref="M28" si="2">M26*M27</f>
        <v>14000</v>
      </c>
      <c r="N28" s="28">
        <f t="shared" si="1"/>
        <v>42000</v>
      </c>
      <c r="O28" s="28">
        <f t="shared" si="1"/>
        <v>25500</v>
      </c>
      <c r="P28" s="28">
        <f t="shared" si="1"/>
        <v>25500</v>
      </c>
      <c r="Q28" s="29">
        <f>SUM(D28:P28)</f>
        <v>2288500</v>
      </c>
    </row>
    <row r="30" spans="2:17">
      <c r="D30" s="19">
        <f>D26*8</f>
        <v>180</v>
      </c>
      <c r="E30" s="19">
        <f t="shared" ref="E30:P30" si="3">E26*8</f>
        <v>428</v>
      </c>
      <c r="F30" s="19">
        <f t="shared" si="3"/>
        <v>116</v>
      </c>
      <c r="G30" s="19">
        <f t="shared" si="3"/>
        <v>532</v>
      </c>
      <c r="H30" s="19">
        <f t="shared" si="3"/>
        <v>56</v>
      </c>
      <c r="I30" s="19">
        <f t="shared" si="3"/>
        <v>232</v>
      </c>
      <c r="J30" s="19">
        <f t="shared" si="3"/>
        <v>40</v>
      </c>
      <c r="K30" s="19">
        <f t="shared" si="3"/>
        <v>0</v>
      </c>
      <c r="L30" s="19">
        <f t="shared" si="3"/>
        <v>24</v>
      </c>
      <c r="M30" s="19">
        <f t="shared" ref="M30" si="4">M26*8</f>
        <v>8</v>
      </c>
      <c r="N30" s="19">
        <f t="shared" si="3"/>
        <v>24</v>
      </c>
      <c r="O30" s="19">
        <f t="shared" si="3"/>
        <v>24</v>
      </c>
      <c r="P30" s="19">
        <f t="shared" si="3"/>
        <v>24</v>
      </c>
    </row>
  </sheetData>
  <mergeCells count="1">
    <mergeCell ref="D8:D1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A18BB-61F6-4B47-8D52-2AAE6D4094E2}">
  <dimension ref="B2:P25"/>
  <sheetViews>
    <sheetView workbookViewId="0">
      <pane xSplit="3" ySplit="2" topLeftCell="AN64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9.08984375" defaultRowHeight="14.5"/>
  <cols>
    <col min="1" max="1" width="4.36328125" style="20" customWidth="1"/>
    <col min="2" max="2" width="3.90625" style="20" customWidth="1"/>
    <col min="3" max="3" width="72.36328125" style="20" customWidth="1"/>
    <col min="4" max="4" width="11.90625" style="19" customWidth="1"/>
    <col min="5" max="5" width="12" style="19" customWidth="1"/>
    <col min="6" max="6" width="12.6328125" style="19" customWidth="1"/>
    <col min="7" max="7" width="14.90625" style="19" customWidth="1"/>
    <col min="8" max="8" width="16.6328125" style="19" hidden="1" customWidth="1"/>
    <col min="9" max="9" width="11.6328125" style="19" customWidth="1"/>
    <col min="10" max="10" width="12.6328125" style="19" customWidth="1"/>
    <col min="11" max="11" width="13.36328125" style="19" customWidth="1"/>
    <col min="12" max="12" width="11.90625" style="19" customWidth="1"/>
    <col min="13" max="13" width="11.36328125" style="19" customWidth="1"/>
    <col min="14" max="14" width="9.90625" style="19" hidden="1" customWidth="1"/>
    <col min="15" max="15" width="11.36328125" style="19" customWidth="1"/>
    <col min="16" max="16" width="17.36328125" style="19" customWidth="1"/>
    <col min="17" max="17" width="11.36328125" style="20" bestFit="1" customWidth="1"/>
    <col min="18" max="16384" width="9.08984375" style="20"/>
  </cols>
  <sheetData>
    <row r="2" spans="2:16">
      <c r="B2" s="18" t="s">
        <v>29</v>
      </c>
      <c r="C2" s="18" t="s">
        <v>30</v>
      </c>
      <c r="D2" s="6" t="s">
        <v>3</v>
      </c>
      <c r="E2" s="6" t="s">
        <v>31</v>
      </c>
      <c r="F2" s="6" t="s">
        <v>5</v>
      </c>
      <c r="G2" s="6" t="s">
        <v>6</v>
      </c>
      <c r="H2" s="6" t="s">
        <v>32</v>
      </c>
      <c r="I2" s="6" t="s">
        <v>7</v>
      </c>
      <c r="J2" s="6" t="s">
        <v>33</v>
      </c>
      <c r="K2" s="6" t="s">
        <v>34</v>
      </c>
      <c r="L2" s="6" t="s">
        <v>8</v>
      </c>
      <c r="M2" s="6" t="s">
        <v>9</v>
      </c>
      <c r="N2" s="6" t="s">
        <v>10</v>
      </c>
      <c r="O2" s="6" t="s">
        <v>11</v>
      </c>
    </row>
    <row r="3" spans="2:16">
      <c r="B3" s="21">
        <v>1</v>
      </c>
      <c r="C3" s="51" t="s">
        <v>36</v>
      </c>
      <c r="D3" s="22">
        <v>2</v>
      </c>
      <c r="E3" s="22">
        <v>1</v>
      </c>
      <c r="F3" s="22"/>
      <c r="G3" s="22"/>
      <c r="H3" s="22"/>
      <c r="I3" s="22"/>
      <c r="J3" s="22"/>
      <c r="K3" s="22"/>
      <c r="L3" s="22"/>
      <c r="M3" s="22"/>
      <c r="N3" s="22"/>
      <c r="O3" s="22"/>
    </row>
    <row r="4" spans="2:16">
      <c r="B4" s="21">
        <v>2</v>
      </c>
      <c r="C4" s="51" t="s">
        <v>37</v>
      </c>
      <c r="D4" s="22">
        <v>5</v>
      </c>
      <c r="E4" s="22">
        <v>4</v>
      </c>
      <c r="F4" s="22"/>
      <c r="G4" s="22"/>
      <c r="H4" s="22"/>
      <c r="I4" s="22"/>
      <c r="J4" s="22"/>
      <c r="K4" s="22"/>
      <c r="L4" s="22"/>
      <c r="M4" s="22"/>
      <c r="N4" s="22"/>
      <c r="O4" s="22"/>
    </row>
    <row r="5" spans="2:16">
      <c r="B5" s="21">
        <v>3</v>
      </c>
      <c r="C5" s="20" t="s">
        <v>38</v>
      </c>
      <c r="D5" s="22">
        <v>2</v>
      </c>
      <c r="E5" s="22">
        <v>2</v>
      </c>
      <c r="F5" s="22"/>
      <c r="G5" s="22"/>
      <c r="H5" s="22"/>
      <c r="I5" s="22"/>
      <c r="J5" s="22"/>
      <c r="K5" s="22"/>
      <c r="L5" s="22"/>
      <c r="M5" s="22"/>
      <c r="N5" s="22"/>
      <c r="O5" s="22"/>
    </row>
    <row r="6" spans="2:16">
      <c r="B6" s="21"/>
      <c r="C6" s="52"/>
      <c r="D6" s="57"/>
      <c r="E6" s="22"/>
      <c r="F6" s="22"/>
      <c r="G6" s="22"/>
      <c r="H6" s="22"/>
      <c r="I6" s="22"/>
      <c r="J6" s="22"/>
      <c r="K6" s="22"/>
      <c r="L6" s="23"/>
      <c r="M6" s="23"/>
      <c r="N6" s="23"/>
      <c r="O6" s="23"/>
    </row>
    <row r="7" spans="2:16" ht="15" thickBot="1">
      <c r="B7" s="21"/>
      <c r="C7" s="53"/>
      <c r="D7" s="57"/>
      <c r="E7" s="22"/>
      <c r="F7" s="22"/>
      <c r="G7" s="23"/>
      <c r="H7" s="22"/>
      <c r="I7" s="22"/>
      <c r="J7" s="22"/>
      <c r="K7" s="22"/>
      <c r="L7" s="23"/>
      <c r="M7" s="23"/>
      <c r="N7" s="23"/>
      <c r="O7" s="23"/>
    </row>
    <row r="8" spans="2:16" ht="22" thickBot="1">
      <c r="B8" s="21"/>
      <c r="C8" s="53"/>
      <c r="D8" s="57"/>
      <c r="E8" s="22"/>
      <c r="F8" s="22"/>
      <c r="G8" s="22"/>
      <c r="H8" s="22"/>
      <c r="I8" s="22"/>
      <c r="J8" s="23"/>
      <c r="K8" s="23"/>
      <c r="L8" s="23"/>
      <c r="M8" s="23"/>
      <c r="N8" s="23"/>
      <c r="O8" s="23"/>
      <c r="P8" s="55"/>
    </row>
    <row r="9" spans="2:16" ht="22" thickBot="1">
      <c r="B9" s="21"/>
      <c r="C9" s="52"/>
      <c r="D9" s="57"/>
      <c r="E9" s="22"/>
      <c r="F9" s="22"/>
      <c r="G9" s="23"/>
      <c r="H9" s="23"/>
      <c r="I9" s="23"/>
      <c r="J9" s="23"/>
      <c r="K9" s="23"/>
      <c r="L9" s="23"/>
      <c r="M9" s="23"/>
      <c r="N9" s="23"/>
      <c r="O9" s="23"/>
      <c r="P9" s="56"/>
    </row>
    <row r="10" spans="2:16" ht="29.5" thickBot="1">
      <c r="B10" s="21">
        <v>8</v>
      </c>
      <c r="C10" s="53" t="s">
        <v>59</v>
      </c>
      <c r="D10" s="57">
        <v>2</v>
      </c>
      <c r="E10" s="22">
        <v>3</v>
      </c>
      <c r="F10" s="22">
        <v>8</v>
      </c>
      <c r="G10" s="23">
        <v>10</v>
      </c>
      <c r="H10" s="23"/>
      <c r="I10" s="23">
        <v>3</v>
      </c>
      <c r="J10" s="23">
        <v>5</v>
      </c>
      <c r="K10" s="23">
        <v>3</v>
      </c>
      <c r="L10" s="23">
        <v>3</v>
      </c>
      <c r="M10" s="23">
        <v>0.5</v>
      </c>
      <c r="N10" s="23"/>
      <c r="O10" s="23"/>
      <c r="P10" s="56"/>
    </row>
    <row r="11" spans="2:16" ht="22" thickBot="1">
      <c r="B11" s="21"/>
      <c r="C11" s="53"/>
      <c r="D11" s="57"/>
      <c r="E11" s="22"/>
      <c r="F11" s="22"/>
      <c r="G11" s="23"/>
      <c r="H11" s="23"/>
      <c r="I11" s="23"/>
      <c r="J11" s="23"/>
      <c r="K11" s="23"/>
      <c r="L11" s="23"/>
      <c r="M11" s="23"/>
      <c r="N11" s="23"/>
      <c r="O11" s="23"/>
      <c r="P11" s="56"/>
    </row>
    <row r="12" spans="2:16" ht="22" thickBot="1">
      <c r="B12" s="21"/>
      <c r="C12" s="8"/>
      <c r="D12" s="57"/>
      <c r="E12" s="54"/>
      <c r="F12" s="22"/>
      <c r="G12" s="23"/>
      <c r="H12" s="23"/>
      <c r="I12" s="23"/>
      <c r="J12" s="23"/>
      <c r="K12" s="23"/>
      <c r="L12" s="23"/>
      <c r="M12" s="23"/>
      <c r="N12" s="23"/>
      <c r="O12" s="23"/>
      <c r="P12" s="56"/>
    </row>
    <row r="13" spans="2:16" ht="19.5" customHeight="1" thickBot="1">
      <c r="B13" s="21"/>
      <c r="C13" s="8"/>
      <c r="D13" s="57"/>
      <c r="E13" s="22"/>
      <c r="F13" s="22"/>
      <c r="G13" s="23"/>
      <c r="H13" s="23"/>
      <c r="I13" s="23"/>
      <c r="J13" s="23"/>
      <c r="K13" s="23"/>
      <c r="L13" s="23"/>
      <c r="M13" s="23"/>
      <c r="N13" s="23"/>
      <c r="O13" s="23"/>
      <c r="P13" s="56"/>
    </row>
    <row r="14" spans="2:16" ht="22" thickBot="1">
      <c r="B14" s="21"/>
      <c r="C14" s="53"/>
      <c r="D14" s="57"/>
      <c r="E14" s="22"/>
      <c r="F14" s="22"/>
      <c r="G14" s="23"/>
      <c r="H14" s="23"/>
      <c r="I14" s="23"/>
      <c r="J14" s="23"/>
      <c r="K14" s="23"/>
      <c r="L14" s="23"/>
      <c r="M14" s="23"/>
      <c r="N14" s="23"/>
      <c r="O14" s="23"/>
      <c r="P14" s="56"/>
    </row>
    <row r="15" spans="2:16" ht="22" thickBot="1">
      <c r="B15" s="21">
        <v>18</v>
      </c>
      <c r="C15" s="51" t="s">
        <v>53</v>
      </c>
      <c r="D15" s="23">
        <v>1</v>
      </c>
      <c r="E15" s="23">
        <v>2</v>
      </c>
      <c r="F15" s="23">
        <v>2</v>
      </c>
      <c r="G15" s="23">
        <v>2</v>
      </c>
      <c r="H15" s="23"/>
      <c r="I15" s="23"/>
      <c r="J15" s="23">
        <v>0.5</v>
      </c>
      <c r="K15" s="23"/>
      <c r="L15" s="23"/>
      <c r="M15" s="23"/>
      <c r="N15" s="23"/>
      <c r="O15" s="23"/>
      <c r="P15" s="56"/>
    </row>
    <row r="16" spans="2:16" ht="22" thickBot="1">
      <c r="B16" s="21">
        <v>19</v>
      </c>
      <c r="C16" s="51" t="s">
        <v>54</v>
      </c>
      <c r="D16" s="23">
        <v>1</v>
      </c>
      <c r="E16" s="23">
        <v>2</v>
      </c>
      <c r="F16" s="23">
        <v>1</v>
      </c>
      <c r="G16" s="23">
        <v>2</v>
      </c>
      <c r="H16" s="23"/>
      <c r="I16" s="22">
        <v>2</v>
      </c>
      <c r="J16" s="23">
        <v>0.5</v>
      </c>
      <c r="K16" s="23"/>
      <c r="L16" s="23"/>
      <c r="M16" s="23"/>
      <c r="N16" s="23"/>
      <c r="O16" s="23"/>
      <c r="P16" s="56"/>
    </row>
    <row r="17" spans="2:16">
      <c r="B17" s="21">
        <v>20</v>
      </c>
      <c r="C17" s="51" t="s">
        <v>55</v>
      </c>
      <c r="D17" s="23">
        <v>2</v>
      </c>
      <c r="E17" s="23">
        <v>2</v>
      </c>
      <c r="F17" s="23">
        <v>1</v>
      </c>
      <c r="G17" s="23">
        <v>1</v>
      </c>
      <c r="H17" s="23"/>
      <c r="I17" s="23">
        <v>1</v>
      </c>
      <c r="J17" s="23">
        <v>0.5</v>
      </c>
      <c r="K17" s="23"/>
      <c r="L17" s="23"/>
      <c r="M17" s="23"/>
      <c r="N17" s="23"/>
      <c r="O17" s="23"/>
    </row>
    <row r="18" spans="2:16">
      <c r="B18" s="21">
        <v>21</v>
      </c>
      <c r="C18" s="51" t="s">
        <v>56</v>
      </c>
      <c r="D18" s="23"/>
      <c r="E18" s="23"/>
      <c r="F18" s="23"/>
      <c r="G18" s="23">
        <v>1</v>
      </c>
      <c r="H18" s="23"/>
      <c r="I18" s="23"/>
      <c r="J18" s="23"/>
      <c r="K18" s="23"/>
      <c r="L18" s="23"/>
      <c r="M18" s="23"/>
      <c r="N18" s="23"/>
      <c r="O18" s="23"/>
    </row>
    <row r="19" spans="2:16">
      <c r="B19" s="21">
        <v>22</v>
      </c>
      <c r="C19" s="51" t="s">
        <v>57</v>
      </c>
      <c r="D19" s="22"/>
      <c r="E19" s="22">
        <v>0.5</v>
      </c>
      <c r="F19" s="22"/>
      <c r="G19" s="22">
        <v>1</v>
      </c>
      <c r="H19" s="22"/>
      <c r="I19" s="22"/>
      <c r="J19" s="22"/>
      <c r="K19" s="22"/>
      <c r="L19" s="22"/>
      <c r="M19" s="22"/>
      <c r="N19" s="22"/>
      <c r="O19" s="22">
        <v>3</v>
      </c>
    </row>
    <row r="20" spans="2:16">
      <c r="B20" s="21">
        <v>23</v>
      </c>
      <c r="C20" s="51" t="s">
        <v>58</v>
      </c>
      <c r="D20" s="22">
        <v>0.5</v>
      </c>
      <c r="E20" s="22">
        <v>1</v>
      </c>
      <c r="F20" s="22"/>
      <c r="G20" s="22">
        <v>1</v>
      </c>
      <c r="H20" s="22"/>
      <c r="I20" s="22">
        <v>1</v>
      </c>
      <c r="J20" s="22">
        <v>0.5</v>
      </c>
      <c r="K20" s="22">
        <v>0.5</v>
      </c>
      <c r="L20" s="22">
        <v>0.5</v>
      </c>
      <c r="M20" s="22"/>
      <c r="N20" s="22"/>
      <c r="O20" s="22"/>
    </row>
    <row r="21" spans="2:16" ht="23.25" customHeight="1">
      <c r="B21" s="21"/>
      <c r="C21" s="52" t="s">
        <v>26</v>
      </c>
      <c r="D21" s="24">
        <f t="shared" ref="D21:O21" si="0">SUM(D3:D20)</f>
        <v>15.5</v>
      </c>
      <c r="E21" s="24">
        <f t="shared" si="0"/>
        <v>17.5</v>
      </c>
      <c r="F21" s="24">
        <f t="shared" si="0"/>
        <v>12</v>
      </c>
      <c r="G21" s="24">
        <f t="shared" si="0"/>
        <v>18</v>
      </c>
      <c r="H21" s="24">
        <f t="shared" si="0"/>
        <v>0</v>
      </c>
      <c r="I21" s="24">
        <f t="shared" si="0"/>
        <v>7</v>
      </c>
      <c r="J21" s="24">
        <f t="shared" si="0"/>
        <v>7</v>
      </c>
      <c r="K21" s="24">
        <f t="shared" si="0"/>
        <v>3.5</v>
      </c>
      <c r="L21" s="24">
        <f t="shared" si="0"/>
        <v>3.5</v>
      </c>
      <c r="M21" s="24">
        <f t="shared" si="0"/>
        <v>0.5</v>
      </c>
      <c r="N21" s="24">
        <f t="shared" si="0"/>
        <v>0</v>
      </c>
      <c r="O21" s="24">
        <f t="shared" si="0"/>
        <v>3</v>
      </c>
      <c r="P21" s="19">
        <f>SUM(D21:O21)</f>
        <v>87.5</v>
      </c>
    </row>
    <row r="22" spans="2:16" ht="23.25" customHeight="1">
      <c r="B22" s="21"/>
      <c r="C22" s="25" t="s">
        <v>27</v>
      </c>
      <c r="D22" s="26">
        <v>8500</v>
      </c>
      <c r="E22" s="26">
        <v>8500</v>
      </c>
      <c r="F22" s="26">
        <v>14000</v>
      </c>
      <c r="G22" s="26">
        <v>14000</v>
      </c>
      <c r="H22" s="26">
        <v>8500</v>
      </c>
      <c r="I22" s="26">
        <v>8500</v>
      </c>
      <c r="J22" s="26">
        <v>14000</v>
      </c>
      <c r="K22" s="26">
        <v>7500</v>
      </c>
      <c r="L22" s="26">
        <v>8500</v>
      </c>
      <c r="M22" s="26">
        <v>14000</v>
      </c>
      <c r="N22" s="26">
        <v>8500</v>
      </c>
      <c r="O22" s="26">
        <v>8500</v>
      </c>
      <c r="P22" s="22"/>
    </row>
    <row r="23" spans="2:16" ht="16">
      <c r="B23" s="21"/>
      <c r="C23" s="27" t="s">
        <v>28</v>
      </c>
      <c r="D23" s="28">
        <f>D21*D22</f>
        <v>131750</v>
      </c>
      <c r="E23" s="28">
        <f t="shared" ref="E23:O23" si="1">E21*E22</f>
        <v>148750</v>
      </c>
      <c r="F23" s="28">
        <f t="shared" si="1"/>
        <v>168000</v>
      </c>
      <c r="G23" s="28">
        <f t="shared" si="1"/>
        <v>252000</v>
      </c>
      <c r="H23" s="28">
        <f t="shared" si="1"/>
        <v>0</v>
      </c>
      <c r="I23" s="28">
        <f t="shared" si="1"/>
        <v>59500</v>
      </c>
      <c r="J23" s="28">
        <f t="shared" si="1"/>
        <v>98000</v>
      </c>
      <c r="K23" s="28">
        <f t="shared" si="1"/>
        <v>26250</v>
      </c>
      <c r="L23" s="28">
        <f t="shared" si="1"/>
        <v>29750</v>
      </c>
      <c r="M23" s="28">
        <f t="shared" si="1"/>
        <v>7000</v>
      </c>
      <c r="N23" s="28">
        <f t="shared" si="1"/>
        <v>0</v>
      </c>
      <c r="O23" s="28">
        <f t="shared" si="1"/>
        <v>25500</v>
      </c>
      <c r="P23" s="29">
        <f>SUM(D23:O23)</f>
        <v>946500</v>
      </c>
    </row>
    <row r="25" spans="2:16">
      <c r="D25" s="19">
        <f>D21*8</f>
        <v>124</v>
      </c>
      <c r="E25" s="19">
        <f t="shared" ref="E25:O25" si="2">E21*8</f>
        <v>140</v>
      </c>
      <c r="F25" s="19">
        <f t="shared" si="2"/>
        <v>96</v>
      </c>
      <c r="G25" s="19">
        <f t="shared" si="2"/>
        <v>144</v>
      </c>
      <c r="H25" s="19">
        <f t="shared" si="2"/>
        <v>0</v>
      </c>
      <c r="I25" s="19">
        <f t="shared" si="2"/>
        <v>56</v>
      </c>
      <c r="J25" s="19">
        <f t="shared" si="2"/>
        <v>56</v>
      </c>
      <c r="K25" s="19">
        <f t="shared" si="2"/>
        <v>28</v>
      </c>
      <c r="L25" s="19">
        <f t="shared" si="2"/>
        <v>28</v>
      </c>
      <c r="M25" s="19">
        <f t="shared" si="2"/>
        <v>4</v>
      </c>
      <c r="N25" s="19">
        <f t="shared" si="2"/>
        <v>0</v>
      </c>
      <c r="O25" s="19">
        <f t="shared" si="2"/>
        <v>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07DA1-9494-4E95-B7F8-A2AFFFA4E6D9}">
  <dimension ref="A1:DX59"/>
  <sheetViews>
    <sheetView workbookViewId="0">
      <pane xSplit="3" ySplit="2" topLeftCell="D29" activePane="bottomRight" state="frozen"/>
      <selection pane="topRight" activeCell="D1" sqref="D1"/>
      <selection pane="bottomLeft" activeCell="A3" sqref="A3"/>
      <selection pane="bottomRight" activeCell="D39" sqref="D39:AW44"/>
    </sheetView>
  </sheetViews>
  <sheetFormatPr defaultColWidth="8.6328125" defaultRowHeight="13.5" customHeight="1"/>
  <cols>
    <col min="1" max="1" width="4.36328125" style="20" customWidth="1"/>
    <col min="2" max="2" width="5.08984375" style="87" customWidth="1"/>
    <col min="3" max="3" width="62" style="20" customWidth="1"/>
    <col min="4" max="4" width="11.90625" style="19" customWidth="1"/>
    <col min="5" max="5" width="12" style="19" customWidth="1"/>
    <col min="6" max="6" width="12.6328125" style="19" customWidth="1"/>
    <col min="7" max="7" width="14.90625" style="19" customWidth="1"/>
    <col min="8" max="8" width="16.6328125" style="19" customWidth="1"/>
    <col min="9" max="10" width="11.6328125" style="19" customWidth="1"/>
    <col min="11" max="11" width="12.6328125" style="19" customWidth="1"/>
    <col min="12" max="12" width="11.90625" style="19" customWidth="1"/>
    <col min="13" max="13" width="11.36328125" style="19" customWidth="1"/>
    <col min="14" max="14" width="9.90625" style="19" customWidth="1"/>
    <col min="15" max="15" width="11.36328125" style="19" customWidth="1"/>
    <col min="16" max="18" width="12.6328125" style="19" customWidth="1"/>
    <col min="19" max="49" width="13.08984375" style="19" customWidth="1"/>
    <col min="50" max="50" width="22.36328125" style="19" bestFit="1" customWidth="1"/>
    <col min="51" max="51" width="17.36328125" style="19" customWidth="1"/>
    <col min="52" max="52" width="11.08984375" style="20" bestFit="1" customWidth="1"/>
    <col min="53" max="53" width="11.6328125" style="20" bestFit="1" customWidth="1"/>
    <col min="54" max="16384" width="8.6328125" style="20"/>
  </cols>
  <sheetData>
    <row r="1" spans="1:128" ht="15" customHeight="1">
      <c r="Q1" s="1037" t="s">
        <v>60</v>
      </c>
      <c r="R1" s="1038"/>
      <c r="S1" s="1039"/>
      <c r="T1" s="1038" t="s">
        <v>61</v>
      </c>
      <c r="U1" s="1038"/>
      <c r="V1" s="1040" t="s">
        <v>62</v>
      </c>
      <c r="W1" s="1033"/>
      <c r="X1" s="1033"/>
      <c r="Y1" s="1033"/>
      <c r="Z1" s="1033"/>
      <c r="AA1" s="1033"/>
      <c r="AB1" s="1041"/>
      <c r="AC1" s="1033" t="s">
        <v>63</v>
      </c>
      <c r="AD1" s="1033"/>
      <c r="AE1" s="1033"/>
      <c r="AF1" s="1033"/>
      <c r="AG1" s="1033"/>
      <c r="AH1" s="1033"/>
      <c r="AI1" s="1041"/>
      <c r="AJ1" s="1033" t="s">
        <v>64</v>
      </c>
      <c r="AK1" s="1033"/>
      <c r="AL1" s="1033"/>
      <c r="AM1" s="1033"/>
      <c r="AN1" s="1033"/>
      <c r="AO1" s="1033"/>
      <c r="AP1" s="1041"/>
      <c r="AQ1" s="1033" t="s">
        <v>65</v>
      </c>
      <c r="AR1" s="1033"/>
      <c r="AS1" s="1033"/>
      <c r="AT1" s="1033"/>
      <c r="AU1" s="1033"/>
      <c r="AV1" s="1033"/>
      <c r="AW1" s="1033"/>
      <c r="AX1" s="285" t="s">
        <v>66</v>
      </c>
      <c r="AY1" s="20"/>
    </row>
    <row r="2" spans="1:128" ht="29">
      <c r="B2" s="312" t="s">
        <v>29</v>
      </c>
      <c r="C2" s="313" t="s">
        <v>30</v>
      </c>
      <c r="D2" s="314" t="s">
        <v>3</v>
      </c>
      <c r="E2" s="315" t="s">
        <v>31</v>
      </c>
      <c r="F2" s="315" t="s">
        <v>5</v>
      </c>
      <c r="G2" s="315" t="s">
        <v>67</v>
      </c>
      <c r="H2" s="315" t="s">
        <v>32</v>
      </c>
      <c r="I2" s="315" t="s">
        <v>7</v>
      </c>
      <c r="J2" s="315" t="s">
        <v>68</v>
      </c>
      <c r="K2" s="315" t="s">
        <v>69</v>
      </c>
      <c r="L2" s="315" t="s">
        <v>8</v>
      </c>
      <c r="M2" s="315" t="s">
        <v>9</v>
      </c>
      <c r="N2" s="315" t="s">
        <v>10</v>
      </c>
      <c r="O2" s="315" t="s">
        <v>35</v>
      </c>
      <c r="P2" s="316" t="s">
        <v>11</v>
      </c>
      <c r="Q2" s="317" t="s">
        <v>70</v>
      </c>
      <c r="R2" s="318" t="s">
        <v>71</v>
      </c>
      <c r="S2" s="319" t="s">
        <v>34</v>
      </c>
      <c r="T2" s="269" t="s">
        <v>72</v>
      </c>
      <c r="U2" s="276" t="s">
        <v>73</v>
      </c>
      <c r="V2" s="274" t="s">
        <v>74</v>
      </c>
      <c r="W2" s="275" t="s">
        <v>31</v>
      </c>
      <c r="X2" s="275" t="s">
        <v>6</v>
      </c>
      <c r="Y2" s="275" t="s">
        <v>75</v>
      </c>
      <c r="Z2" s="275" t="s">
        <v>7</v>
      </c>
      <c r="AA2" s="275" t="s">
        <v>76</v>
      </c>
      <c r="AB2" s="280" t="s">
        <v>77</v>
      </c>
      <c r="AC2" s="274" t="s">
        <v>74</v>
      </c>
      <c r="AD2" s="275" t="s">
        <v>31</v>
      </c>
      <c r="AE2" s="275" t="s">
        <v>6</v>
      </c>
      <c r="AF2" s="275" t="s">
        <v>75</v>
      </c>
      <c r="AG2" s="275" t="s">
        <v>7</v>
      </c>
      <c r="AH2" s="275" t="s">
        <v>76</v>
      </c>
      <c r="AI2" s="280" t="s">
        <v>77</v>
      </c>
      <c r="AJ2" s="274" t="s">
        <v>74</v>
      </c>
      <c r="AK2" s="275" t="s">
        <v>31</v>
      </c>
      <c r="AL2" s="275" t="s">
        <v>6</v>
      </c>
      <c r="AM2" s="275" t="s">
        <v>75</v>
      </c>
      <c r="AN2" s="275" t="s">
        <v>7</v>
      </c>
      <c r="AO2" s="275" t="s">
        <v>76</v>
      </c>
      <c r="AP2" s="280" t="s">
        <v>77</v>
      </c>
      <c r="AQ2" s="274" t="s">
        <v>74</v>
      </c>
      <c r="AR2" s="275" t="s">
        <v>31</v>
      </c>
      <c r="AS2" s="275" t="s">
        <v>6</v>
      </c>
      <c r="AT2" s="275" t="s">
        <v>75</v>
      </c>
      <c r="AU2" s="275" t="s">
        <v>7</v>
      </c>
      <c r="AV2" s="275" t="s">
        <v>76</v>
      </c>
      <c r="AW2" s="593" t="s">
        <v>77</v>
      </c>
      <c r="AX2" s="609" t="s">
        <v>78</v>
      </c>
      <c r="AY2" s="20"/>
    </row>
    <row r="3" spans="1:128" ht="14.5">
      <c r="B3" s="320">
        <v>1</v>
      </c>
      <c r="C3" s="321" t="s">
        <v>36</v>
      </c>
      <c r="D3" s="233">
        <v>2</v>
      </c>
      <c r="E3" s="62">
        <v>2</v>
      </c>
      <c r="F3" s="322"/>
      <c r="G3" s="322"/>
      <c r="H3" s="322"/>
      <c r="I3" s="322"/>
      <c r="J3" s="322"/>
      <c r="K3" s="322"/>
      <c r="L3" s="322"/>
      <c r="M3" s="322"/>
      <c r="N3" s="322"/>
      <c r="O3" s="322"/>
      <c r="P3" s="323"/>
      <c r="Q3" s="324"/>
      <c r="R3" s="325"/>
      <c r="S3" s="326"/>
      <c r="T3" s="327"/>
      <c r="U3" s="328"/>
      <c r="V3" s="329"/>
      <c r="W3" s="99"/>
      <c r="X3" s="99"/>
      <c r="Y3" s="99"/>
      <c r="Z3" s="99"/>
      <c r="AA3" s="99"/>
      <c r="AB3" s="330"/>
      <c r="AC3" s="329"/>
      <c r="AD3" s="99"/>
      <c r="AE3" s="99"/>
      <c r="AF3" s="99"/>
      <c r="AG3" s="99"/>
      <c r="AH3" s="99"/>
      <c r="AI3" s="330"/>
      <c r="AJ3" s="329"/>
      <c r="AK3" s="99"/>
      <c r="AL3" s="99"/>
      <c r="AM3" s="99"/>
      <c r="AN3" s="99"/>
      <c r="AO3" s="99"/>
      <c r="AP3" s="330"/>
      <c r="AQ3" s="329"/>
      <c r="AR3" s="99"/>
      <c r="AS3" s="99"/>
      <c r="AT3" s="99"/>
      <c r="AU3" s="99"/>
      <c r="AV3" s="99"/>
      <c r="AW3" s="594"/>
      <c r="AX3" s="610"/>
      <c r="AY3" s="20"/>
    </row>
    <row r="4" spans="1:128" s="108" customFormat="1" ht="14.5">
      <c r="A4" s="20"/>
      <c r="B4" s="332">
        <v>2</v>
      </c>
      <c r="C4" s="333" t="s">
        <v>79</v>
      </c>
      <c r="D4" s="229">
        <v>1</v>
      </c>
      <c r="E4" s="230">
        <v>0.5</v>
      </c>
      <c r="F4" s="334"/>
      <c r="G4" s="334"/>
      <c r="H4" s="334"/>
      <c r="I4" s="334"/>
      <c r="J4" s="231"/>
      <c r="K4" s="231"/>
      <c r="L4" s="231"/>
      <c r="M4" s="231"/>
      <c r="N4" s="231"/>
      <c r="O4" s="231"/>
      <c r="P4" s="232"/>
      <c r="Q4" s="335"/>
      <c r="R4" s="334"/>
      <c r="S4" s="336"/>
      <c r="T4" s="337"/>
      <c r="U4" s="338"/>
      <c r="V4" s="337"/>
      <c r="W4" s="105"/>
      <c r="X4" s="105"/>
      <c r="Y4" s="105"/>
      <c r="Z4" s="105"/>
      <c r="AA4" s="105"/>
      <c r="AB4" s="338"/>
      <c r="AC4" s="337"/>
      <c r="AD4" s="105"/>
      <c r="AE4" s="105"/>
      <c r="AF4" s="105"/>
      <c r="AG4" s="105"/>
      <c r="AH4" s="105"/>
      <c r="AI4" s="338"/>
      <c r="AJ4" s="337"/>
      <c r="AK4" s="105"/>
      <c r="AL4" s="105"/>
      <c r="AM4" s="105"/>
      <c r="AN4" s="105"/>
      <c r="AO4" s="105"/>
      <c r="AP4" s="338"/>
      <c r="AQ4" s="337"/>
      <c r="AR4" s="105"/>
      <c r="AS4" s="105"/>
      <c r="AT4" s="105"/>
      <c r="AU4" s="105"/>
      <c r="AV4" s="105"/>
      <c r="AW4" s="595"/>
      <c r="AX4" s="611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</row>
    <row r="5" spans="1:128" s="108" customFormat="1" ht="14.5">
      <c r="A5" s="20"/>
      <c r="B5" s="332">
        <v>2</v>
      </c>
      <c r="C5" s="333" t="s">
        <v>80</v>
      </c>
      <c r="D5" s="229">
        <v>5</v>
      </c>
      <c r="E5" s="230">
        <v>2</v>
      </c>
      <c r="F5" s="334"/>
      <c r="G5" s="334"/>
      <c r="H5" s="334"/>
      <c r="I5" s="334"/>
      <c r="J5" s="334"/>
      <c r="K5" s="334"/>
      <c r="L5" s="334"/>
      <c r="M5" s="334"/>
      <c r="N5" s="334"/>
      <c r="O5" s="334"/>
      <c r="P5" s="340"/>
      <c r="Q5" s="335"/>
      <c r="R5" s="334"/>
      <c r="S5" s="336"/>
      <c r="T5" s="337"/>
      <c r="U5" s="338"/>
      <c r="V5" s="337"/>
      <c r="W5" s="105"/>
      <c r="X5" s="105"/>
      <c r="Y5" s="105"/>
      <c r="Z5" s="105"/>
      <c r="AA5" s="105"/>
      <c r="AB5" s="338"/>
      <c r="AC5" s="337"/>
      <c r="AD5" s="105"/>
      <c r="AE5" s="105"/>
      <c r="AF5" s="105"/>
      <c r="AG5" s="105"/>
      <c r="AH5" s="105"/>
      <c r="AI5" s="338"/>
      <c r="AJ5" s="337"/>
      <c r="AK5" s="105"/>
      <c r="AL5" s="105"/>
      <c r="AM5" s="105"/>
      <c r="AN5" s="105"/>
      <c r="AO5" s="105"/>
      <c r="AP5" s="338"/>
      <c r="AQ5" s="337"/>
      <c r="AR5" s="105"/>
      <c r="AS5" s="105"/>
      <c r="AT5" s="105"/>
      <c r="AU5" s="105"/>
      <c r="AV5" s="105"/>
      <c r="AW5" s="595"/>
      <c r="AX5" s="611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</row>
    <row r="6" spans="1:128" ht="14.5">
      <c r="B6" s="341">
        <v>3</v>
      </c>
      <c r="C6" s="342" t="s">
        <v>38</v>
      </c>
      <c r="D6" s="233">
        <v>0.5</v>
      </c>
      <c r="E6" s="62">
        <v>1</v>
      </c>
      <c r="F6" s="322">
        <v>1</v>
      </c>
      <c r="G6" s="322"/>
      <c r="H6" s="322"/>
      <c r="I6" s="322">
        <v>1</v>
      </c>
      <c r="J6" s="322"/>
      <c r="K6" s="322"/>
      <c r="L6" s="322"/>
      <c r="M6" s="322"/>
      <c r="N6" s="322"/>
      <c r="O6" s="322"/>
      <c r="P6" s="323"/>
      <c r="Q6" s="343"/>
      <c r="R6" s="322">
        <v>1</v>
      </c>
      <c r="S6" s="344"/>
      <c r="T6" s="345"/>
      <c r="U6" s="346"/>
      <c r="V6" s="239"/>
      <c r="W6" s="22"/>
      <c r="X6" s="22"/>
      <c r="Y6" s="22"/>
      <c r="Z6" s="22"/>
      <c r="AA6" s="22"/>
      <c r="AB6" s="76"/>
      <c r="AC6" s="239"/>
      <c r="AD6" s="22"/>
      <c r="AE6" s="22"/>
      <c r="AF6" s="22"/>
      <c r="AG6" s="22"/>
      <c r="AH6" s="22"/>
      <c r="AI6" s="76"/>
      <c r="AJ6" s="239"/>
      <c r="AK6" s="22"/>
      <c r="AL6" s="22"/>
      <c r="AM6" s="22"/>
      <c r="AN6" s="22"/>
      <c r="AO6" s="22"/>
      <c r="AP6" s="76"/>
      <c r="AQ6" s="239"/>
      <c r="AR6" s="22"/>
      <c r="AS6" s="22"/>
      <c r="AT6" s="22"/>
      <c r="AU6" s="22"/>
      <c r="AV6" s="22"/>
      <c r="AW6" s="240"/>
      <c r="AX6" s="612"/>
      <c r="AY6" s="20"/>
    </row>
    <row r="7" spans="1:128" ht="14.5">
      <c r="B7" s="341">
        <v>4</v>
      </c>
      <c r="C7" s="342" t="s">
        <v>81</v>
      </c>
      <c r="D7" s="233">
        <v>2</v>
      </c>
      <c r="E7" s="62">
        <v>3</v>
      </c>
      <c r="F7" s="322"/>
      <c r="G7" s="322"/>
      <c r="H7" s="322"/>
      <c r="I7" s="322"/>
      <c r="J7" s="322"/>
      <c r="K7" s="322"/>
      <c r="L7" s="322"/>
      <c r="M7" s="322"/>
      <c r="N7" s="322"/>
      <c r="O7" s="322"/>
      <c r="P7" s="323"/>
      <c r="Q7" s="343"/>
      <c r="R7" s="322"/>
      <c r="S7" s="344"/>
      <c r="T7" s="345"/>
      <c r="U7" s="346"/>
      <c r="V7" s="239"/>
      <c r="W7" s="113"/>
      <c r="X7" s="113"/>
      <c r="Y7" s="113"/>
      <c r="Z7" s="113"/>
      <c r="AA7" s="113"/>
      <c r="AB7" s="346"/>
      <c r="AC7" s="239"/>
      <c r="AD7" s="113"/>
      <c r="AE7" s="113"/>
      <c r="AF7" s="113"/>
      <c r="AG7" s="113"/>
      <c r="AH7" s="113"/>
      <c r="AI7" s="346"/>
      <c r="AJ7" s="239"/>
      <c r="AK7" s="113"/>
      <c r="AL7" s="113"/>
      <c r="AM7" s="113"/>
      <c r="AN7" s="113"/>
      <c r="AO7" s="113"/>
      <c r="AP7" s="346"/>
      <c r="AQ7" s="239"/>
      <c r="AR7" s="113"/>
      <c r="AS7" s="113"/>
      <c r="AT7" s="113"/>
      <c r="AU7" s="113"/>
      <c r="AV7" s="113"/>
      <c r="AW7" s="596"/>
      <c r="AX7" s="612"/>
      <c r="AY7" s="20"/>
    </row>
    <row r="8" spans="1:128" s="120" customFormat="1" ht="14.5">
      <c r="A8" s="20"/>
      <c r="B8" s="294">
        <v>5</v>
      </c>
      <c r="C8" s="347" t="s">
        <v>61</v>
      </c>
      <c r="D8" s="348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64"/>
      <c r="Q8" s="349"/>
      <c r="R8" s="254"/>
      <c r="S8" s="267"/>
      <c r="T8" s="350"/>
      <c r="U8" s="351"/>
      <c r="V8" s="350"/>
      <c r="W8" s="118"/>
      <c r="X8" s="118"/>
      <c r="Y8" s="118"/>
      <c r="Z8" s="118"/>
      <c r="AA8" s="118"/>
      <c r="AB8" s="351"/>
      <c r="AC8" s="350"/>
      <c r="AD8" s="118"/>
      <c r="AE8" s="118"/>
      <c r="AF8" s="118"/>
      <c r="AG8" s="118"/>
      <c r="AH8" s="118"/>
      <c r="AI8" s="351"/>
      <c r="AJ8" s="350"/>
      <c r="AK8" s="118"/>
      <c r="AL8" s="118"/>
      <c r="AM8" s="118"/>
      <c r="AN8" s="118"/>
      <c r="AO8" s="118"/>
      <c r="AP8" s="351"/>
      <c r="AQ8" s="350"/>
      <c r="AR8" s="118"/>
      <c r="AS8" s="118"/>
      <c r="AT8" s="118"/>
      <c r="AU8" s="118"/>
      <c r="AV8" s="118"/>
      <c r="AW8" s="597"/>
      <c r="AX8" s="613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</row>
    <row r="9" spans="1:128" s="128" customFormat="1" ht="14.5">
      <c r="A9"/>
      <c r="B9" s="295">
        <v>5.0999999999999996</v>
      </c>
      <c r="C9" s="353" t="s">
        <v>40</v>
      </c>
      <c r="D9" s="266"/>
      <c r="E9" s="246"/>
      <c r="F9" s="246"/>
      <c r="G9" s="246"/>
      <c r="H9" s="246"/>
      <c r="I9" s="246"/>
      <c r="J9" s="354"/>
      <c r="K9" s="354"/>
      <c r="L9" s="354"/>
      <c r="M9" s="354"/>
      <c r="N9" s="354"/>
      <c r="O9" s="354"/>
      <c r="P9" s="355"/>
      <c r="Q9" s="356"/>
      <c r="R9" s="357"/>
      <c r="S9" s="358"/>
      <c r="T9" s="359">
        <v>6</v>
      </c>
      <c r="U9" s="360">
        <v>3</v>
      </c>
      <c r="V9" s="359"/>
      <c r="W9" s="127"/>
      <c r="X9" s="127"/>
      <c r="Y9" s="127"/>
      <c r="Z9" s="127"/>
      <c r="AA9" s="127"/>
      <c r="AB9" s="360"/>
      <c r="AC9" s="359"/>
      <c r="AD9" s="127"/>
      <c r="AE9" s="127"/>
      <c r="AF9" s="127"/>
      <c r="AG9" s="127"/>
      <c r="AH9" s="127"/>
      <c r="AI9" s="360"/>
      <c r="AJ9" s="359"/>
      <c r="AK9" s="127"/>
      <c r="AL9" s="127"/>
      <c r="AM9" s="127"/>
      <c r="AN9" s="127"/>
      <c r="AO9" s="127"/>
      <c r="AP9" s="360"/>
      <c r="AQ9" s="359"/>
      <c r="AR9" s="127"/>
      <c r="AS9" s="127"/>
      <c r="AT9" s="127"/>
      <c r="AU9" s="127"/>
      <c r="AV9" s="127"/>
      <c r="AW9" s="598"/>
      <c r="AX9" s="614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</row>
    <row r="10" spans="1:128" s="128" customFormat="1" ht="130.5">
      <c r="A10"/>
      <c r="B10" s="295">
        <v>5.2</v>
      </c>
      <c r="C10" s="353" t="s">
        <v>82</v>
      </c>
      <c r="D10" s="266">
        <v>2</v>
      </c>
      <c r="E10" s="246">
        <v>3</v>
      </c>
      <c r="F10" s="246">
        <v>2</v>
      </c>
      <c r="G10" s="246">
        <v>5</v>
      </c>
      <c r="H10" s="357"/>
      <c r="I10" s="246">
        <v>2</v>
      </c>
      <c r="J10" s="354"/>
      <c r="K10" s="246">
        <v>1</v>
      </c>
      <c r="L10" s="246"/>
      <c r="M10" s="246"/>
      <c r="N10" s="354"/>
      <c r="O10" s="354"/>
      <c r="P10" s="355"/>
      <c r="Q10" s="362"/>
      <c r="R10" s="246"/>
      <c r="S10" s="358"/>
      <c r="T10" s="359"/>
      <c r="U10" s="360"/>
      <c r="V10" s="359"/>
      <c r="W10" s="127"/>
      <c r="X10" s="127"/>
      <c r="Y10" s="127"/>
      <c r="Z10" s="127"/>
      <c r="AA10" s="127"/>
      <c r="AB10" s="360"/>
      <c r="AC10" s="359"/>
      <c r="AD10" s="127"/>
      <c r="AE10" s="127"/>
      <c r="AF10" s="127"/>
      <c r="AG10" s="127"/>
      <c r="AH10" s="127"/>
      <c r="AI10" s="360"/>
      <c r="AJ10" s="359"/>
      <c r="AK10" s="127"/>
      <c r="AL10" s="127"/>
      <c r="AM10" s="127"/>
      <c r="AN10" s="127"/>
      <c r="AO10" s="127"/>
      <c r="AP10" s="360"/>
      <c r="AQ10" s="359"/>
      <c r="AR10" s="127"/>
      <c r="AS10" s="127"/>
      <c r="AT10" s="127"/>
      <c r="AU10" s="127"/>
      <c r="AV10" s="127"/>
      <c r="AW10" s="598"/>
      <c r="AX10" s="614"/>
      <c r="AY10" s="129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</row>
    <row r="11" spans="1:128" s="135" customFormat="1" ht="14.5">
      <c r="A11" s="20"/>
      <c r="B11" s="363">
        <v>6</v>
      </c>
      <c r="C11" s="364" t="s">
        <v>83</v>
      </c>
      <c r="D11" s="365"/>
      <c r="E11" s="366"/>
      <c r="F11" s="366"/>
      <c r="G11" s="366"/>
      <c r="H11" s="366"/>
      <c r="I11" s="366"/>
      <c r="J11" s="366"/>
      <c r="K11" s="366"/>
      <c r="L11" s="366"/>
      <c r="M11" s="366"/>
      <c r="N11" s="366"/>
      <c r="O11" s="366"/>
      <c r="P11" s="367"/>
      <c r="Q11" s="368"/>
      <c r="R11" s="366"/>
      <c r="S11" s="369"/>
      <c r="T11" s="370"/>
      <c r="U11" s="371"/>
      <c r="V11" s="370"/>
      <c r="W11" s="198"/>
      <c r="X11" s="198"/>
      <c r="Y11" s="198"/>
      <c r="Z11" s="198"/>
      <c r="AA11" s="198"/>
      <c r="AB11" s="371"/>
      <c r="AC11" s="370"/>
      <c r="AD11" s="198"/>
      <c r="AE11" s="198"/>
      <c r="AF11" s="198"/>
      <c r="AG11" s="198"/>
      <c r="AH11" s="198"/>
      <c r="AI11" s="371"/>
      <c r="AJ11" s="370"/>
      <c r="AK11" s="198"/>
      <c r="AL11" s="198"/>
      <c r="AM11" s="198"/>
      <c r="AN11" s="198"/>
      <c r="AO11" s="198"/>
      <c r="AP11" s="371"/>
      <c r="AQ11" s="370"/>
      <c r="AR11" s="198"/>
      <c r="AS11" s="198"/>
      <c r="AT11" s="198"/>
      <c r="AU11" s="198"/>
      <c r="AV11" s="198"/>
      <c r="AW11" s="599"/>
      <c r="AX11" s="615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</row>
    <row r="12" spans="1:128" ht="18.75" customHeight="1">
      <c r="B12" s="373">
        <v>6.1</v>
      </c>
      <c r="C12" s="374" t="s">
        <v>84</v>
      </c>
      <c r="D12" s="375"/>
      <c r="E12" s="376"/>
      <c r="F12" s="376"/>
      <c r="G12" s="376"/>
      <c r="H12" s="376"/>
      <c r="I12" s="376"/>
      <c r="J12" s="377"/>
      <c r="K12" s="377"/>
      <c r="L12" s="376"/>
      <c r="M12" s="376"/>
      <c r="N12" s="376"/>
      <c r="O12" s="377"/>
      <c r="P12" s="378"/>
      <c r="Q12" s="379"/>
      <c r="R12" s="376"/>
      <c r="S12" s="380"/>
      <c r="T12" s="381"/>
      <c r="U12" s="382"/>
      <c r="V12" s="381"/>
      <c r="W12" s="133"/>
      <c r="X12" s="133"/>
      <c r="Y12" s="133"/>
      <c r="Z12" s="133"/>
      <c r="AA12" s="133"/>
      <c r="AB12" s="382"/>
      <c r="AC12" s="381"/>
      <c r="AD12" s="133"/>
      <c r="AE12" s="133"/>
      <c r="AF12" s="133"/>
      <c r="AG12" s="133"/>
      <c r="AH12" s="133"/>
      <c r="AI12" s="382"/>
      <c r="AJ12" s="381"/>
      <c r="AK12" s="133"/>
      <c r="AL12" s="133"/>
      <c r="AM12" s="133"/>
      <c r="AN12" s="133"/>
      <c r="AO12" s="133"/>
      <c r="AP12" s="382"/>
      <c r="AQ12" s="381"/>
      <c r="AR12" s="133"/>
      <c r="AS12" s="133"/>
      <c r="AT12" s="133"/>
      <c r="AU12" s="133"/>
      <c r="AV12" s="133"/>
      <c r="AW12" s="600"/>
      <c r="AX12" s="616"/>
      <c r="AY12" s="20"/>
    </row>
    <row r="13" spans="1:128" ht="87" customHeight="1">
      <c r="B13" s="373"/>
      <c r="C13" s="374" t="s">
        <v>85</v>
      </c>
      <c r="D13" s="375"/>
      <c r="E13" s="376"/>
      <c r="F13" s="376"/>
      <c r="G13" s="376"/>
      <c r="H13" s="376"/>
      <c r="I13" s="376"/>
      <c r="J13" s="377"/>
      <c r="K13" s="377"/>
      <c r="L13" s="376"/>
      <c r="M13" s="376"/>
      <c r="N13" s="376"/>
      <c r="O13" s="377"/>
      <c r="P13" s="378"/>
      <c r="Q13" s="379">
        <v>5</v>
      </c>
      <c r="R13" s="376">
        <v>8</v>
      </c>
      <c r="S13" s="380">
        <v>6</v>
      </c>
      <c r="T13" s="381"/>
      <c r="U13" s="382"/>
      <c r="V13" s="381"/>
      <c r="W13" s="133"/>
      <c r="X13" s="133"/>
      <c r="Y13" s="133"/>
      <c r="Z13" s="133"/>
      <c r="AA13" s="133"/>
      <c r="AB13" s="382"/>
      <c r="AC13" s="381"/>
      <c r="AD13" s="133"/>
      <c r="AE13" s="133"/>
      <c r="AF13" s="133"/>
      <c r="AG13" s="133"/>
      <c r="AH13" s="133"/>
      <c r="AI13" s="382"/>
      <c r="AJ13" s="381"/>
      <c r="AK13" s="133"/>
      <c r="AL13" s="133"/>
      <c r="AM13" s="133"/>
      <c r="AN13" s="133"/>
      <c r="AO13" s="133"/>
      <c r="AP13" s="382"/>
      <c r="AQ13" s="381"/>
      <c r="AR13" s="133"/>
      <c r="AS13" s="133"/>
      <c r="AT13" s="133"/>
      <c r="AU13" s="133"/>
      <c r="AV13" s="133"/>
      <c r="AW13" s="600"/>
      <c r="AX13" s="616"/>
      <c r="AY13" s="20"/>
    </row>
    <row r="14" spans="1:128" ht="18.5">
      <c r="B14" s="373">
        <v>6.2</v>
      </c>
      <c r="C14" s="374" t="s">
        <v>86</v>
      </c>
      <c r="D14" s="384"/>
      <c r="E14" s="376"/>
      <c r="F14" s="376"/>
      <c r="G14" s="376"/>
      <c r="H14" s="376"/>
      <c r="I14" s="376"/>
      <c r="J14" s="377"/>
      <c r="K14" s="377"/>
      <c r="L14" s="376"/>
      <c r="M14" s="376"/>
      <c r="N14" s="376"/>
      <c r="O14" s="377"/>
      <c r="P14" s="378"/>
      <c r="Q14" s="379"/>
      <c r="R14" s="376"/>
      <c r="S14" s="380"/>
      <c r="T14" s="381"/>
      <c r="U14" s="382"/>
      <c r="V14" s="381"/>
      <c r="W14" s="133"/>
      <c r="X14" s="133"/>
      <c r="Y14" s="133"/>
      <c r="Z14" s="133"/>
      <c r="AA14" s="133"/>
      <c r="AB14" s="382"/>
      <c r="AC14" s="381"/>
      <c r="AD14" s="133"/>
      <c r="AE14" s="133"/>
      <c r="AF14" s="133"/>
      <c r="AG14" s="133"/>
      <c r="AH14" s="133"/>
      <c r="AI14" s="382"/>
      <c r="AJ14" s="381"/>
      <c r="AK14" s="133"/>
      <c r="AL14" s="133"/>
      <c r="AM14" s="133"/>
      <c r="AN14" s="133"/>
      <c r="AO14" s="133"/>
      <c r="AP14" s="382"/>
      <c r="AQ14" s="381"/>
      <c r="AR14" s="133"/>
      <c r="AS14" s="133"/>
      <c r="AT14" s="133"/>
      <c r="AU14" s="133"/>
      <c r="AV14" s="133"/>
      <c r="AW14" s="600"/>
      <c r="AX14" s="616"/>
      <c r="AY14" s="20"/>
    </row>
    <row r="15" spans="1:128" ht="18.5">
      <c r="B15" s="373"/>
      <c r="C15" s="374" t="s">
        <v>87</v>
      </c>
      <c r="D15" s="384">
        <v>1</v>
      </c>
      <c r="E15" s="376">
        <v>3</v>
      </c>
      <c r="F15" s="376">
        <v>3</v>
      </c>
      <c r="G15" s="376">
        <v>5</v>
      </c>
      <c r="H15" s="376"/>
      <c r="I15" s="376">
        <v>4</v>
      </c>
      <c r="J15" s="377"/>
      <c r="K15" s="377"/>
      <c r="L15" s="376"/>
      <c r="M15" s="376"/>
      <c r="N15" s="376"/>
      <c r="O15" s="377"/>
      <c r="P15" s="378"/>
      <c r="Q15" s="379"/>
      <c r="R15" s="376"/>
      <c r="S15" s="380"/>
      <c r="T15" s="381"/>
      <c r="U15" s="382"/>
      <c r="V15" s="381"/>
      <c r="W15" s="133"/>
      <c r="X15" s="133"/>
      <c r="Y15" s="133"/>
      <c r="Z15" s="133"/>
      <c r="AA15" s="133"/>
      <c r="AB15" s="382"/>
      <c r="AC15" s="381"/>
      <c r="AD15" s="133"/>
      <c r="AE15" s="133"/>
      <c r="AF15" s="133"/>
      <c r="AG15" s="133"/>
      <c r="AH15" s="133"/>
      <c r="AI15" s="382"/>
      <c r="AJ15" s="381"/>
      <c r="AK15" s="133"/>
      <c r="AL15" s="133"/>
      <c r="AM15" s="133"/>
      <c r="AN15" s="133"/>
      <c r="AO15" s="133"/>
      <c r="AP15" s="382"/>
      <c r="AQ15" s="381"/>
      <c r="AR15" s="133"/>
      <c r="AS15" s="133"/>
      <c r="AT15" s="133"/>
      <c r="AU15" s="133"/>
      <c r="AV15" s="133"/>
      <c r="AW15" s="600"/>
      <c r="AX15" s="616"/>
      <c r="AY15" s="20"/>
    </row>
    <row r="16" spans="1:128" ht="18.5">
      <c r="B16" s="385">
        <v>7</v>
      </c>
      <c r="C16" s="386" t="s">
        <v>88</v>
      </c>
      <c r="D16" s="387"/>
      <c r="E16" s="388"/>
      <c r="F16" s="388"/>
      <c r="G16" s="388"/>
      <c r="H16" s="388"/>
      <c r="I16" s="388"/>
      <c r="J16" s="389"/>
      <c r="K16" s="389"/>
      <c r="L16" s="388"/>
      <c r="M16" s="388"/>
      <c r="N16" s="388"/>
      <c r="O16" s="389"/>
      <c r="P16" s="390"/>
      <c r="Q16" s="391"/>
      <c r="R16" s="388"/>
      <c r="S16" s="392"/>
      <c r="T16" s="393"/>
      <c r="U16" s="394"/>
      <c r="V16" s="393"/>
      <c r="W16" s="395"/>
      <c r="X16" s="395"/>
      <c r="Y16" s="395"/>
      <c r="Z16" s="395"/>
      <c r="AA16" s="395"/>
      <c r="AB16" s="394"/>
      <c r="AC16" s="393"/>
      <c r="AD16" s="395"/>
      <c r="AE16" s="395"/>
      <c r="AF16" s="395"/>
      <c r="AG16" s="395"/>
      <c r="AH16" s="395"/>
      <c r="AI16" s="394"/>
      <c r="AJ16" s="393"/>
      <c r="AK16" s="395"/>
      <c r="AL16" s="395"/>
      <c r="AM16" s="395"/>
      <c r="AN16" s="395"/>
      <c r="AO16" s="395"/>
      <c r="AP16" s="394"/>
      <c r="AQ16" s="393"/>
      <c r="AR16" s="395"/>
      <c r="AS16" s="395"/>
      <c r="AT16" s="395"/>
      <c r="AU16" s="395"/>
      <c r="AV16" s="395"/>
      <c r="AW16" s="601"/>
      <c r="AX16" s="617"/>
      <c r="AY16" s="20"/>
    </row>
    <row r="17" spans="2:54" ht="72.5">
      <c r="B17" s="397"/>
      <c r="C17" s="398" t="s">
        <v>89</v>
      </c>
      <c r="D17" s="399"/>
      <c r="E17" s="400"/>
      <c r="F17" s="401"/>
      <c r="G17" s="401"/>
      <c r="H17" s="401"/>
      <c r="I17" s="401"/>
      <c r="J17" s="402"/>
      <c r="K17" s="402"/>
      <c r="L17" s="401"/>
      <c r="M17" s="401"/>
      <c r="N17" s="401"/>
      <c r="O17" s="402"/>
      <c r="P17" s="403"/>
      <c r="Q17" s="400"/>
      <c r="R17" s="401"/>
      <c r="S17" s="404"/>
      <c r="T17" s="405"/>
      <c r="U17" s="406"/>
      <c r="V17" s="405"/>
      <c r="W17" s="179"/>
      <c r="X17" s="179"/>
      <c r="Y17" s="179"/>
      <c r="Z17" s="179"/>
      <c r="AA17" s="179"/>
      <c r="AB17" s="406"/>
      <c r="AC17" s="405"/>
      <c r="AD17" s="179"/>
      <c r="AE17" s="179"/>
      <c r="AF17" s="179"/>
      <c r="AG17" s="179"/>
      <c r="AH17" s="179"/>
      <c r="AI17" s="406"/>
      <c r="AJ17" s="405"/>
      <c r="AK17" s="179"/>
      <c r="AL17" s="179"/>
      <c r="AM17" s="179"/>
      <c r="AN17" s="179"/>
      <c r="AO17" s="179"/>
      <c r="AP17" s="406"/>
      <c r="AQ17" s="405"/>
      <c r="AR17" s="179"/>
      <c r="AS17" s="179"/>
      <c r="AT17" s="179"/>
      <c r="AU17" s="179"/>
      <c r="AV17" s="179"/>
      <c r="AW17" s="602"/>
      <c r="AX17" s="618"/>
      <c r="AY17" s="20"/>
    </row>
    <row r="18" spans="2:54" ht="29">
      <c r="B18" s="397"/>
      <c r="C18" s="398" t="s">
        <v>43</v>
      </c>
      <c r="D18" s="399"/>
      <c r="E18" s="400"/>
      <c r="F18" s="401"/>
      <c r="G18" s="401"/>
      <c r="H18" s="401"/>
      <c r="I18" s="401"/>
      <c r="J18" s="402"/>
      <c r="K18" s="402"/>
      <c r="L18" s="401"/>
      <c r="M18" s="401"/>
      <c r="N18" s="401"/>
      <c r="O18" s="402"/>
      <c r="P18" s="403"/>
      <c r="Q18" s="400"/>
      <c r="R18" s="401"/>
      <c r="S18" s="404"/>
      <c r="T18" s="405"/>
      <c r="U18" s="406"/>
      <c r="V18" s="405"/>
      <c r="W18" s="179"/>
      <c r="X18" s="179"/>
      <c r="Y18" s="179"/>
      <c r="Z18" s="179"/>
      <c r="AA18" s="179"/>
      <c r="AB18" s="406"/>
      <c r="AC18" s="405"/>
      <c r="AD18" s="179"/>
      <c r="AE18" s="179"/>
      <c r="AF18" s="179"/>
      <c r="AG18" s="179"/>
      <c r="AH18" s="179"/>
      <c r="AI18" s="406"/>
      <c r="AJ18" s="405"/>
      <c r="AK18" s="179"/>
      <c r="AL18" s="179"/>
      <c r="AM18" s="179"/>
      <c r="AN18" s="179"/>
      <c r="AO18" s="179"/>
      <c r="AP18" s="406"/>
      <c r="AQ18" s="405"/>
      <c r="AR18" s="179"/>
      <c r="AS18" s="179"/>
      <c r="AT18" s="179"/>
      <c r="AU18" s="179"/>
      <c r="AV18" s="179"/>
      <c r="AW18" s="602"/>
      <c r="AX18" s="618"/>
      <c r="AY18" s="20"/>
    </row>
    <row r="19" spans="2:54" ht="18.5">
      <c r="B19" s="397"/>
      <c r="C19" s="398" t="s">
        <v>44</v>
      </c>
      <c r="D19" s="399"/>
      <c r="E19" s="400"/>
      <c r="F19" s="401"/>
      <c r="G19" s="401"/>
      <c r="H19" s="401"/>
      <c r="I19" s="401"/>
      <c r="J19" s="402"/>
      <c r="K19" s="402"/>
      <c r="L19" s="401"/>
      <c r="M19" s="401"/>
      <c r="N19" s="401"/>
      <c r="O19" s="402"/>
      <c r="P19" s="403"/>
      <c r="Q19" s="400"/>
      <c r="R19" s="401"/>
      <c r="S19" s="404"/>
      <c r="T19" s="405"/>
      <c r="U19" s="406"/>
      <c r="V19" s="405"/>
      <c r="W19" s="179"/>
      <c r="X19" s="179"/>
      <c r="Y19" s="179"/>
      <c r="Z19" s="179"/>
      <c r="AA19" s="179"/>
      <c r="AB19" s="406"/>
      <c r="AC19" s="405"/>
      <c r="AD19" s="179"/>
      <c r="AE19" s="179"/>
      <c r="AF19" s="179"/>
      <c r="AG19" s="179"/>
      <c r="AH19" s="179"/>
      <c r="AI19" s="406"/>
      <c r="AJ19" s="405"/>
      <c r="AK19" s="179"/>
      <c r="AL19" s="179"/>
      <c r="AM19" s="179"/>
      <c r="AN19" s="179"/>
      <c r="AO19" s="179"/>
      <c r="AP19" s="406"/>
      <c r="AQ19" s="405"/>
      <c r="AR19" s="179"/>
      <c r="AS19" s="179"/>
      <c r="AT19" s="179"/>
      <c r="AU19" s="179"/>
      <c r="AV19" s="179"/>
      <c r="AW19" s="602"/>
      <c r="AX19" s="618"/>
      <c r="AY19" s="20"/>
    </row>
    <row r="20" spans="2:54" ht="18.5">
      <c r="B20" s="397"/>
      <c r="C20" s="398" t="s">
        <v>45</v>
      </c>
      <c r="D20" s="399"/>
      <c r="E20" s="400"/>
      <c r="F20" s="401"/>
      <c r="G20" s="401"/>
      <c r="H20" s="401"/>
      <c r="I20" s="401"/>
      <c r="J20" s="402"/>
      <c r="K20" s="402"/>
      <c r="L20" s="401"/>
      <c r="M20" s="401"/>
      <c r="N20" s="401"/>
      <c r="O20" s="402"/>
      <c r="P20" s="403"/>
      <c r="Q20" s="400"/>
      <c r="R20" s="401"/>
      <c r="S20" s="404"/>
      <c r="T20" s="405"/>
      <c r="U20" s="406"/>
      <c r="V20" s="405"/>
      <c r="W20" s="179"/>
      <c r="X20" s="179"/>
      <c r="Y20" s="179"/>
      <c r="Z20" s="179"/>
      <c r="AA20" s="179"/>
      <c r="AB20" s="406"/>
      <c r="AC20" s="405"/>
      <c r="AD20" s="179"/>
      <c r="AE20" s="179"/>
      <c r="AF20" s="179"/>
      <c r="AG20" s="179"/>
      <c r="AH20" s="179"/>
      <c r="AI20" s="406"/>
      <c r="AJ20" s="405"/>
      <c r="AK20" s="179"/>
      <c r="AL20" s="179"/>
      <c r="AM20" s="179"/>
      <c r="AN20" s="179"/>
      <c r="AO20" s="179"/>
      <c r="AP20" s="406"/>
      <c r="AQ20" s="405"/>
      <c r="AR20" s="179"/>
      <c r="AS20" s="179"/>
      <c r="AT20" s="179"/>
      <c r="AU20" s="179"/>
      <c r="AV20" s="179"/>
      <c r="AW20" s="602"/>
      <c r="AX20" s="618"/>
      <c r="AY20" s="20"/>
    </row>
    <row r="21" spans="2:54" ht="18.5">
      <c r="B21" s="397"/>
      <c r="C21" s="398" t="s">
        <v>46</v>
      </c>
      <c r="D21" s="399"/>
      <c r="E21" s="400"/>
      <c r="F21" s="401"/>
      <c r="G21" s="401"/>
      <c r="H21" s="401"/>
      <c r="I21" s="401"/>
      <c r="J21" s="402"/>
      <c r="K21" s="402"/>
      <c r="L21" s="401"/>
      <c r="M21" s="401"/>
      <c r="N21" s="401"/>
      <c r="O21" s="402"/>
      <c r="P21" s="403"/>
      <c r="Q21" s="400"/>
      <c r="R21" s="401"/>
      <c r="S21" s="404"/>
      <c r="T21" s="405"/>
      <c r="U21" s="406"/>
      <c r="V21" s="405"/>
      <c r="W21" s="179"/>
      <c r="X21" s="179"/>
      <c r="Y21" s="179"/>
      <c r="Z21" s="179"/>
      <c r="AA21" s="179"/>
      <c r="AB21" s="406"/>
      <c r="AC21" s="405"/>
      <c r="AD21" s="179"/>
      <c r="AE21" s="179"/>
      <c r="AF21" s="179"/>
      <c r="AG21" s="179"/>
      <c r="AH21" s="179"/>
      <c r="AI21" s="406"/>
      <c r="AJ21" s="405"/>
      <c r="AK21" s="179"/>
      <c r="AL21" s="179"/>
      <c r="AM21" s="179"/>
      <c r="AN21" s="179"/>
      <c r="AO21" s="179"/>
      <c r="AP21" s="406"/>
      <c r="AQ21" s="405"/>
      <c r="AR21" s="179"/>
      <c r="AS21" s="179"/>
      <c r="AT21" s="179"/>
      <c r="AU21" s="179"/>
      <c r="AV21" s="179"/>
      <c r="AW21" s="602"/>
      <c r="AX21" s="618"/>
      <c r="AY21" s="20"/>
    </row>
    <row r="22" spans="2:54" ht="18.5">
      <c r="B22" s="397"/>
      <c r="C22" s="398" t="s">
        <v>47</v>
      </c>
      <c r="D22" s="399"/>
      <c r="E22" s="400"/>
      <c r="F22" s="401"/>
      <c r="G22" s="401"/>
      <c r="H22" s="401"/>
      <c r="I22" s="401"/>
      <c r="J22" s="402"/>
      <c r="K22" s="402"/>
      <c r="L22" s="401"/>
      <c r="M22" s="401"/>
      <c r="N22" s="401"/>
      <c r="O22" s="402"/>
      <c r="P22" s="403"/>
      <c r="Q22" s="400"/>
      <c r="R22" s="401"/>
      <c r="S22" s="404"/>
      <c r="T22" s="405"/>
      <c r="U22" s="406"/>
      <c r="V22" s="405"/>
      <c r="W22" s="179"/>
      <c r="X22" s="179"/>
      <c r="Y22" s="179"/>
      <c r="Z22" s="179"/>
      <c r="AA22" s="179"/>
      <c r="AB22" s="406"/>
      <c r="AC22" s="405"/>
      <c r="AD22" s="179"/>
      <c r="AE22" s="179"/>
      <c r="AF22" s="179"/>
      <c r="AG22" s="179"/>
      <c r="AH22" s="179"/>
      <c r="AI22" s="406"/>
      <c r="AJ22" s="405"/>
      <c r="AK22" s="179"/>
      <c r="AL22" s="179"/>
      <c r="AM22" s="179"/>
      <c r="AN22" s="179"/>
      <c r="AO22" s="179"/>
      <c r="AP22" s="406"/>
      <c r="AQ22" s="405"/>
      <c r="AR22" s="179"/>
      <c r="AS22" s="179"/>
      <c r="AT22" s="179"/>
      <c r="AU22" s="179"/>
      <c r="AV22" s="179"/>
      <c r="AW22" s="602"/>
      <c r="AX22" s="618"/>
      <c r="AY22" s="20"/>
    </row>
    <row r="23" spans="2:54" ht="18.5">
      <c r="B23" s="397"/>
      <c r="C23" s="398" t="s">
        <v>48</v>
      </c>
      <c r="D23" s="399"/>
      <c r="E23" s="400"/>
      <c r="F23" s="401"/>
      <c r="G23" s="401"/>
      <c r="H23" s="401"/>
      <c r="I23" s="401"/>
      <c r="J23" s="402"/>
      <c r="K23" s="402"/>
      <c r="L23" s="401"/>
      <c r="M23" s="401"/>
      <c r="N23" s="401"/>
      <c r="O23" s="402"/>
      <c r="P23" s="403"/>
      <c r="Q23" s="400"/>
      <c r="R23" s="401"/>
      <c r="S23" s="404"/>
      <c r="T23" s="405"/>
      <c r="U23" s="406"/>
      <c r="V23" s="405"/>
      <c r="W23" s="179"/>
      <c r="X23" s="179"/>
      <c r="Y23" s="179"/>
      <c r="Z23" s="179"/>
      <c r="AA23" s="179"/>
      <c r="AB23" s="406"/>
      <c r="AC23" s="405"/>
      <c r="AD23" s="179"/>
      <c r="AE23" s="179"/>
      <c r="AF23" s="179"/>
      <c r="AG23" s="179"/>
      <c r="AH23" s="179"/>
      <c r="AI23" s="406"/>
      <c r="AJ23" s="405"/>
      <c r="AK23" s="179"/>
      <c r="AL23" s="179"/>
      <c r="AM23" s="179"/>
      <c r="AN23" s="179"/>
      <c r="AO23" s="179"/>
      <c r="AP23" s="406"/>
      <c r="AQ23" s="405"/>
      <c r="AR23" s="179"/>
      <c r="AS23" s="179"/>
      <c r="AT23" s="179"/>
      <c r="AU23" s="179"/>
      <c r="AV23" s="179"/>
      <c r="AW23" s="602"/>
      <c r="AX23" s="618"/>
      <c r="AY23" s="20"/>
    </row>
    <row r="24" spans="2:54" ht="18.5">
      <c r="B24" s="397"/>
      <c r="C24" s="398" t="s">
        <v>49</v>
      </c>
      <c r="D24" s="399"/>
      <c r="E24" s="400"/>
      <c r="F24" s="401"/>
      <c r="G24" s="401"/>
      <c r="H24" s="401"/>
      <c r="I24" s="401"/>
      <c r="J24" s="402"/>
      <c r="K24" s="402"/>
      <c r="L24" s="401"/>
      <c r="M24" s="401"/>
      <c r="N24" s="401"/>
      <c r="O24" s="402"/>
      <c r="P24" s="403"/>
      <c r="Q24" s="400"/>
      <c r="R24" s="401"/>
      <c r="S24" s="404"/>
      <c r="T24" s="405"/>
      <c r="U24" s="406"/>
      <c r="V24" s="405"/>
      <c r="W24" s="179"/>
      <c r="X24" s="179"/>
      <c r="Y24" s="179"/>
      <c r="Z24" s="179"/>
      <c r="AA24" s="179"/>
      <c r="AB24" s="406"/>
      <c r="AC24" s="405"/>
      <c r="AD24" s="179"/>
      <c r="AE24" s="179"/>
      <c r="AF24" s="179"/>
      <c r="AG24" s="179"/>
      <c r="AH24" s="179"/>
      <c r="AI24" s="406"/>
      <c r="AJ24" s="405"/>
      <c r="AK24" s="179"/>
      <c r="AL24" s="179"/>
      <c r="AM24" s="179"/>
      <c r="AN24" s="179"/>
      <c r="AO24" s="179"/>
      <c r="AP24" s="406"/>
      <c r="AQ24" s="405"/>
      <c r="AR24" s="179"/>
      <c r="AS24" s="179"/>
      <c r="AT24" s="179"/>
      <c r="AU24" s="179"/>
      <c r="AV24" s="179"/>
      <c r="AW24" s="602"/>
      <c r="AX24" s="618"/>
      <c r="AY24" s="20"/>
    </row>
    <row r="25" spans="2:54" ht="18.5">
      <c r="B25" s="397"/>
      <c r="C25" s="398" t="s">
        <v>50</v>
      </c>
      <c r="D25" s="399"/>
      <c r="E25" s="400"/>
      <c r="F25" s="401"/>
      <c r="G25" s="401"/>
      <c r="H25" s="401"/>
      <c r="I25" s="401"/>
      <c r="J25" s="402"/>
      <c r="K25" s="402"/>
      <c r="L25" s="401"/>
      <c r="M25" s="401"/>
      <c r="N25" s="401"/>
      <c r="O25" s="402"/>
      <c r="P25" s="403"/>
      <c r="Q25" s="400"/>
      <c r="R25" s="401"/>
      <c r="S25" s="404"/>
      <c r="T25" s="405"/>
      <c r="U25" s="406"/>
      <c r="V25" s="405"/>
      <c r="W25" s="179"/>
      <c r="X25" s="179"/>
      <c r="Y25" s="179"/>
      <c r="Z25" s="179"/>
      <c r="AA25" s="179"/>
      <c r="AB25" s="406"/>
      <c r="AC25" s="405"/>
      <c r="AD25" s="179"/>
      <c r="AE25" s="179"/>
      <c r="AF25" s="179"/>
      <c r="AG25" s="179"/>
      <c r="AH25" s="179"/>
      <c r="AI25" s="406"/>
      <c r="AJ25" s="405"/>
      <c r="AK25" s="179"/>
      <c r="AL25" s="179"/>
      <c r="AM25" s="179"/>
      <c r="AN25" s="179"/>
      <c r="AO25" s="179"/>
      <c r="AP25" s="406"/>
      <c r="AQ25" s="405"/>
      <c r="AR25" s="179"/>
      <c r="AS25" s="179"/>
      <c r="AT25" s="179"/>
      <c r="AU25" s="179"/>
      <c r="AV25" s="179"/>
      <c r="AW25" s="602"/>
      <c r="AX25" s="618"/>
      <c r="AY25" s="20"/>
    </row>
    <row r="26" spans="2:54" ht="18.5">
      <c r="B26" s="397"/>
      <c r="C26" s="398" t="s">
        <v>51</v>
      </c>
      <c r="D26" s="399"/>
      <c r="E26" s="400"/>
      <c r="F26" s="401"/>
      <c r="G26" s="401"/>
      <c r="H26" s="401"/>
      <c r="I26" s="401"/>
      <c r="J26" s="402"/>
      <c r="K26" s="402"/>
      <c r="L26" s="401"/>
      <c r="M26" s="401"/>
      <c r="N26" s="401"/>
      <c r="O26" s="402"/>
      <c r="P26" s="403"/>
      <c r="Q26" s="400"/>
      <c r="R26" s="401"/>
      <c r="S26" s="404"/>
      <c r="T26" s="405"/>
      <c r="U26" s="406"/>
      <c r="V26" s="405"/>
      <c r="W26" s="179"/>
      <c r="X26" s="179"/>
      <c r="Y26" s="179"/>
      <c r="Z26" s="179"/>
      <c r="AA26" s="179"/>
      <c r="AB26" s="406"/>
      <c r="AC26" s="405"/>
      <c r="AD26" s="179"/>
      <c r="AE26" s="179"/>
      <c r="AF26" s="179"/>
      <c r="AG26" s="179"/>
      <c r="AH26" s="179"/>
      <c r="AI26" s="406"/>
      <c r="AJ26" s="405"/>
      <c r="AK26" s="179"/>
      <c r="AL26" s="179"/>
      <c r="AM26" s="179"/>
      <c r="AN26" s="179"/>
      <c r="AO26" s="179"/>
      <c r="AP26" s="406"/>
      <c r="AQ26" s="405"/>
      <c r="AR26" s="179"/>
      <c r="AS26" s="179"/>
      <c r="AT26" s="179"/>
      <c r="AU26" s="179"/>
      <c r="AV26" s="179"/>
      <c r="AW26" s="602"/>
      <c r="AX26" s="618"/>
      <c r="AY26" s="20"/>
    </row>
    <row r="27" spans="2:54" ht="18.5">
      <c r="B27" s="397"/>
      <c r="C27" s="398" t="s">
        <v>52</v>
      </c>
      <c r="D27" s="399"/>
      <c r="E27" s="400"/>
      <c r="F27" s="401"/>
      <c r="G27" s="401"/>
      <c r="H27" s="401"/>
      <c r="I27" s="401"/>
      <c r="J27" s="402"/>
      <c r="K27" s="402"/>
      <c r="L27" s="401"/>
      <c r="M27" s="401"/>
      <c r="N27" s="401"/>
      <c r="O27" s="402"/>
      <c r="P27" s="403"/>
      <c r="Q27" s="400"/>
      <c r="R27" s="401"/>
      <c r="S27" s="404"/>
      <c r="T27" s="405"/>
      <c r="U27" s="406"/>
      <c r="V27" s="405"/>
      <c r="W27" s="179"/>
      <c r="X27" s="179"/>
      <c r="Y27" s="179"/>
      <c r="Z27" s="179"/>
      <c r="AA27" s="179"/>
      <c r="AB27" s="406"/>
      <c r="AC27" s="405"/>
      <c r="AD27" s="179"/>
      <c r="AE27" s="179"/>
      <c r="AF27" s="179"/>
      <c r="AG27" s="179"/>
      <c r="AH27" s="179"/>
      <c r="AI27" s="406"/>
      <c r="AJ27" s="405"/>
      <c r="AK27" s="179"/>
      <c r="AL27" s="179"/>
      <c r="AM27" s="179"/>
      <c r="AN27" s="179"/>
      <c r="AO27" s="179"/>
      <c r="AP27" s="406"/>
      <c r="AQ27" s="405"/>
      <c r="AR27" s="179"/>
      <c r="AS27" s="179"/>
      <c r="AT27" s="179"/>
      <c r="AU27" s="179"/>
      <c r="AV27" s="179"/>
      <c r="AW27" s="602"/>
      <c r="AX27" s="618"/>
      <c r="AY27" s="20"/>
    </row>
    <row r="28" spans="2:54" s="141" customFormat="1" ht="18.75" customHeight="1">
      <c r="B28" s="408">
        <v>8</v>
      </c>
      <c r="C28" s="409" t="s">
        <v>90</v>
      </c>
      <c r="D28" s="410">
        <v>2</v>
      </c>
      <c r="E28" s="411">
        <v>5</v>
      </c>
      <c r="F28" s="412">
        <v>8</v>
      </c>
      <c r="G28" s="412">
        <v>20</v>
      </c>
      <c r="H28" s="412"/>
      <c r="I28" s="1042">
        <v>4</v>
      </c>
      <c r="J28" s="413"/>
      <c r="K28" s="413"/>
      <c r="L28" s="412"/>
      <c r="M28" s="412"/>
      <c r="N28" s="412"/>
      <c r="O28" s="413"/>
      <c r="P28" s="414"/>
      <c r="Q28" s="415"/>
      <c r="R28" s="412"/>
      <c r="S28" s="416"/>
      <c r="T28" s="417"/>
      <c r="U28" s="418"/>
      <c r="V28" s="417"/>
      <c r="W28" s="191"/>
      <c r="X28" s="191"/>
      <c r="Y28" s="191"/>
      <c r="Z28" s="191"/>
      <c r="AA28" s="191"/>
      <c r="AB28" s="418"/>
      <c r="AC28" s="417"/>
      <c r="AD28" s="191"/>
      <c r="AE28" s="191"/>
      <c r="AF28" s="191"/>
      <c r="AG28" s="191"/>
      <c r="AH28" s="191"/>
      <c r="AI28" s="418"/>
      <c r="AJ28" s="417"/>
      <c r="AK28" s="191"/>
      <c r="AL28" s="191"/>
      <c r="AM28" s="191"/>
      <c r="AN28" s="191"/>
      <c r="AO28" s="191"/>
      <c r="AP28" s="418"/>
      <c r="AQ28" s="417"/>
      <c r="AR28" s="191"/>
      <c r="AS28" s="191"/>
      <c r="AT28" s="191"/>
      <c r="AU28" s="191"/>
      <c r="AV28" s="191"/>
      <c r="AW28" s="603"/>
      <c r="AX28" s="619"/>
    </row>
    <row r="29" spans="2:54" s="141" customFormat="1" ht="159.75" customHeight="1">
      <c r="B29" s="408"/>
      <c r="C29" s="244" t="s">
        <v>91</v>
      </c>
      <c r="D29" s="420">
        <v>0.5</v>
      </c>
      <c r="E29" s="411">
        <v>3</v>
      </c>
      <c r="F29" s="412">
        <v>2</v>
      </c>
      <c r="G29" s="412">
        <v>3</v>
      </c>
      <c r="H29" s="412"/>
      <c r="I29" s="1042"/>
      <c r="J29" s="413"/>
      <c r="K29" s="413"/>
      <c r="L29" s="412"/>
      <c r="M29" s="412"/>
      <c r="N29" s="412"/>
      <c r="O29" s="412">
        <v>5</v>
      </c>
      <c r="P29" s="414"/>
      <c r="Q29" s="415"/>
      <c r="R29" s="412"/>
      <c r="S29" s="416"/>
      <c r="T29" s="417"/>
      <c r="U29" s="418"/>
      <c r="V29" s="417"/>
      <c r="W29" s="191"/>
      <c r="X29" s="191"/>
      <c r="Y29" s="191"/>
      <c r="Z29" s="191"/>
      <c r="AA29" s="191"/>
      <c r="AB29" s="418"/>
      <c r="AC29" s="417"/>
      <c r="AD29" s="191"/>
      <c r="AE29" s="191"/>
      <c r="AF29" s="191"/>
      <c r="AG29" s="191"/>
      <c r="AH29" s="191"/>
      <c r="AI29" s="418"/>
      <c r="AJ29" s="417"/>
      <c r="AK29" s="191"/>
      <c r="AL29" s="191"/>
      <c r="AM29" s="191"/>
      <c r="AN29" s="191"/>
      <c r="AO29" s="191"/>
      <c r="AP29" s="418"/>
      <c r="AQ29" s="417"/>
      <c r="AR29" s="191"/>
      <c r="AS29" s="191"/>
      <c r="AT29" s="191"/>
      <c r="AU29" s="191"/>
      <c r="AV29" s="191"/>
      <c r="AW29" s="603"/>
      <c r="AX29" s="619"/>
    </row>
    <row r="30" spans="2:54" s="141" customFormat="1" ht="58">
      <c r="B30" s="363">
        <v>9</v>
      </c>
      <c r="C30" s="364" t="s">
        <v>92</v>
      </c>
      <c r="D30" s="365">
        <v>0.5</v>
      </c>
      <c r="E30" s="421">
        <v>2</v>
      </c>
      <c r="F30" s="366">
        <v>2</v>
      </c>
      <c r="G30" s="366">
        <v>3</v>
      </c>
      <c r="H30" s="366"/>
      <c r="I30" s="366"/>
      <c r="J30" s="422"/>
      <c r="K30" s="422"/>
      <c r="L30" s="366"/>
      <c r="M30" s="366"/>
      <c r="N30" s="366"/>
      <c r="O30" s="422"/>
      <c r="P30" s="423"/>
      <c r="Q30" s="368"/>
      <c r="R30" s="366"/>
      <c r="S30" s="369"/>
      <c r="T30" s="370"/>
      <c r="U30" s="371"/>
      <c r="V30" s="370"/>
      <c r="W30" s="198"/>
      <c r="X30" s="198"/>
      <c r="Y30" s="198"/>
      <c r="Z30" s="198"/>
      <c r="AA30" s="198"/>
      <c r="AB30" s="371"/>
      <c r="AC30" s="370"/>
      <c r="AD30" s="198"/>
      <c r="AE30" s="198"/>
      <c r="AF30" s="198"/>
      <c r="AG30" s="198"/>
      <c r="AH30" s="198"/>
      <c r="AI30" s="371"/>
      <c r="AJ30" s="370"/>
      <c r="AK30" s="198"/>
      <c r="AL30" s="198"/>
      <c r="AM30" s="198"/>
      <c r="AN30" s="198"/>
      <c r="AO30" s="198"/>
      <c r="AP30" s="371"/>
      <c r="AQ30" s="370"/>
      <c r="AR30" s="198"/>
      <c r="AS30" s="198"/>
      <c r="AT30" s="198"/>
      <c r="AU30" s="198"/>
      <c r="AV30" s="198"/>
      <c r="AW30" s="599"/>
      <c r="AX30" s="615"/>
    </row>
    <row r="31" spans="2:54" s="141" customFormat="1" ht="18.5">
      <c r="B31" s="424">
        <v>10</v>
      </c>
      <c r="C31" s="425" t="s">
        <v>93</v>
      </c>
      <c r="D31" s="426">
        <v>0.5</v>
      </c>
      <c r="E31" s="427">
        <v>2</v>
      </c>
      <c r="F31" s="428">
        <v>5</v>
      </c>
      <c r="G31" s="428">
        <v>30</v>
      </c>
      <c r="H31" s="429"/>
      <c r="I31" s="429">
        <v>5</v>
      </c>
      <c r="J31" s="429">
        <v>10</v>
      </c>
      <c r="K31" s="429"/>
      <c r="L31" s="429"/>
      <c r="M31" s="429"/>
      <c r="N31" s="429"/>
      <c r="O31" s="430"/>
      <c r="P31" s="431"/>
      <c r="Q31" s="432"/>
      <c r="R31" s="429"/>
      <c r="S31" s="433"/>
      <c r="T31" s="434"/>
      <c r="U31" s="435"/>
      <c r="V31" s="434"/>
      <c r="W31" s="203"/>
      <c r="X31" s="203"/>
      <c r="Y31" s="203"/>
      <c r="Z31" s="203"/>
      <c r="AA31" s="203"/>
      <c r="AB31" s="435"/>
      <c r="AC31" s="434"/>
      <c r="AD31" s="203"/>
      <c r="AE31" s="203"/>
      <c r="AF31" s="203"/>
      <c r="AG31" s="203"/>
      <c r="AH31" s="203"/>
      <c r="AI31" s="435"/>
      <c r="AJ31" s="434"/>
      <c r="AK31" s="203"/>
      <c r="AL31" s="203"/>
      <c r="AM31" s="203"/>
      <c r="AN31" s="203"/>
      <c r="AO31" s="203"/>
      <c r="AP31" s="435"/>
      <c r="AQ31" s="434"/>
      <c r="AR31" s="203"/>
      <c r="AS31" s="203"/>
      <c r="AT31" s="203"/>
      <c r="AU31" s="203"/>
      <c r="AV31" s="203"/>
      <c r="AW31" s="604"/>
      <c r="AX31" s="620"/>
    </row>
    <row r="32" spans="2:54" ht="18.75" customHeight="1">
      <c r="B32" s="294">
        <v>11</v>
      </c>
      <c r="C32" s="253" t="s">
        <v>94</v>
      </c>
      <c r="D32" s="256"/>
      <c r="E32" s="254"/>
      <c r="F32" s="254"/>
      <c r="G32" s="254"/>
      <c r="H32" s="254"/>
      <c r="I32" s="254"/>
      <c r="J32" s="255"/>
      <c r="K32" s="255"/>
      <c r="L32" s="254"/>
      <c r="M32" s="254"/>
      <c r="N32" s="254"/>
      <c r="O32" s="254"/>
      <c r="P32" s="264"/>
      <c r="Q32" s="437"/>
      <c r="R32" s="254"/>
      <c r="S32" s="267"/>
      <c r="T32" s="265"/>
      <c r="U32" s="277"/>
      <c r="V32" s="265"/>
      <c r="W32" s="248"/>
      <c r="X32" s="248"/>
      <c r="Y32" s="248"/>
      <c r="Z32" s="248"/>
      <c r="AA32" s="248"/>
      <c r="AB32" s="277"/>
      <c r="AC32" s="265"/>
      <c r="AD32" s="248"/>
      <c r="AE32" s="248"/>
      <c r="AF32" s="248"/>
      <c r="AG32" s="248"/>
      <c r="AH32" s="248"/>
      <c r="AI32" s="277"/>
      <c r="AJ32" s="265"/>
      <c r="AK32" s="248"/>
      <c r="AL32" s="248"/>
      <c r="AM32" s="248"/>
      <c r="AN32" s="248"/>
      <c r="AO32" s="248"/>
      <c r="AP32" s="277"/>
      <c r="AQ32" s="265"/>
      <c r="AR32" s="248"/>
      <c r="AS32" s="248"/>
      <c r="AT32" s="248"/>
      <c r="AU32" s="248"/>
      <c r="AV32" s="248"/>
      <c r="AW32" s="605"/>
      <c r="AX32" s="621"/>
      <c r="AY32" s="141"/>
      <c r="AZ32" s="141"/>
      <c r="BA32" s="141"/>
      <c r="BB32" s="141"/>
    </row>
    <row r="33" spans="2:54" ht="18.75" customHeight="1">
      <c r="B33" s="295"/>
      <c r="C33" s="245" t="s">
        <v>95</v>
      </c>
      <c r="D33" s="1043">
        <v>1</v>
      </c>
      <c r="E33" s="1044">
        <v>2</v>
      </c>
      <c r="F33" s="1044">
        <v>1</v>
      </c>
      <c r="G33" s="1044">
        <v>1</v>
      </c>
      <c r="H33" s="246"/>
      <c r="I33" s="246"/>
      <c r="J33" s="247"/>
      <c r="K33" s="247"/>
      <c r="L33" s="246"/>
      <c r="M33" s="246"/>
      <c r="N33" s="246"/>
      <c r="O33" s="246"/>
      <c r="P33" s="257"/>
      <c r="Q33" s="438"/>
      <c r="R33" s="246"/>
      <c r="S33" s="268"/>
      <c r="T33" s="266"/>
      <c r="U33" s="268"/>
      <c r="V33" s="266">
        <v>0.5</v>
      </c>
      <c r="W33" s="246">
        <v>1</v>
      </c>
      <c r="X33" s="246">
        <v>0.5</v>
      </c>
      <c r="Y33" s="246"/>
      <c r="Z33" s="246"/>
      <c r="AA33" s="246">
        <v>1</v>
      </c>
      <c r="AB33" s="268"/>
      <c r="AC33" s="266"/>
      <c r="AD33" s="246"/>
      <c r="AE33" s="246"/>
      <c r="AF33" s="246"/>
      <c r="AG33" s="246"/>
      <c r="AH33" s="246"/>
      <c r="AI33" s="268"/>
      <c r="AJ33" s="266"/>
      <c r="AK33" s="246"/>
      <c r="AL33" s="246"/>
      <c r="AM33" s="246"/>
      <c r="AN33" s="246"/>
      <c r="AO33" s="246"/>
      <c r="AP33" s="268"/>
      <c r="AQ33" s="266"/>
      <c r="AR33" s="246"/>
      <c r="AS33" s="246"/>
      <c r="AT33" s="246"/>
      <c r="AU33" s="246"/>
      <c r="AV33" s="246"/>
      <c r="AW33" s="257"/>
      <c r="AX33" s="622"/>
      <c r="AY33" s="141"/>
      <c r="AZ33" s="141"/>
      <c r="BA33" s="141"/>
      <c r="BB33" s="141"/>
    </row>
    <row r="34" spans="2:54" ht="18.75" customHeight="1">
      <c r="B34" s="295"/>
      <c r="C34" s="245" t="s">
        <v>96</v>
      </c>
      <c r="D34" s="1043"/>
      <c r="E34" s="1044"/>
      <c r="F34" s="1044"/>
      <c r="G34" s="1044"/>
      <c r="H34" s="246"/>
      <c r="I34" s="246"/>
      <c r="J34" s="247"/>
      <c r="K34" s="247"/>
      <c r="L34" s="246"/>
      <c r="M34" s="246"/>
      <c r="N34" s="246"/>
      <c r="O34" s="246"/>
      <c r="P34" s="257"/>
      <c r="Q34" s="438"/>
      <c r="R34" s="246"/>
      <c r="S34" s="268"/>
      <c r="T34" s="266"/>
      <c r="U34" s="268"/>
      <c r="V34" s="266"/>
      <c r="W34" s="246"/>
      <c r="X34" s="246"/>
      <c r="Y34" s="246"/>
      <c r="Z34" s="246"/>
      <c r="AA34" s="246"/>
      <c r="AB34" s="268"/>
      <c r="AC34" s="266">
        <v>0.5</v>
      </c>
      <c r="AD34" s="246">
        <v>1</v>
      </c>
      <c r="AE34" s="246">
        <v>0.5</v>
      </c>
      <c r="AF34" s="246"/>
      <c r="AG34" s="246"/>
      <c r="AH34" s="246">
        <v>1</v>
      </c>
      <c r="AI34" s="268"/>
      <c r="AJ34" s="266"/>
      <c r="AK34" s="246"/>
      <c r="AL34" s="246"/>
      <c r="AM34" s="246"/>
      <c r="AN34" s="246"/>
      <c r="AO34" s="246"/>
      <c r="AP34" s="268"/>
      <c r="AQ34" s="266"/>
      <c r="AR34" s="246"/>
      <c r="AS34" s="246"/>
      <c r="AT34" s="246"/>
      <c r="AU34" s="246"/>
      <c r="AV34" s="246"/>
      <c r="AW34" s="257"/>
      <c r="AX34" s="622"/>
      <c r="AY34" s="141"/>
      <c r="AZ34" s="141"/>
      <c r="BA34" s="141"/>
      <c r="BB34" s="141"/>
    </row>
    <row r="35" spans="2:54" ht="18.75" customHeight="1">
      <c r="B35" s="295"/>
      <c r="C35" s="245" t="s">
        <v>97</v>
      </c>
      <c r="D35" s="1043"/>
      <c r="E35" s="1044"/>
      <c r="F35" s="1044"/>
      <c r="G35" s="1044"/>
      <c r="H35" s="246"/>
      <c r="I35" s="246"/>
      <c r="J35" s="247"/>
      <c r="K35" s="247"/>
      <c r="L35" s="246"/>
      <c r="M35" s="246"/>
      <c r="N35" s="246"/>
      <c r="O35" s="246"/>
      <c r="P35" s="257"/>
      <c r="Q35" s="438"/>
      <c r="R35" s="246"/>
      <c r="S35" s="268"/>
      <c r="T35" s="266"/>
      <c r="U35" s="268"/>
      <c r="V35" s="266"/>
      <c r="W35" s="246"/>
      <c r="X35" s="246"/>
      <c r="Y35" s="246"/>
      <c r="Z35" s="246"/>
      <c r="AA35" s="246"/>
      <c r="AB35" s="268"/>
      <c r="AC35" s="266"/>
      <c r="AD35" s="246"/>
      <c r="AE35" s="246"/>
      <c r="AF35" s="246"/>
      <c r="AG35" s="246"/>
      <c r="AH35" s="246"/>
      <c r="AI35" s="268"/>
      <c r="AJ35" s="266">
        <v>0.5</v>
      </c>
      <c r="AK35" s="246">
        <v>1</v>
      </c>
      <c r="AL35" s="246">
        <v>0.5</v>
      </c>
      <c r="AM35" s="246"/>
      <c r="AN35" s="246"/>
      <c r="AO35" s="246">
        <v>1</v>
      </c>
      <c r="AP35" s="268"/>
      <c r="AQ35" s="266"/>
      <c r="AR35" s="246"/>
      <c r="AS35" s="246"/>
      <c r="AT35" s="246"/>
      <c r="AU35" s="246"/>
      <c r="AV35" s="246"/>
      <c r="AW35" s="257"/>
      <c r="AX35" s="622"/>
      <c r="AY35" s="141"/>
      <c r="AZ35" s="141"/>
      <c r="BA35" s="141"/>
      <c r="BB35" s="141"/>
    </row>
    <row r="36" spans="2:54" ht="18.75" customHeight="1">
      <c r="B36" s="295"/>
      <c r="C36" s="245" t="s">
        <v>98</v>
      </c>
      <c r="D36" s="1043"/>
      <c r="E36" s="1044"/>
      <c r="F36" s="1044"/>
      <c r="G36" s="1044"/>
      <c r="H36" s="246"/>
      <c r="I36" s="246"/>
      <c r="J36" s="247"/>
      <c r="K36" s="247"/>
      <c r="L36" s="246"/>
      <c r="M36" s="246"/>
      <c r="N36" s="246"/>
      <c r="O36" s="246"/>
      <c r="P36" s="257"/>
      <c r="Q36" s="438"/>
      <c r="R36" s="246"/>
      <c r="S36" s="268"/>
      <c r="T36" s="266"/>
      <c r="U36" s="268"/>
      <c r="V36" s="266"/>
      <c r="W36" s="246"/>
      <c r="X36" s="246"/>
      <c r="Y36" s="246"/>
      <c r="Z36" s="246"/>
      <c r="AA36" s="246"/>
      <c r="AB36" s="268"/>
      <c r="AC36" s="266"/>
      <c r="AD36" s="246"/>
      <c r="AE36" s="246"/>
      <c r="AF36" s="246"/>
      <c r="AG36" s="246"/>
      <c r="AH36" s="246"/>
      <c r="AI36" s="268"/>
      <c r="AJ36" s="266"/>
      <c r="AK36" s="246"/>
      <c r="AL36" s="246"/>
      <c r="AM36" s="246"/>
      <c r="AN36" s="246"/>
      <c r="AO36" s="246"/>
      <c r="AP36" s="268"/>
      <c r="AQ36" s="266"/>
      <c r="AR36" s="246">
        <v>2</v>
      </c>
      <c r="AS36" s="246"/>
      <c r="AT36" s="246"/>
      <c r="AU36" s="246"/>
      <c r="AV36" s="246"/>
      <c r="AW36" s="257"/>
      <c r="AX36" s="622">
        <v>3</v>
      </c>
      <c r="AY36" s="141"/>
      <c r="AZ36" s="141"/>
      <c r="BA36" s="141"/>
      <c r="BB36" s="141"/>
    </row>
    <row r="37" spans="2:54" ht="18.75" customHeight="1">
      <c r="B37" s="295"/>
      <c r="C37" s="245" t="s">
        <v>66</v>
      </c>
      <c r="D37" s="1043"/>
      <c r="E37" s="1044"/>
      <c r="F37" s="1044"/>
      <c r="G37" s="1044"/>
      <c r="H37" s="246"/>
      <c r="I37" s="246"/>
      <c r="J37" s="247"/>
      <c r="K37" s="247"/>
      <c r="L37" s="246"/>
      <c r="M37" s="246"/>
      <c r="N37" s="246"/>
      <c r="O37" s="246"/>
      <c r="P37" s="257"/>
      <c r="Q37" s="438"/>
      <c r="R37" s="246"/>
      <c r="S37" s="268"/>
      <c r="T37" s="266"/>
      <c r="U37" s="268"/>
      <c r="V37" s="266"/>
      <c r="W37" s="246"/>
      <c r="X37" s="246"/>
      <c r="Y37" s="246"/>
      <c r="Z37" s="246"/>
      <c r="AA37" s="246"/>
      <c r="AB37" s="268"/>
      <c r="AC37" s="266"/>
      <c r="AD37" s="246"/>
      <c r="AE37" s="246"/>
      <c r="AF37" s="246"/>
      <c r="AG37" s="246"/>
      <c r="AH37" s="246"/>
      <c r="AI37" s="268"/>
      <c r="AJ37" s="266"/>
      <c r="AK37" s="246"/>
      <c r="AL37" s="246"/>
      <c r="AM37" s="246"/>
      <c r="AN37" s="246"/>
      <c r="AO37" s="246"/>
      <c r="AP37" s="268"/>
      <c r="AQ37" s="266"/>
      <c r="AR37" s="246"/>
      <c r="AS37" s="246"/>
      <c r="AT37" s="246"/>
      <c r="AU37" s="246"/>
      <c r="AV37" s="246"/>
      <c r="AW37" s="257"/>
      <c r="AX37" s="622"/>
      <c r="AY37" s="141"/>
      <c r="AZ37" s="141"/>
      <c r="BA37" s="141"/>
      <c r="BB37" s="141"/>
    </row>
    <row r="38" spans="2:54" ht="18.75" customHeight="1">
      <c r="B38" s="571">
        <v>12</v>
      </c>
      <c r="C38" s="572" t="s">
        <v>99</v>
      </c>
      <c r="D38" s="573"/>
      <c r="E38" s="574"/>
      <c r="F38" s="574"/>
      <c r="G38" s="574"/>
      <c r="H38" s="574"/>
      <c r="I38" s="574"/>
      <c r="J38" s="575"/>
      <c r="K38" s="575"/>
      <c r="L38" s="574"/>
      <c r="M38" s="574"/>
      <c r="N38" s="574"/>
      <c r="O38" s="574"/>
      <c r="P38" s="576"/>
      <c r="Q38" s="577"/>
      <c r="R38" s="574"/>
      <c r="S38" s="578"/>
      <c r="T38" s="579"/>
      <c r="U38" s="580"/>
      <c r="V38" s="579"/>
      <c r="W38" s="580"/>
      <c r="X38" s="580"/>
      <c r="Y38" s="574"/>
      <c r="Z38" s="574"/>
      <c r="AA38" s="580"/>
      <c r="AB38" s="580"/>
      <c r="AC38" s="579"/>
      <c r="AD38" s="580"/>
      <c r="AE38" s="580"/>
      <c r="AF38" s="580"/>
      <c r="AG38" s="580"/>
      <c r="AH38" s="580"/>
      <c r="AI38" s="580"/>
      <c r="AJ38" s="579"/>
      <c r="AK38" s="580"/>
      <c r="AL38" s="580"/>
      <c r="AM38" s="580"/>
      <c r="AN38" s="580"/>
      <c r="AO38" s="580"/>
      <c r="AP38" s="580"/>
      <c r="AQ38" s="579"/>
      <c r="AR38" s="580"/>
      <c r="AS38" s="580"/>
      <c r="AT38" s="580"/>
      <c r="AU38" s="580"/>
      <c r="AV38" s="580"/>
      <c r="AW38" s="606"/>
      <c r="AX38" s="606"/>
      <c r="AY38" s="141"/>
      <c r="AZ38" s="141"/>
      <c r="BA38" s="141"/>
      <c r="BB38" s="141"/>
    </row>
    <row r="39" spans="2:54" ht="29">
      <c r="B39" s="581"/>
      <c r="C39" s="582" t="s">
        <v>100</v>
      </c>
      <c r="D39" s="1034">
        <v>2</v>
      </c>
      <c r="E39" s="583">
        <v>2</v>
      </c>
      <c r="F39" s="583">
        <v>2</v>
      </c>
      <c r="G39" s="583">
        <v>6</v>
      </c>
      <c r="H39" s="583"/>
      <c r="I39" s="583">
        <v>1</v>
      </c>
      <c r="J39" s="584"/>
      <c r="K39" s="584"/>
      <c r="L39" s="583"/>
      <c r="M39" s="583"/>
      <c r="N39" s="583"/>
      <c r="O39" s="583"/>
      <c r="P39" s="585"/>
      <c r="Q39" s="586"/>
      <c r="R39" s="583"/>
      <c r="S39" s="587"/>
      <c r="T39" s="588"/>
      <c r="U39" s="589"/>
      <c r="V39" s="588"/>
      <c r="W39" s="589"/>
      <c r="X39" s="589"/>
      <c r="Y39" s="583"/>
      <c r="Z39" s="583"/>
      <c r="AA39" s="589"/>
      <c r="AB39" s="589"/>
      <c r="AC39" s="588"/>
      <c r="AD39" s="589"/>
      <c r="AE39" s="589"/>
      <c r="AF39" s="589"/>
      <c r="AG39" s="589"/>
      <c r="AH39" s="589"/>
      <c r="AI39" s="589"/>
      <c r="AJ39" s="588"/>
      <c r="AK39" s="589"/>
      <c r="AL39" s="589"/>
      <c r="AM39" s="589"/>
      <c r="AN39" s="589"/>
      <c r="AO39" s="589"/>
      <c r="AP39" s="589"/>
      <c r="AQ39" s="607"/>
      <c r="AR39" s="583"/>
      <c r="AS39" s="583"/>
      <c r="AT39" s="583"/>
      <c r="AU39" s="583"/>
      <c r="AV39" s="583"/>
      <c r="AW39" s="585"/>
      <c r="AX39" s="592"/>
      <c r="AY39" s="141"/>
      <c r="AZ39" s="141"/>
      <c r="BA39" s="141"/>
      <c r="BB39" s="141"/>
    </row>
    <row r="40" spans="2:54" ht="29">
      <c r="B40" s="581"/>
      <c r="C40" s="582" t="s">
        <v>101</v>
      </c>
      <c r="D40" s="1035"/>
      <c r="E40" s="583">
        <v>3</v>
      </c>
      <c r="F40" s="583">
        <v>2</v>
      </c>
      <c r="G40" s="583">
        <v>6</v>
      </c>
      <c r="H40" s="583"/>
      <c r="I40" s="583">
        <v>2</v>
      </c>
      <c r="J40" s="584"/>
      <c r="K40" s="584"/>
      <c r="L40" s="583"/>
      <c r="M40" s="583"/>
      <c r="N40" s="583"/>
      <c r="O40" s="583"/>
      <c r="P40" s="585"/>
      <c r="Q40" s="586"/>
      <c r="R40" s="583"/>
      <c r="S40" s="587"/>
      <c r="T40" s="588"/>
      <c r="U40" s="589"/>
      <c r="V40" s="588"/>
      <c r="W40" s="589"/>
      <c r="X40" s="589"/>
      <c r="Y40" s="583"/>
      <c r="Z40" s="583"/>
      <c r="AA40" s="589"/>
      <c r="AB40" s="589"/>
      <c r="AC40" s="588"/>
      <c r="AD40" s="589"/>
      <c r="AE40" s="589"/>
      <c r="AF40" s="589"/>
      <c r="AG40" s="589"/>
      <c r="AH40" s="589"/>
      <c r="AI40" s="589"/>
      <c r="AJ40" s="588"/>
      <c r="AK40" s="589"/>
      <c r="AL40" s="589"/>
      <c r="AM40" s="589"/>
      <c r="AN40" s="589"/>
      <c r="AO40" s="589"/>
      <c r="AP40" s="589"/>
      <c r="AQ40" s="607"/>
      <c r="AR40" s="583"/>
      <c r="AS40" s="583"/>
      <c r="AT40" s="583"/>
      <c r="AU40" s="583"/>
      <c r="AV40" s="583"/>
      <c r="AW40" s="585"/>
      <c r="AX40" s="592"/>
      <c r="AY40" s="141"/>
      <c r="AZ40" s="141"/>
      <c r="BA40" s="141"/>
      <c r="BB40" s="141"/>
    </row>
    <row r="41" spans="2:54" ht="87">
      <c r="B41" s="581"/>
      <c r="C41" s="590" t="s">
        <v>102</v>
      </c>
      <c r="D41" s="1035"/>
      <c r="E41" s="583">
        <v>1</v>
      </c>
      <c r="F41" s="583">
        <v>1</v>
      </c>
      <c r="G41" s="583">
        <v>3</v>
      </c>
      <c r="H41" s="583"/>
      <c r="I41" s="583">
        <v>1</v>
      </c>
      <c r="J41" s="584"/>
      <c r="K41" s="584"/>
      <c r="L41" s="583"/>
      <c r="M41" s="583"/>
      <c r="N41" s="583"/>
      <c r="O41" s="583"/>
      <c r="P41" s="585"/>
      <c r="Q41" s="586"/>
      <c r="R41" s="583"/>
      <c r="S41" s="587"/>
      <c r="T41" s="588"/>
      <c r="U41" s="589"/>
      <c r="V41" s="588"/>
      <c r="W41" s="589"/>
      <c r="X41" s="589"/>
      <c r="Y41" s="583"/>
      <c r="Z41" s="583"/>
      <c r="AA41" s="589"/>
      <c r="AB41" s="589"/>
      <c r="AC41" s="588"/>
      <c r="AD41" s="589"/>
      <c r="AE41" s="589"/>
      <c r="AF41" s="589"/>
      <c r="AG41" s="589"/>
      <c r="AH41" s="589"/>
      <c r="AI41" s="589"/>
      <c r="AJ41" s="588"/>
      <c r="AK41" s="589"/>
      <c r="AL41" s="589"/>
      <c r="AM41" s="589"/>
      <c r="AN41" s="589"/>
      <c r="AO41" s="589"/>
      <c r="AP41" s="589"/>
      <c r="AQ41" s="607"/>
      <c r="AR41" s="583"/>
      <c r="AS41" s="583"/>
      <c r="AT41" s="583"/>
      <c r="AU41" s="583"/>
      <c r="AV41" s="583"/>
      <c r="AW41" s="585"/>
      <c r="AX41" s="592"/>
      <c r="AY41" s="141"/>
      <c r="AZ41" s="141"/>
      <c r="BA41" s="141"/>
      <c r="BB41" s="141"/>
    </row>
    <row r="42" spans="2:54" ht="101.5">
      <c r="B42" s="581"/>
      <c r="C42" s="590" t="s">
        <v>103</v>
      </c>
      <c r="D42" s="1036"/>
      <c r="E42" s="583">
        <v>1</v>
      </c>
      <c r="F42" s="583"/>
      <c r="G42" s="583"/>
      <c r="H42" s="583"/>
      <c r="I42" s="583">
        <v>1</v>
      </c>
      <c r="J42" s="584"/>
      <c r="K42" s="584"/>
      <c r="L42" s="583"/>
      <c r="M42" s="583"/>
      <c r="N42" s="583"/>
      <c r="O42" s="583"/>
      <c r="P42" s="585"/>
      <c r="Q42" s="586"/>
      <c r="R42" s="583"/>
      <c r="S42" s="587"/>
      <c r="T42" s="588"/>
      <c r="U42" s="589"/>
      <c r="V42" s="588"/>
      <c r="W42" s="589"/>
      <c r="X42" s="589"/>
      <c r="Y42" s="583"/>
      <c r="Z42" s="583"/>
      <c r="AA42" s="589"/>
      <c r="AB42" s="589"/>
      <c r="AC42" s="588"/>
      <c r="AD42" s="589"/>
      <c r="AE42" s="589"/>
      <c r="AF42" s="589"/>
      <c r="AG42" s="589"/>
      <c r="AH42" s="589"/>
      <c r="AI42" s="589"/>
      <c r="AJ42" s="588"/>
      <c r="AK42" s="589"/>
      <c r="AL42" s="589"/>
      <c r="AM42" s="589"/>
      <c r="AN42" s="589"/>
      <c r="AO42" s="589"/>
      <c r="AP42" s="589"/>
      <c r="AQ42" s="607"/>
      <c r="AR42" s="583"/>
      <c r="AS42" s="583"/>
      <c r="AT42" s="583">
        <v>6</v>
      </c>
      <c r="AU42" s="583"/>
      <c r="AV42" s="583"/>
      <c r="AW42" s="585"/>
      <c r="AX42" s="592"/>
      <c r="AY42" s="141"/>
      <c r="AZ42" s="141"/>
      <c r="BA42" s="141"/>
      <c r="BB42" s="141"/>
    </row>
    <row r="43" spans="2:54" ht="18.5">
      <c r="B43" s="581"/>
      <c r="C43" s="590" t="s">
        <v>104</v>
      </c>
      <c r="D43" s="591">
        <v>1</v>
      </c>
      <c r="E43" s="583">
        <v>2</v>
      </c>
      <c r="F43" s="583"/>
      <c r="G43" s="583">
        <v>1</v>
      </c>
      <c r="H43" s="583"/>
      <c r="I43" s="583"/>
      <c r="J43" s="584"/>
      <c r="K43" s="584"/>
      <c r="L43" s="583"/>
      <c r="M43" s="583"/>
      <c r="N43" s="583"/>
      <c r="O43" s="583"/>
      <c r="P43" s="585"/>
      <c r="Q43" s="586"/>
      <c r="R43" s="583"/>
      <c r="S43" s="587"/>
      <c r="T43" s="588"/>
      <c r="U43" s="589"/>
      <c r="V43" s="588"/>
      <c r="W43" s="589"/>
      <c r="X43" s="589"/>
      <c r="Y43" s="583"/>
      <c r="Z43" s="583"/>
      <c r="AA43" s="589"/>
      <c r="AB43" s="589"/>
      <c r="AC43" s="588"/>
      <c r="AD43" s="589"/>
      <c r="AE43" s="589"/>
      <c r="AF43" s="589"/>
      <c r="AG43" s="589"/>
      <c r="AH43" s="589"/>
      <c r="AI43" s="589"/>
      <c r="AJ43" s="588"/>
      <c r="AK43" s="589"/>
      <c r="AL43" s="589"/>
      <c r="AM43" s="589"/>
      <c r="AN43" s="589"/>
      <c r="AO43" s="589"/>
      <c r="AP43" s="589"/>
      <c r="AQ43" s="588"/>
      <c r="AR43" s="589"/>
      <c r="AS43" s="589"/>
      <c r="AT43" s="589">
        <v>2</v>
      </c>
      <c r="AU43" s="589"/>
      <c r="AV43" s="589"/>
      <c r="AW43" s="592"/>
      <c r="AX43" s="592"/>
      <c r="AY43" s="141"/>
      <c r="AZ43" s="141"/>
      <c r="BA43" s="141"/>
      <c r="BB43" s="141"/>
    </row>
    <row r="44" spans="2:54" ht="18.5">
      <c r="B44" s="581"/>
      <c r="C44" s="590" t="s">
        <v>105</v>
      </c>
      <c r="D44" s="591">
        <v>1</v>
      </c>
      <c r="E44" s="583">
        <v>2</v>
      </c>
      <c r="F44" s="583"/>
      <c r="G44" s="583">
        <v>1</v>
      </c>
      <c r="H44" s="583"/>
      <c r="I44" s="583"/>
      <c r="J44" s="584"/>
      <c r="K44" s="584"/>
      <c r="L44" s="583"/>
      <c r="M44" s="583"/>
      <c r="N44" s="583"/>
      <c r="O44" s="583"/>
      <c r="P44" s="585"/>
      <c r="Q44" s="586"/>
      <c r="R44" s="583"/>
      <c r="S44" s="587"/>
      <c r="T44" s="588"/>
      <c r="U44" s="589"/>
      <c r="V44" s="588"/>
      <c r="W44" s="589"/>
      <c r="X44" s="589"/>
      <c r="Y44" s="583"/>
      <c r="Z44" s="583"/>
      <c r="AA44" s="589"/>
      <c r="AB44" s="589"/>
      <c r="AC44" s="588"/>
      <c r="AD44" s="589"/>
      <c r="AE44" s="589"/>
      <c r="AF44" s="589"/>
      <c r="AG44" s="589"/>
      <c r="AH44" s="589"/>
      <c r="AI44" s="589"/>
      <c r="AJ44" s="588"/>
      <c r="AK44" s="589"/>
      <c r="AL44" s="589"/>
      <c r="AM44" s="589"/>
      <c r="AN44" s="589"/>
      <c r="AO44" s="589"/>
      <c r="AP44" s="589"/>
      <c r="AQ44" s="588"/>
      <c r="AR44" s="589"/>
      <c r="AS44" s="589"/>
      <c r="AT44" s="589">
        <v>2</v>
      </c>
      <c r="AU44" s="589"/>
      <c r="AV44" s="589"/>
      <c r="AW44" s="592"/>
      <c r="AX44" s="592"/>
      <c r="AY44" s="141"/>
      <c r="AZ44" s="141"/>
      <c r="BA44" s="141"/>
      <c r="BB44" s="141"/>
    </row>
    <row r="45" spans="2:54" ht="14.5">
      <c r="B45" s="341">
        <v>11</v>
      </c>
      <c r="C45" s="342" t="s">
        <v>53</v>
      </c>
      <c r="D45" s="234">
        <v>1</v>
      </c>
      <c r="E45" s="73">
        <v>5</v>
      </c>
      <c r="F45" s="73">
        <v>3</v>
      </c>
      <c r="G45" s="73">
        <v>5</v>
      </c>
      <c r="H45" s="73"/>
      <c r="I45" s="73">
        <v>1</v>
      </c>
      <c r="J45" s="73"/>
      <c r="K45" s="73"/>
      <c r="L45" s="73"/>
      <c r="M45" s="73"/>
      <c r="N45" s="73"/>
      <c r="O45" s="73"/>
      <c r="P45" s="235"/>
      <c r="Q45" s="270">
        <v>1</v>
      </c>
      <c r="R45" s="73">
        <v>2</v>
      </c>
      <c r="S45" s="261"/>
      <c r="T45" s="249"/>
      <c r="U45" s="278"/>
      <c r="V45" s="236"/>
      <c r="W45" s="23">
        <v>0.5</v>
      </c>
      <c r="X45" s="23">
        <v>0.5</v>
      </c>
      <c r="Y45" s="62"/>
      <c r="Z45" s="73"/>
      <c r="AA45" s="282"/>
      <c r="AB45" s="237"/>
      <c r="AC45" s="249"/>
      <c r="AD45" s="23">
        <v>0.5</v>
      </c>
      <c r="AE45" s="23">
        <v>0.5</v>
      </c>
      <c r="AF45" s="65"/>
      <c r="AG45" s="65"/>
      <c r="AH45" s="65"/>
      <c r="AI45" s="278"/>
      <c r="AJ45" s="249"/>
      <c r="AK45" s="23">
        <v>0.5</v>
      </c>
      <c r="AL45" s="23">
        <v>0.5</v>
      </c>
      <c r="AM45" s="65"/>
      <c r="AN45" s="65"/>
      <c r="AO45" s="65"/>
      <c r="AP45" s="278"/>
      <c r="AQ45" s="249"/>
      <c r="AR45" s="65">
        <v>1</v>
      </c>
      <c r="AS45" s="284"/>
      <c r="AT45" s="284"/>
      <c r="AU45" s="284"/>
      <c r="AV45" s="65"/>
      <c r="AW45" s="608"/>
      <c r="AX45" s="623"/>
      <c r="AY45" s="20"/>
    </row>
    <row r="46" spans="2:54" ht="14.5">
      <c r="B46" s="341">
        <v>12</v>
      </c>
      <c r="C46" s="342" t="s">
        <v>54</v>
      </c>
      <c r="D46" s="234">
        <v>1</v>
      </c>
      <c r="E46" s="73">
        <v>3</v>
      </c>
      <c r="F46" s="73">
        <v>1</v>
      </c>
      <c r="G46" s="73">
        <v>2</v>
      </c>
      <c r="H46" s="73"/>
      <c r="I46" s="62">
        <v>1</v>
      </c>
      <c r="J46" s="73"/>
      <c r="K46" s="73"/>
      <c r="L46" s="73"/>
      <c r="M46" s="73"/>
      <c r="N46" s="73"/>
      <c r="O46" s="73"/>
      <c r="P46" s="235"/>
      <c r="Q46" s="270">
        <v>1</v>
      </c>
      <c r="R46" s="73">
        <v>2</v>
      </c>
      <c r="S46" s="261"/>
      <c r="T46" s="236"/>
      <c r="U46" s="78"/>
      <c r="V46" s="236"/>
      <c r="W46" s="23">
        <v>0.25</v>
      </c>
      <c r="X46" s="23">
        <v>0.25</v>
      </c>
      <c r="Y46" s="62"/>
      <c r="Z46" s="73"/>
      <c r="AA46" s="282"/>
      <c r="AB46" s="237"/>
      <c r="AC46" s="236"/>
      <c r="AD46" s="23">
        <v>0.25</v>
      </c>
      <c r="AE46" s="23">
        <v>0.25</v>
      </c>
      <c r="AF46" s="23"/>
      <c r="AG46" s="23"/>
      <c r="AH46" s="23"/>
      <c r="AI46" s="78"/>
      <c r="AJ46" s="236"/>
      <c r="AK46" s="23">
        <v>0.25</v>
      </c>
      <c r="AL46" s="23">
        <v>0.25</v>
      </c>
      <c r="AM46" s="23"/>
      <c r="AN46" s="23"/>
      <c r="AO46" s="23"/>
      <c r="AP46" s="78"/>
      <c r="AQ46" s="236"/>
      <c r="AR46" s="78">
        <v>1</v>
      </c>
      <c r="AS46" s="73"/>
      <c r="AT46" s="73"/>
      <c r="AU46" s="73"/>
      <c r="AV46" s="206"/>
      <c r="AW46" s="237"/>
      <c r="AX46" s="624"/>
      <c r="AY46" s="20"/>
    </row>
    <row r="47" spans="2:54" ht="14.5">
      <c r="B47" s="341">
        <v>13</v>
      </c>
      <c r="C47" s="342" t="s">
        <v>55</v>
      </c>
      <c r="D47" s="234">
        <v>2</v>
      </c>
      <c r="E47" s="73">
        <v>3</v>
      </c>
      <c r="F47" s="73">
        <v>1</v>
      </c>
      <c r="G47" s="73">
        <v>1</v>
      </c>
      <c r="H47" s="73"/>
      <c r="I47" s="73">
        <v>1</v>
      </c>
      <c r="J47" s="73"/>
      <c r="K47" s="73"/>
      <c r="L47" s="73"/>
      <c r="M47" s="73"/>
      <c r="N47" s="73"/>
      <c r="O47" s="73"/>
      <c r="P47" s="235"/>
      <c r="Q47" s="270">
        <v>1</v>
      </c>
      <c r="R47" s="73">
        <v>1</v>
      </c>
      <c r="S47" s="261"/>
      <c r="T47" s="236"/>
      <c r="U47" s="78"/>
      <c r="V47" s="236"/>
      <c r="W47" s="23">
        <v>0.25</v>
      </c>
      <c r="X47" s="23">
        <v>0.25</v>
      </c>
      <c r="Y47" s="62"/>
      <c r="Z47" s="73"/>
      <c r="AA47" s="282"/>
      <c r="AB47" s="237"/>
      <c r="AC47" s="236"/>
      <c r="AD47" s="23">
        <v>0.25</v>
      </c>
      <c r="AE47" s="23">
        <v>0.25</v>
      </c>
      <c r="AF47" s="23"/>
      <c r="AG47" s="23"/>
      <c r="AH47" s="23"/>
      <c r="AI47" s="78"/>
      <c r="AJ47" s="236"/>
      <c r="AK47" s="23">
        <v>0.25</v>
      </c>
      <c r="AL47" s="23">
        <v>0.25</v>
      </c>
      <c r="AM47" s="23"/>
      <c r="AN47" s="23"/>
      <c r="AO47" s="23"/>
      <c r="AP47" s="78"/>
      <c r="AQ47" s="236"/>
      <c r="AR47" s="78">
        <v>1</v>
      </c>
      <c r="AS47" s="73"/>
      <c r="AT47" s="73"/>
      <c r="AU47" s="73"/>
      <c r="AV47" s="206"/>
      <c r="AW47" s="237"/>
      <c r="AX47" s="624"/>
      <c r="AY47" s="20"/>
    </row>
    <row r="48" spans="2:54" ht="14.5">
      <c r="B48" s="341">
        <v>14</v>
      </c>
      <c r="C48" s="342" t="s">
        <v>56</v>
      </c>
      <c r="D48" s="234"/>
      <c r="E48" s="73"/>
      <c r="F48" s="73"/>
      <c r="G48" s="73">
        <v>1</v>
      </c>
      <c r="H48" s="73"/>
      <c r="I48" s="73"/>
      <c r="J48" s="73"/>
      <c r="K48" s="73"/>
      <c r="L48" s="73"/>
      <c r="M48" s="73"/>
      <c r="N48" s="73"/>
      <c r="O48" s="73"/>
      <c r="P48" s="235"/>
      <c r="Q48" s="270"/>
      <c r="R48" s="73"/>
      <c r="S48" s="261"/>
      <c r="T48" s="236"/>
      <c r="U48" s="78"/>
      <c r="V48" s="236"/>
      <c r="W48" s="23">
        <v>0.5</v>
      </c>
      <c r="X48" s="23">
        <v>1</v>
      </c>
      <c r="Y48" s="73"/>
      <c r="Z48" s="73"/>
      <c r="AA48" s="282"/>
      <c r="AB48" s="237"/>
      <c r="AC48" s="236"/>
      <c r="AD48" s="23"/>
      <c r="AE48" s="23"/>
      <c r="AF48" s="23"/>
      <c r="AG48" s="23"/>
      <c r="AH48" s="23"/>
      <c r="AI48" s="78"/>
      <c r="AJ48" s="236"/>
      <c r="AK48" s="23"/>
      <c r="AL48" s="23"/>
      <c r="AM48" s="23"/>
      <c r="AN48" s="23"/>
      <c r="AO48" s="23"/>
      <c r="AP48" s="78"/>
      <c r="AQ48" s="236"/>
      <c r="AR48" s="23"/>
      <c r="AS48" s="65"/>
      <c r="AT48" s="65">
        <v>3</v>
      </c>
      <c r="AU48" s="65"/>
      <c r="AV48" s="23"/>
      <c r="AW48" s="237"/>
      <c r="AX48" s="624"/>
      <c r="AY48" s="20"/>
    </row>
    <row r="49" spans="2:53" ht="14.5">
      <c r="B49" s="341">
        <v>15</v>
      </c>
      <c r="C49" s="342" t="s">
        <v>57</v>
      </c>
      <c r="D49" s="233"/>
      <c r="E49" s="62">
        <v>1</v>
      </c>
      <c r="F49" s="62"/>
      <c r="G49" s="62">
        <v>1</v>
      </c>
      <c r="H49" s="62"/>
      <c r="I49" s="62"/>
      <c r="J49" s="62"/>
      <c r="K49" s="62"/>
      <c r="L49" s="62"/>
      <c r="M49" s="62"/>
      <c r="N49" s="62"/>
      <c r="O49" s="62"/>
      <c r="P49" s="238">
        <v>3</v>
      </c>
      <c r="Q49" s="271"/>
      <c r="R49" s="62"/>
      <c r="S49" s="262"/>
      <c r="T49" s="239"/>
      <c r="U49" s="76"/>
      <c r="V49" s="239"/>
      <c r="W49" s="23">
        <v>0.5</v>
      </c>
      <c r="X49" s="22">
        <v>1</v>
      </c>
      <c r="Y49" s="64"/>
      <c r="Z49" s="64"/>
      <c r="AA49" s="76"/>
      <c r="AB49" s="240">
        <v>3</v>
      </c>
      <c r="AC49" s="239"/>
      <c r="AD49" s="22"/>
      <c r="AE49" s="22"/>
      <c r="AF49" s="22"/>
      <c r="AG49" s="22"/>
      <c r="AH49" s="22"/>
      <c r="AI49" s="76"/>
      <c r="AJ49" s="239"/>
      <c r="AK49" s="22"/>
      <c r="AL49" s="22"/>
      <c r="AM49" s="22"/>
      <c r="AN49" s="22"/>
      <c r="AO49" s="22"/>
      <c r="AP49" s="76"/>
      <c r="AQ49" s="239"/>
      <c r="AR49" s="22"/>
      <c r="AS49" s="22"/>
      <c r="AT49" s="22">
        <v>3</v>
      </c>
      <c r="AU49" s="22"/>
      <c r="AV49" s="22"/>
      <c r="AW49" s="240"/>
      <c r="AX49" s="612"/>
      <c r="AY49" s="20"/>
    </row>
    <row r="50" spans="2:53" ht="14.5">
      <c r="B50" s="439">
        <v>16</v>
      </c>
      <c r="C50" s="311" t="s">
        <v>106</v>
      </c>
      <c r="D50" s="250">
        <v>0.5</v>
      </c>
      <c r="E50" s="251">
        <f>2+5</f>
        <v>7</v>
      </c>
      <c r="F50" s="251"/>
      <c r="G50" s="251">
        <f>2+2</f>
        <v>4</v>
      </c>
      <c r="H50" s="251"/>
      <c r="I50" s="251"/>
      <c r="J50" s="251"/>
      <c r="K50" s="251"/>
      <c r="L50" s="251"/>
      <c r="M50" s="251"/>
      <c r="N50" s="251"/>
      <c r="O50" s="251">
        <v>2</v>
      </c>
      <c r="P50" s="252"/>
      <c r="Q50" s="272">
        <v>1</v>
      </c>
      <c r="R50" s="251">
        <v>1</v>
      </c>
      <c r="S50" s="263">
        <v>0.5</v>
      </c>
      <c r="T50" s="258"/>
      <c r="U50" s="279"/>
      <c r="V50" s="258"/>
      <c r="W50" s="259">
        <v>0.5</v>
      </c>
      <c r="X50" s="259">
        <v>0.5</v>
      </c>
      <c r="Y50" s="283"/>
      <c r="Z50" s="259"/>
      <c r="AA50" s="279"/>
      <c r="AB50" s="260"/>
      <c r="AC50" s="242"/>
      <c r="AD50" s="259">
        <v>0.5</v>
      </c>
      <c r="AE50" s="259">
        <v>0.5</v>
      </c>
      <c r="AF50" s="86"/>
      <c r="AG50" s="86"/>
      <c r="AH50" s="86"/>
      <c r="AI50" s="241"/>
      <c r="AJ50" s="242"/>
      <c r="AK50" s="259">
        <v>0.5</v>
      </c>
      <c r="AL50" s="259">
        <v>0.5</v>
      </c>
      <c r="AM50" s="86"/>
      <c r="AN50" s="86"/>
      <c r="AO50" s="86"/>
      <c r="AP50" s="241"/>
      <c r="AQ50" s="258"/>
      <c r="AR50" s="259">
        <v>0.5</v>
      </c>
      <c r="AS50" s="259"/>
      <c r="AT50" s="259">
        <v>1</v>
      </c>
      <c r="AU50" s="259"/>
      <c r="AV50" s="259"/>
      <c r="AW50" s="260"/>
      <c r="AX50" s="625"/>
      <c r="AY50" s="20"/>
    </row>
    <row r="51" spans="2:53" ht="14.5">
      <c r="B51" s="440"/>
      <c r="C51" s="441" t="s">
        <v>26</v>
      </c>
      <c r="D51" s="442">
        <f t="shared" ref="D51:AX51" si="0">SUM(D3:D50)</f>
        <v>26.5</v>
      </c>
      <c r="E51" s="443">
        <f t="shared" si="0"/>
        <v>58.5</v>
      </c>
      <c r="F51" s="443">
        <f t="shared" si="0"/>
        <v>34</v>
      </c>
      <c r="G51" s="443">
        <f t="shared" si="0"/>
        <v>98</v>
      </c>
      <c r="H51" s="443">
        <f t="shared" si="0"/>
        <v>0</v>
      </c>
      <c r="I51" s="443">
        <f t="shared" si="0"/>
        <v>24</v>
      </c>
      <c r="J51" s="443">
        <f t="shared" si="0"/>
        <v>10</v>
      </c>
      <c r="K51" s="443">
        <f t="shared" si="0"/>
        <v>1</v>
      </c>
      <c r="L51" s="443">
        <f t="shared" si="0"/>
        <v>0</v>
      </c>
      <c r="M51" s="443">
        <f t="shared" si="0"/>
        <v>0</v>
      </c>
      <c r="N51" s="443">
        <f t="shared" si="0"/>
        <v>0</v>
      </c>
      <c r="O51" s="443">
        <f t="shared" si="0"/>
        <v>7</v>
      </c>
      <c r="P51" s="444">
        <f t="shared" si="0"/>
        <v>3</v>
      </c>
      <c r="Q51" s="445">
        <f t="shared" si="0"/>
        <v>9</v>
      </c>
      <c r="R51" s="446">
        <f t="shared" si="0"/>
        <v>15</v>
      </c>
      <c r="S51" s="447">
        <f t="shared" si="0"/>
        <v>6.5</v>
      </c>
      <c r="T51" s="446">
        <f t="shared" si="0"/>
        <v>6</v>
      </c>
      <c r="U51" s="447">
        <f t="shared" si="0"/>
        <v>3</v>
      </c>
      <c r="V51" s="448">
        <f t="shared" si="0"/>
        <v>0.5</v>
      </c>
      <c r="W51" s="215">
        <f t="shared" si="0"/>
        <v>3.5</v>
      </c>
      <c r="X51" s="215">
        <f t="shared" si="0"/>
        <v>4</v>
      </c>
      <c r="Y51" s="215">
        <f t="shared" si="0"/>
        <v>0</v>
      </c>
      <c r="Z51" s="215">
        <f t="shared" si="0"/>
        <v>0</v>
      </c>
      <c r="AA51" s="215">
        <f t="shared" si="0"/>
        <v>1</v>
      </c>
      <c r="AB51" s="449">
        <f t="shared" si="0"/>
        <v>3</v>
      </c>
      <c r="AC51" s="448">
        <f t="shared" si="0"/>
        <v>0.5</v>
      </c>
      <c r="AD51" s="215">
        <f t="shared" si="0"/>
        <v>2.5</v>
      </c>
      <c r="AE51" s="215">
        <f t="shared" si="0"/>
        <v>2</v>
      </c>
      <c r="AF51" s="215">
        <f t="shared" si="0"/>
        <v>0</v>
      </c>
      <c r="AG51" s="215">
        <f t="shared" si="0"/>
        <v>0</v>
      </c>
      <c r="AH51" s="215">
        <f t="shared" si="0"/>
        <v>1</v>
      </c>
      <c r="AI51" s="449">
        <f t="shared" si="0"/>
        <v>0</v>
      </c>
      <c r="AJ51" s="448">
        <f t="shared" si="0"/>
        <v>0.5</v>
      </c>
      <c r="AK51" s="215">
        <f t="shared" si="0"/>
        <v>2.5</v>
      </c>
      <c r="AL51" s="215">
        <f t="shared" si="0"/>
        <v>2</v>
      </c>
      <c r="AM51" s="215">
        <f t="shared" si="0"/>
        <v>0</v>
      </c>
      <c r="AN51" s="215">
        <f t="shared" si="0"/>
        <v>0</v>
      </c>
      <c r="AO51" s="215">
        <f t="shared" si="0"/>
        <v>1</v>
      </c>
      <c r="AP51" s="449">
        <f t="shared" si="0"/>
        <v>0</v>
      </c>
      <c r="AQ51" s="626">
        <f t="shared" si="0"/>
        <v>0</v>
      </c>
      <c r="AR51" s="445">
        <f t="shared" si="0"/>
        <v>5.5</v>
      </c>
      <c r="AS51" s="445">
        <f t="shared" si="0"/>
        <v>0</v>
      </c>
      <c r="AT51" s="445">
        <f t="shared" si="0"/>
        <v>17</v>
      </c>
      <c r="AU51" s="445">
        <f t="shared" si="0"/>
        <v>0</v>
      </c>
      <c r="AV51" s="445">
        <f t="shared" si="0"/>
        <v>0</v>
      </c>
      <c r="AW51" s="627">
        <f t="shared" si="0"/>
        <v>0</v>
      </c>
      <c r="AX51" s="450">
        <f t="shared" si="0"/>
        <v>3</v>
      </c>
      <c r="AY51" s="19">
        <f>SUM(D51:AX51)</f>
        <v>351</v>
      </c>
    </row>
    <row r="52" spans="2:53" ht="14.5">
      <c r="B52" s="341"/>
      <c r="C52" s="451" t="s">
        <v>27</v>
      </c>
      <c r="D52" s="452">
        <v>14000</v>
      </c>
      <c r="E52" s="453">
        <v>8500</v>
      </c>
      <c r="F52" s="453">
        <v>14000</v>
      </c>
      <c r="G52" s="453">
        <v>14000</v>
      </c>
      <c r="H52" s="453">
        <v>8500</v>
      </c>
      <c r="I52" s="453">
        <v>8500</v>
      </c>
      <c r="J52" s="453">
        <v>8500</v>
      </c>
      <c r="K52" s="453">
        <v>8500</v>
      </c>
      <c r="L52" s="453">
        <v>8500</v>
      </c>
      <c r="M52" s="453">
        <v>14000</v>
      </c>
      <c r="N52" s="453">
        <v>8500</v>
      </c>
      <c r="O52" s="453">
        <v>8500</v>
      </c>
      <c r="P52" s="454">
        <v>8500</v>
      </c>
      <c r="Q52" s="219">
        <v>14000</v>
      </c>
      <c r="R52" s="220">
        <v>14000</v>
      </c>
      <c r="S52" s="455">
        <v>7500</v>
      </c>
      <c r="T52" s="220">
        <v>8500</v>
      </c>
      <c r="U52" s="455">
        <v>8500</v>
      </c>
      <c r="V52" s="273">
        <v>14000</v>
      </c>
      <c r="W52" s="220">
        <v>8500</v>
      </c>
      <c r="X52" s="220">
        <v>14000</v>
      </c>
      <c r="Y52" s="220">
        <v>8500</v>
      </c>
      <c r="Z52" s="220">
        <v>8500</v>
      </c>
      <c r="AA52" s="220">
        <v>8500</v>
      </c>
      <c r="AB52" s="455">
        <v>8500</v>
      </c>
      <c r="AC52" s="273">
        <v>14000</v>
      </c>
      <c r="AD52" s="220">
        <v>8500</v>
      </c>
      <c r="AE52" s="220">
        <v>14000</v>
      </c>
      <c r="AF52" s="220">
        <v>8500</v>
      </c>
      <c r="AG52" s="220">
        <v>8500</v>
      </c>
      <c r="AH52" s="220">
        <v>8500</v>
      </c>
      <c r="AI52" s="455">
        <v>8500</v>
      </c>
      <c r="AJ52" s="273">
        <v>14000</v>
      </c>
      <c r="AK52" s="220">
        <v>8500</v>
      </c>
      <c r="AL52" s="220">
        <v>14000</v>
      </c>
      <c r="AM52" s="220">
        <v>8500</v>
      </c>
      <c r="AN52" s="220">
        <v>8500</v>
      </c>
      <c r="AO52" s="220">
        <v>8500</v>
      </c>
      <c r="AP52" s="455">
        <v>8500</v>
      </c>
      <c r="AQ52" s="273">
        <v>14000</v>
      </c>
      <c r="AR52" s="220">
        <v>8500</v>
      </c>
      <c r="AS52" s="220">
        <v>14000</v>
      </c>
      <c r="AT52" s="220">
        <v>8500</v>
      </c>
      <c r="AU52" s="220">
        <v>8500</v>
      </c>
      <c r="AV52" s="220">
        <v>8500</v>
      </c>
      <c r="AW52" s="455">
        <v>8500</v>
      </c>
      <c r="AX52" s="293">
        <v>8500</v>
      </c>
      <c r="AY52" s="112"/>
    </row>
    <row r="53" spans="2:53" ht="16">
      <c r="B53" s="456"/>
      <c r="C53" s="457" t="s">
        <v>28</v>
      </c>
      <c r="D53" s="458">
        <f t="shared" ref="D53:AX53" si="1">D51*D52</f>
        <v>371000</v>
      </c>
      <c r="E53" s="459">
        <f t="shared" si="1"/>
        <v>497250</v>
      </c>
      <c r="F53" s="459">
        <f t="shared" si="1"/>
        <v>476000</v>
      </c>
      <c r="G53" s="459">
        <f t="shared" si="1"/>
        <v>1372000</v>
      </c>
      <c r="H53" s="459">
        <f t="shared" si="1"/>
        <v>0</v>
      </c>
      <c r="I53" s="459">
        <f t="shared" si="1"/>
        <v>204000</v>
      </c>
      <c r="J53" s="459">
        <f t="shared" si="1"/>
        <v>85000</v>
      </c>
      <c r="K53" s="459">
        <f t="shared" si="1"/>
        <v>8500</v>
      </c>
      <c r="L53" s="459">
        <f t="shared" si="1"/>
        <v>0</v>
      </c>
      <c r="M53" s="459">
        <f t="shared" si="1"/>
        <v>0</v>
      </c>
      <c r="N53" s="459">
        <f t="shared" si="1"/>
        <v>0</v>
      </c>
      <c r="O53" s="459">
        <f t="shared" si="1"/>
        <v>59500</v>
      </c>
      <c r="P53" s="460">
        <f t="shared" si="1"/>
        <v>25500</v>
      </c>
      <c r="Q53" s="224">
        <f t="shared" si="1"/>
        <v>126000</v>
      </c>
      <c r="R53" s="225">
        <f t="shared" si="1"/>
        <v>210000</v>
      </c>
      <c r="S53" s="461">
        <f t="shared" si="1"/>
        <v>48750</v>
      </c>
      <c r="T53" s="225">
        <f t="shared" si="1"/>
        <v>51000</v>
      </c>
      <c r="U53" s="461">
        <f t="shared" si="1"/>
        <v>25500</v>
      </c>
      <c r="V53" s="462">
        <f t="shared" si="1"/>
        <v>7000</v>
      </c>
      <c r="W53" s="463">
        <f t="shared" si="1"/>
        <v>29750</v>
      </c>
      <c r="X53" s="463">
        <f t="shared" si="1"/>
        <v>56000</v>
      </c>
      <c r="Y53" s="463">
        <f t="shared" si="1"/>
        <v>0</v>
      </c>
      <c r="Z53" s="463">
        <f t="shared" si="1"/>
        <v>0</v>
      </c>
      <c r="AA53" s="463">
        <f t="shared" si="1"/>
        <v>8500</v>
      </c>
      <c r="AB53" s="464">
        <f t="shared" si="1"/>
        <v>25500</v>
      </c>
      <c r="AC53" s="462">
        <f t="shared" si="1"/>
        <v>7000</v>
      </c>
      <c r="AD53" s="463">
        <f t="shared" si="1"/>
        <v>21250</v>
      </c>
      <c r="AE53" s="463">
        <f t="shared" si="1"/>
        <v>28000</v>
      </c>
      <c r="AF53" s="463">
        <f t="shared" si="1"/>
        <v>0</v>
      </c>
      <c r="AG53" s="463">
        <f t="shared" si="1"/>
        <v>0</v>
      </c>
      <c r="AH53" s="463">
        <f t="shared" si="1"/>
        <v>8500</v>
      </c>
      <c r="AI53" s="464">
        <f t="shared" si="1"/>
        <v>0</v>
      </c>
      <c r="AJ53" s="462">
        <f t="shared" si="1"/>
        <v>7000</v>
      </c>
      <c r="AK53" s="463">
        <f t="shared" si="1"/>
        <v>21250</v>
      </c>
      <c r="AL53" s="463">
        <f t="shared" si="1"/>
        <v>28000</v>
      </c>
      <c r="AM53" s="463">
        <f t="shared" si="1"/>
        <v>0</v>
      </c>
      <c r="AN53" s="463">
        <f t="shared" si="1"/>
        <v>0</v>
      </c>
      <c r="AO53" s="463">
        <f t="shared" si="1"/>
        <v>8500</v>
      </c>
      <c r="AP53" s="464">
        <f t="shared" si="1"/>
        <v>0</v>
      </c>
      <c r="AQ53" s="462">
        <f t="shared" si="1"/>
        <v>0</v>
      </c>
      <c r="AR53" s="463">
        <f t="shared" si="1"/>
        <v>46750</v>
      </c>
      <c r="AS53" s="463">
        <f t="shared" si="1"/>
        <v>0</v>
      </c>
      <c r="AT53" s="463">
        <f t="shared" si="1"/>
        <v>144500</v>
      </c>
      <c r="AU53" s="463">
        <f t="shared" si="1"/>
        <v>0</v>
      </c>
      <c r="AV53" s="463">
        <f t="shared" si="1"/>
        <v>0</v>
      </c>
      <c r="AW53" s="464">
        <f t="shared" si="1"/>
        <v>0</v>
      </c>
      <c r="AX53" s="465">
        <f t="shared" si="1"/>
        <v>25500</v>
      </c>
      <c r="AY53" s="243">
        <f>SUM(D53:AX53)</f>
        <v>4033000</v>
      </c>
      <c r="AZ53" s="281">
        <f>AY53*0.15</f>
        <v>604950</v>
      </c>
      <c r="BA53" s="281">
        <f>AY53+AZ53</f>
        <v>4637950</v>
      </c>
    </row>
    <row r="54" spans="2:53" ht="13.5" customHeight="1">
      <c r="BA54" s="281">
        <v>3900000</v>
      </c>
    </row>
    <row r="55" spans="2:53" ht="14.5">
      <c r="D55" s="19">
        <f t="shared" ref="D55:P55" si="2">D51*8</f>
        <v>212</v>
      </c>
      <c r="E55" s="19">
        <f t="shared" si="2"/>
        <v>468</v>
      </c>
      <c r="F55" s="19">
        <f t="shared" si="2"/>
        <v>272</v>
      </c>
      <c r="G55" s="19">
        <f t="shared" si="2"/>
        <v>784</v>
      </c>
      <c r="H55" s="19">
        <f t="shared" si="2"/>
        <v>0</v>
      </c>
      <c r="I55" s="19">
        <f t="shared" si="2"/>
        <v>192</v>
      </c>
      <c r="J55" s="19">
        <f t="shared" si="2"/>
        <v>80</v>
      </c>
      <c r="K55" s="19">
        <f t="shared" si="2"/>
        <v>8</v>
      </c>
      <c r="L55" s="19">
        <f t="shared" si="2"/>
        <v>0</v>
      </c>
      <c r="M55" s="19">
        <f t="shared" si="2"/>
        <v>0</v>
      </c>
      <c r="N55" s="19">
        <f t="shared" si="2"/>
        <v>0</v>
      </c>
      <c r="O55" s="19">
        <f t="shared" si="2"/>
        <v>56</v>
      </c>
      <c r="P55" s="19">
        <f t="shared" si="2"/>
        <v>24</v>
      </c>
      <c r="R55" s="19">
        <f>R51*8</f>
        <v>120</v>
      </c>
      <c r="S55" s="19">
        <f>S51*8</f>
        <v>52</v>
      </c>
      <c r="V55" s="19">
        <f>V51*8</f>
        <v>4</v>
      </c>
      <c r="W55" s="19">
        <f>W51*8</f>
        <v>28</v>
      </c>
      <c r="AB55" s="19">
        <f>AB51*8</f>
        <v>24</v>
      </c>
      <c r="AC55" s="19">
        <f>AC51*8</f>
        <v>4</v>
      </c>
      <c r="AD55" s="19">
        <f>AD51*8</f>
        <v>20</v>
      </c>
      <c r="AI55" s="19">
        <f>AI51*8</f>
        <v>0</v>
      </c>
      <c r="AJ55" s="19">
        <f>AJ51*8</f>
        <v>4</v>
      </c>
      <c r="AK55" s="19">
        <f>AK51*8</f>
        <v>20</v>
      </c>
      <c r="AP55" s="19">
        <f>AP51*8</f>
        <v>0</v>
      </c>
      <c r="AQ55" s="19">
        <f>AQ51*8</f>
        <v>0</v>
      </c>
      <c r="AR55" s="19">
        <f>AR51*8</f>
        <v>44</v>
      </c>
      <c r="AW55" s="19">
        <f>AW51*8</f>
        <v>0</v>
      </c>
      <c r="AX55" s="19">
        <f>AX51*8</f>
        <v>24</v>
      </c>
    </row>
    <row r="58" spans="2:53" ht="43.5">
      <c r="C58" s="228" t="s">
        <v>107</v>
      </c>
    </row>
    <row r="59" spans="2:53" ht="14.5"/>
  </sheetData>
  <mergeCells count="12">
    <mergeCell ref="AQ1:AW1"/>
    <mergeCell ref="D39:D42"/>
    <mergeCell ref="Q1:S1"/>
    <mergeCell ref="T1:U1"/>
    <mergeCell ref="V1:AB1"/>
    <mergeCell ref="AC1:AI1"/>
    <mergeCell ref="AJ1:AP1"/>
    <mergeCell ref="I28:I29"/>
    <mergeCell ref="D33:D37"/>
    <mergeCell ref="E33:E37"/>
    <mergeCell ref="F33:F37"/>
    <mergeCell ref="G33:G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A5A0-8A1C-4B79-9925-97BE65041986}">
  <dimension ref="A1:CS28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Q8" sqref="Q8:S11"/>
    </sheetView>
  </sheetViews>
  <sheetFormatPr defaultColWidth="8.6328125" defaultRowHeight="13.5" customHeight="1"/>
  <cols>
    <col min="1" max="1" width="4.36328125" style="20" customWidth="1"/>
    <col min="2" max="2" width="5.08984375" style="87" customWidth="1"/>
    <col min="3" max="3" width="62" style="20" customWidth="1"/>
    <col min="4" max="16" width="10.6328125" style="19" customWidth="1"/>
    <col min="17" max="18" width="12.6328125" style="19" customWidth="1"/>
    <col min="19" max="19" width="13.08984375" style="19" customWidth="1"/>
    <col min="20" max="20" width="17.36328125" style="19" customWidth="1"/>
    <col min="21" max="21" width="11.08984375" style="20" bestFit="1" customWidth="1"/>
    <col min="22" max="22" width="11.7265625" style="20" bestFit="1" customWidth="1"/>
    <col min="23" max="16384" width="8.6328125" style="20"/>
  </cols>
  <sheetData>
    <row r="1" spans="1:97" ht="15" customHeight="1">
      <c r="Q1" s="1037" t="s">
        <v>60</v>
      </c>
      <c r="R1" s="1038"/>
      <c r="S1" s="1039"/>
      <c r="T1" s="20"/>
    </row>
    <row r="2" spans="1:97" ht="29">
      <c r="B2" s="683" t="s">
        <v>29</v>
      </c>
      <c r="C2" s="684" t="s">
        <v>30</v>
      </c>
      <c r="D2" s="637" t="s">
        <v>3</v>
      </c>
      <c r="E2" s="638" t="s">
        <v>31</v>
      </c>
      <c r="F2" s="638" t="s">
        <v>5</v>
      </c>
      <c r="G2" s="638" t="s">
        <v>108</v>
      </c>
      <c r="H2" s="638" t="s">
        <v>32</v>
      </c>
      <c r="I2" s="638" t="s">
        <v>7</v>
      </c>
      <c r="J2" s="638" t="s">
        <v>68</v>
      </c>
      <c r="K2" s="638" t="s">
        <v>69</v>
      </c>
      <c r="L2" s="638" t="s">
        <v>8</v>
      </c>
      <c r="M2" s="638" t="s">
        <v>9</v>
      </c>
      <c r="N2" s="638" t="s">
        <v>10</v>
      </c>
      <c r="O2" s="638" t="s">
        <v>35</v>
      </c>
      <c r="P2" s="639" t="s">
        <v>11</v>
      </c>
      <c r="Q2" s="317" t="s">
        <v>70</v>
      </c>
      <c r="R2" s="318" t="s">
        <v>71</v>
      </c>
      <c r="S2" s="319" t="s">
        <v>34</v>
      </c>
      <c r="T2" s="20"/>
    </row>
    <row r="3" spans="1:97" ht="14.5">
      <c r="B3" s="667">
        <v>1</v>
      </c>
      <c r="C3" s="668" t="s">
        <v>36</v>
      </c>
      <c r="D3" s="679">
        <v>0.25</v>
      </c>
      <c r="E3" s="640">
        <v>0.25</v>
      </c>
      <c r="F3" s="641"/>
      <c r="G3" s="641"/>
      <c r="H3" s="641"/>
      <c r="I3" s="641"/>
      <c r="J3" s="641"/>
      <c r="K3" s="641"/>
      <c r="L3" s="641"/>
      <c r="M3" s="641"/>
      <c r="N3" s="641"/>
      <c r="O3" s="641"/>
      <c r="P3" s="645"/>
      <c r="Q3" s="654"/>
      <c r="R3" s="325"/>
      <c r="S3" s="655"/>
      <c r="T3" s="20"/>
    </row>
    <row r="4" spans="1:97" s="108" customFormat="1" ht="14.5">
      <c r="A4" s="20"/>
      <c r="B4" s="332">
        <v>2</v>
      </c>
      <c r="C4" s="669" t="s">
        <v>79</v>
      </c>
      <c r="D4" s="680">
        <v>0.25</v>
      </c>
      <c r="E4" s="629">
        <v>0.25</v>
      </c>
      <c r="F4" s="630"/>
      <c r="G4" s="630"/>
      <c r="H4" s="630"/>
      <c r="I4" s="630"/>
      <c r="J4" s="231"/>
      <c r="K4" s="231"/>
      <c r="L4" s="231"/>
      <c r="M4" s="231"/>
      <c r="N4" s="231"/>
      <c r="O4" s="231"/>
      <c r="P4" s="646"/>
      <c r="Q4" s="656"/>
      <c r="R4" s="334"/>
      <c r="S4" s="34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</row>
    <row r="5" spans="1:97" s="108" customFormat="1" ht="14.5">
      <c r="A5" s="20"/>
      <c r="B5" s="332">
        <v>2</v>
      </c>
      <c r="C5" s="669" t="s">
        <v>80</v>
      </c>
      <c r="D5" s="680"/>
      <c r="E5" s="629"/>
      <c r="F5" s="630"/>
      <c r="G5" s="630"/>
      <c r="H5" s="630"/>
      <c r="I5" s="630"/>
      <c r="J5" s="630"/>
      <c r="K5" s="630"/>
      <c r="L5" s="630"/>
      <c r="M5" s="630"/>
      <c r="N5" s="630"/>
      <c r="O5" s="630"/>
      <c r="P5" s="647"/>
      <c r="Q5" s="656"/>
      <c r="R5" s="334"/>
      <c r="S5" s="34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</row>
    <row r="6" spans="1:97" ht="14.5">
      <c r="B6" s="341">
        <v>3</v>
      </c>
      <c r="C6" s="670" t="s">
        <v>38</v>
      </c>
      <c r="D6" s="664">
        <v>1</v>
      </c>
      <c r="E6" s="301">
        <v>2</v>
      </c>
      <c r="F6" s="628"/>
      <c r="G6" s="628"/>
      <c r="H6" s="628"/>
      <c r="I6" s="628"/>
      <c r="J6" s="628"/>
      <c r="K6" s="628"/>
      <c r="L6" s="628"/>
      <c r="M6" s="628"/>
      <c r="N6" s="628"/>
      <c r="O6" s="628"/>
      <c r="P6" s="648"/>
      <c r="Q6" s="657"/>
      <c r="R6" s="322"/>
      <c r="S6" s="323"/>
      <c r="T6" s="20"/>
    </row>
    <row r="7" spans="1:97" ht="14.5">
      <c r="B7" s="341">
        <v>4</v>
      </c>
      <c r="C7" s="670" t="s">
        <v>81</v>
      </c>
      <c r="D7" s="664">
        <v>1</v>
      </c>
      <c r="E7" s="301">
        <v>2</v>
      </c>
      <c r="F7" s="628"/>
      <c r="G7" s="628"/>
      <c r="H7" s="628"/>
      <c r="I7" s="628"/>
      <c r="J7" s="628"/>
      <c r="K7" s="628"/>
      <c r="L7" s="628"/>
      <c r="M7" s="628"/>
      <c r="N7" s="628"/>
      <c r="O7" s="628"/>
      <c r="P7" s="648"/>
      <c r="Q7" s="657"/>
      <c r="R7" s="322"/>
      <c r="S7" s="323"/>
      <c r="T7" s="20"/>
    </row>
    <row r="8" spans="1:97" ht="18.75" customHeight="1">
      <c r="B8" s="571">
        <v>5</v>
      </c>
      <c r="C8" s="671" t="s">
        <v>99</v>
      </c>
      <c r="D8" s="681"/>
      <c r="E8" s="631"/>
      <c r="F8" s="631"/>
      <c r="G8" s="631"/>
      <c r="H8" s="631"/>
      <c r="I8" s="631"/>
      <c r="J8" s="632"/>
      <c r="K8" s="632"/>
      <c r="L8" s="631"/>
      <c r="M8" s="631"/>
      <c r="N8" s="631"/>
      <c r="O8" s="631"/>
      <c r="P8" s="649"/>
      <c r="Q8" s="658"/>
      <c r="R8" s="574"/>
      <c r="S8" s="576"/>
      <c r="T8" s="141"/>
      <c r="U8" s="141"/>
      <c r="V8" s="141"/>
      <c r="W8" s="141"/>
    </row>
    <row r="9" spans="1:97" ht="72.5">
      <c r="B9" s="581"/>
      <c r="C9" s="672" t="s">
        <v>109</v>
      </c>
      <c r="D9" s="1045">
        <v>2</v>
      </c>
      <c r="E9" s="633">
        <v>1</v>
      </c>
      <c r="F9" s="633">
        <v>2</v>
      </c>
      <c r="G9" s="633">
        <v>5</v>
      </c>
      <c r="H9" s="633"/>
      <c r="I9" s="633">
        <v>1</v>
      </c>
      <c r="J9" s="634"/>
      <c r="K9" s="634"/>
      <c r="L9" s="633"/>
      <c r="M9" s="633"/>
      <c r="N9" s="633"/>
      <c r="O9" s="633"/>
      <c r="P9" s="650"/>
      <c r="Q9" s="659">
        <v>3</v>
      </c>
      <c r="R9" s="583"/>
      <c r="S9" s="1046">
        <v>2</v>
      </c>
      <c r="T9" s="141"/>
      <c r="U9" s="141"/>
      <c r="V9" s="141"/>
      <c r="W9" s="141"/>
    </row>
    <row r="10" spans="1:97" ht="87">
      <c r="B10" s="581"/>
      <c r="C10" s="672" t="s">
        <v>110</v>
      </c>
      <c r="D10" s="1045"/>
      <c r="E10" s="633">
        <v>1</v>
      </c>
      <c r="F10" s="633">
        <v>2</v>
      </c>
      <c r="G10" s="633">
        <v>5</v>
      </c>
      <c r="H10" s="633"/>
      <c r="I10" s="633">
        <v>1</v>
      </c>
      <c r="J10" s="634"/>
      <c r="K10" s="634"/>
      <c r="L10" s="633"/>
      <c r="M10" s="633"/>
      <c r="N10" s="633"/>
      <c r="O10" s="633"/>
      <c r="P10" s="650"/>
      <c r="Q10" s="659">
        <v>3</v>
      </c>
      <c r="R10" s="583"/>
      <c r="S10" s="1047"/>
      <c r="T10" s="141"/>
      <c r="U10" s="141"/>
      <c r="V10" s="141"/>
      <c r="W10" s="141"/>
    </row>
    <row r="11" spans="1:97" ht="58">
      <c r="B11" s="581"/>
      <c r="C11" s="673" t="s">
        <v>111</v>
      </c>
      <c r="D11" s="1045"/>
      <c r="E11" s="633">
        <v>1</v>
      </c>
      <c r="F11" s="633">
        <v>1</v>
      </c>
      <c r="G11" s="633">
        <v>3</v>
      </c>
      <c r="H11" s="633"/>
      <c r="I11" s="633">
        <v>1</v>
      </c>
      <c r="J11" s="634"/>
      <c r="K11" s="634"/>
      <c r="L11" s="633"/>
      <c r="M11" s="633"/>
      <c r="N11" s="633"/>
      <c r="O11" s="633"/>
      <c r="P11" s="650"/>
      <c r="Q11" s="659">
        <v>3</v>
      </c>
      <c r="R11" s="583"/>
      <c r="S11" s="1048"/>
      <c r="T11" s="141"/>
      <c r="U11" s="141"/>
      <c r="V11" s="141"/>
      <c r="W11" s="141"/>
    </row>
    <row r="12" spans="1:97" ht="14.5">
      <c r="B12" s="341">
        <v>6</v>
      </c>
      <c r="C12" s="670" t="s">
        <v>53</v>
      </c>
      <c r="D12" s="664">
        <v>0.5</v>
      </c>
      <c r="E12" s="635">
        <v>2</v>
      </c>
      <c r="F12" s="635">
        <v>1</v>
      </c>
      <c r="G12" s="635">
        <v>2</v>
      </c>
      <c r="H12" s="635"/>
      <c r="I12" s="635"/>
      <c r="J12" s="635"/>
      <c r="K12" s="635"/>
      <c r="L12" s="635"/>
      <c r="M12" s="635"/>
      <c r="N12" s="635"/>
      <c r="O12" s="635"/>
      <c r="P12" s="651"/>
      <c r="Q12" s="234"/>
      <c r="R12" s="73"/>
      <c r="S12" s="235"/>
      <c r="T12" s="20"/>
    </row>
    <row r="13" spans="1:97" ht="14.5">
      <c r="B13" s="341">
        <v>7</v>
      </c>
      <c r="C13" s="670" t="s">
        <v>54</v>
      </c>
      <c r="D13" s="664">
        <v>0.5</v>
      </c>
      <c r="E13" s="635">
        <v>2</v>
      </c>
      <c r="F13" s="635"/>
      <c r="G13" s="635">
        <v>1</v>
      </c>
      <c r="H13" s="635"/>
      <c r="I13" s="301"/>
      <c r="J13" s="635"/>
      <c r="K13" s="635"/>
      <c r="L13" s="635"/>
      <c r="M13" s="635"/>
      <c r="N13" s="635"/>
      <c r="O13" s="635"/>
      <c r="P13" s="651"/>
      <c r="Q13" s="234"/>
      <c r="R13" s="73"/>
      <c r="S13" s="235"/>
      <c r="T13" s="20"/>
    </row>
    <row r="14" spans="1:97" ht="14.5">
      <c r="B14" s="341">
        <v>8</v>
      </c>
      <c r="C14" s="670" t="s">
        <v>55</v>
      </c>
      <c r="D14" s="664">
        <v>0.5</v>
      </c>
      <c r="E14" s="635">
        <v>1</v>
      </c>
      <c r="F14" s="635"/>
      <c r="G14" s="635">
        <v>1</v>
      </c>
      <c r="H14" s="635"/>
      <c r="I14" s="635"/>
      <c r="J14" s="635"/>
      <c r="K14" s="635"/>
      <c r="L14" s="635"/>
      <c r="M14" s="635"/>
      <c r="N14" s="635"/>
      <c r="O14" s="635"/>
      <c r="P14" s="651"/>
      <c r="Q14" s="234"/>
      <c r="R14" s="73"/>
      <c r="S14" s="235"/>
      <c r="T14" s="20"/>
    </row>
    <row r="15" spans="1:97" ht="14.5">
      <c r="B15" s="341">
        <v>9</v>
      </c>
      <c r="C15" s="670" t="s">
        <v>56</v>
      </c>
      <c r="D15" s="682"/>
      <c r="E15" s="635">
        <v>1</v>
      </c>
      <c r="F15" s="635"/>
      <c r="G15" s="635">
        <v>1</v>
      </c>
      <c r="H15" s="635"/>
      <c r="I15" s="635"/>
      <c r="J15" s="635"/>
      <c r="K15" s="635"/>
      <c r="L15" s="635"/>
      <c r="M15" s="635"/>
      <c r="N15" s="635"/>
      <c r="O15" s="635"/>
      <c r="P15" s="651"/>
      <c r="Q15" s="234"/>
      <c r="R15" s="73"/>
      <c r="S15" s="235"/>
      <c r="T15" s="20"/>
    </row>
    <row r="16" spans="1:97" ht="14.5">
      <c r="B16" s="439">
        <v>10</v>
      </c>
      <c r="C16" s="674" t="s">
        <v>57</v>
      </c>
      <c r="D16" s="664"/>
      <c r="E16" s="301">
        <v>1</v>
      </c>
      <c r="F16" s="301"/>
      <c r="G16" s="301">
        <v>1</v>
      </c>
      <c r="H16" s="301"/>
      <c r="I16" s="301"/>
      <c r="J16" s="301"/>
      <c r="K16" s="301"/>
      <c r="L16" s="301"/>
      <c r="M16" s="301"/>
      <c r="N16" s="301"/>
      <c r="O16" s="301"/>
      <c r="P16" s="652">
        <v>3</v>
      </c>
      <c r="Q16" s="233"/>
      <c r="R16" s="62"/>
      <c r="S16" s="238"/>
      <c r="T16" s="20"/>
    </row>
    <row r="17" spans="2:22" ht="14.5">
      <c r="B17" s="675">
        <v>11</v>
      </c>
      <c r="C17" s="676" t="s">
        <v>112</v>
      </c>
      <c r="D17" s="664"/>
      <c r="E17" s="301">
        <v>1</v>
      </c>
      <c r="F17" s="301"/>
      <c r="G17" s="301">
        <v>1</v>
      </c>
      <c r="H17" s="301"/>
      <c r="I17" s="301"/>
      <c r="J17" s="301"/>
      <c r="K17" s="301"/>
      <c r="L17" s="301"/>
      <c r="M17" s="301"/>
      <c r="N17" s="301"/>
      <c r="O17" s="301"/>
      <c r="P17" s="652"/>
      <c r="Q17" s="233"/>
      <c r="R17" s="62"/>
      <c r="S17" s="238"/>
      <c r="T17" s="20"/>
    </row>
    <row r="18" spans="2:22" ht="14.5">
      <c r="B18" s="675">
        <v>12</v>
      </c>
      <c r="C18" s="676" t="s">
        <v>106</v>
      </c>
      <c r="D18" s="664">
        <v>0.5</v>
      </c>
      <c r="E18" s="301">
        <v>7</v>
      </c>
      <c r="F18" s="301"/>
      <c r="G18" s="301">
        <v>3</v>
      </c>
      <c r="H18" s="301"/>
      <c r="I18" s="301"/>
      <c r="J18" s="301"/>
      <c r="K18" s="301"/>
      <c r="L18" s="301"/>
      <c r="M18" s="301"/>
      <c r="N18" s="301"/>
      <c r="O18" s="301">
        <v>2</v>
      </c>
      <c r="P18" s="652"/>
      <c r="Q18" s="233"/>
      <c r="R18" s="62"/>
      <c r="S18" s="238"/>
      <c r="T18" s="20"/>
    </row>
    <row r="19" spans="2:22" ht="14.5">
      <c r="B19" s="677">
        <v>13</v>
      </c>
      <c r="C19" s="678" t="s">
        <v>113</v>
      </c>
      <c r="D19" s="665">
        <v>1</v>
      </c>
      <c r="E19" s="636">
        <v>3</v>
      </c>
      <c r="F19" s="636">
        <v>1</v>
      </c>
      <c r="G19" s="636">
        <v>3</v>
      </c>
      <c r="H19" s="636"/>
      <c r="I19" s="636"/>
      <c r="J19" s="636"/>
      <c r="K19" s="636"/>
      <c r="L19" s="636"/>
      <c r="M19" s="636"/>
      <c r="N19" s="636"/>
      <c r="O19" s="636"/>
      <c r="P19" s="653"/>
      <c r="Q19" s="250"/>
      <c r="R19" s="251"/>
      <c r="S19" s="252"/>
      <c r="T19" s="20"/>
    </row>
    <row r="20" spans="2:22" ht="14.5">
      <c r="B20" s="320"/>
      <c r="C20" s="666" t="s">
        <v>26</v>
      </c>
      <c r="D20" s="642">
        <f>SUM(D3:D19)</f>
        <v>7.5</v>
      </c>
      <c r="E20" s="643">
        <f t="shared" ref="E20:O20" si="0">SUM(E3:E19)</f>
        <v>25.5</v>
      </c>
      <c r="F20" s="643">
        <f t="shared" si="0"/>
        <v>7</v>
      </c>
      <c r="G20" s="643">
        <f t="shared" si="0"/>
        <v>26</v>
      </c>
      <c r="H20" s="643">
        <f t="shared" si="0"/>
        <v>0</v>
      </c>
      <c r="I20" s="643">
        <f t="shared" si="0"/>
        <v>3</v>
      </c>
      <c r="J20" s="643">
        <f t="shared" si="0"/>
        <v>0</v>
      </c>
      <c r="K20" s="643">
        <f t="shared" si="0"/>
        <v>0</v>
      </c>
      <c r="L20" s="643">
        <f t="shared" si="0"/>
        <v>0</v>
      </c>
      <c r="M20" s="643">
        <f t="shared" si="0"/>
        <v>0</v>
      </c>
      <c r="N20" s="643">
        <f t="shared" si="0"/>
        <v>0</v>
      </c>
      <c r="O20" s="643">
        <f t="shared" si="0"/>
        <v>2</v>
      </c>
      <c r="P20" s="644">
        <f>SUM(P3:P19)</f>
        <v>3</v>
      </c>
      <c r="Q20" s="445">
        <f t="shared" ref="Q20:S20" si="1">SUM(Q3:Q18)</f>
        <v>9</v>
      </c>
      <c r="R20" s="446">
        <f t="shared" si="1"/>
        <v>0</v>
      </c>
      <c r="S20" s="660">
        <f t="shared" si="1"/>
        <v>2</v>
      </c>
      <c r="T20" s="19">
        <f>SUM(D20:S20)</f>
        <v>85</v>
      </c>
    </row>
    <row r="21" spans="2:22" ht="14.5">
      <c r="B21" s="341"/>
      <c r="C21" s="451" t="s">
        <v>27</v>
      </c>
      <c r="D21" s="452">
        <v>14000</v>
      </c>
      <c r="E21" s="453">
        <v>8500</v>
      </c>
      <c r="F21" s="453">
        <v>14000</v>
      </c>
      <c r="G21" s="453">
        <v>14000</v>
      </c>
      <c r="H21" s="453">
        <v>8500</v>
      </c>
      <c r="I21" s="453">
        <v>8500</v>
      </c>
      <c r="J21" s="453">
        <v>8500</v>
      </c>
      <c r="K21" s="453">
        <v>8500</v>
      </c>
      <c r="L21" s="453">
        <v>8500</v>
      </c>
      <c r="M21" s="453">
        <v>14000</v>
      </c>
      <c r="N21" s="453">
        <v>8500</v>
      </c>
      <c r="O21" s="453">
        <v>8500</v>
      </c>
      <c r="P21" s="454">
        <v>8500</v>
      </c>
      <c r="Q21" s="219">
        <v>14000</v>
      </c>
      <c r="R21" s="220">
        <v>14000</v>
      </c>
      <c r="S21" s="661">
        <v>7500</v>
      </c>
      <c r="T21" s="112"/>
    </row>
    <row r="22" spans="2:22" ht="16">
      <c r="B22" s="456"/>
      <c r="C22" s="457" t="s">
        <v>28</v>
      </c>
      <c r="D22" s="458">
        <f t="shared" ref="D22:S22" si="2">D20*D21</f>
        <v>105000</v>
      </c>
      <c r="E22" s="459">
        <f t="shared" si="2"/>
        <v>216750</v>
      </c>
      <c r="F22" s="459">
        <f t="shared" si="2"/>
        <v>98000</v>
      </c>
      <c r="G22" s="459">
        <f t="shared" si="2"/>
        <v>364000</v>
      </c>
      <c r="H22" s="459">
        <f t="shared" si="2"/>
        <v>0</v>
      </c>
      <c r="I22" s="459">
        <f t="shared" si="2"/>
        <v>25500</v>
      </c>
      <c r="J22" s="459">
        <f t="shared" si="2"/>
        <v>0</v>
      </c>
      <c r="K22" s="459">
        <f t="shared" si="2"/>
        <v>0</v>
      </c>
      <c r="L22" s="459">
        <f t="shared" si="2"/>
        <v>0</v>
      </c>
      <c r="M22" s="459">
        <f t="shared" si="2"/>
        <v>0</v>
      </c>
      <c r="N22" s="459">
        <f t="shared" si="2"/>
        <v>0</v>
      </c>
      <c r="O22" s="459">
        <f t="shared" si="2"/>
        <v>17000</v>
      </c>
      <c r="P22" s="460">
        <f>P20*P21</f>
        <v>25500</v>
      </c>
      <c r="Q22" s="463">
        <f t="shared" si="2"/>
        <v>126000</v>
      </c>
      <c r="R22" s="662">
        <f t="shared" si="2"/>
        <v>0</v>
      </c>
      <c r="S22" s="663">
        <f t="shared" si="2"/>
        <v>15000</v>
      </c>
      <c r="T22" s="243">
        <f>SUM(D22:S22)</f>
        <v>992750</v>
      </c>
      <c r="U22" s="281">
        <f>T22*0.15</f>
        <v>148912.5</v>
      </c>
      <c r="V22" s="281">
        <f>T22+U22</f>
        <v>1141662.5</v>
      </c>
    </row>
    <row r="23" spans="2:22" ht="13.5" customHeight="1">
      <c r="V23" s="281"/>
    </row>
    <row r="24" spans="2:22" ht="14.5">
      <c r="D24" s="19">
        <f t="shared" ref="D24:O24" si="3">D20*8</f>
        <v>60</v>
      </c>
      <c r="E24" s="19">
        <f t="shared" si="3"/>
        <v>204</v>
      </c>
      <c r="F24" s="19">
        <f t="shared" si="3"/>
        <v>56</v>
      </c>
      <c r="G24" s="19">
        <f t="shared" si="3"/>
        <v>208</v>
      </c>
      <c r="H24" s="19">
        <f t="shared" si="3"/>
        <v>0</v>
      </c>
      <c r="I24" s="19">
        <f t="shared" si="3"/>
        <v>24</v>
      </c>
      <c r="J24" s="19">
        <f t="shared" si="3"/>
        <v>0</v>
      </c>
      <c r="K24" s="19">
        <f t="shared" si="3"/>
        <v>0</v>
      </c>
      <c r="L24" s="19">
        <f t="shared" si="3"/>
        <v>0</v>
      </c>
      <c r="M24" s="19">
        <f t="shared" si="3"/>
        <v>0</v>
      </c>
      <c r="N24" s="19">
        <f t="shared" si="3"/>
        <v>0</v>
      </c>
      <c r="O24" s="19">
        <f t="shared" si="3"/>
        <v>16</v>
      </c>
      <c r="P24" s="19">
        <f>P20*8</f>
        <v>24</v>
      </c>
      <c r="R24" s="19">
        <f>R20*8</f>
        <v>0</v>
      </c>
      <c r="S24" s="19">
        <f>S20*8</f>
        <v>16</v>
      </c>
    </row>
    <row r="27" spans="2:22" ht="43.5">
      <c r="C27" s="228" t="s">
        <v>107</v>
      </c>
    </row>
    <row r="28" spans="2:22" ht="14.5"/>
  </sheetData>
  <mergeCells count="3">
    <mergeCell ref="D9:D11"/>
    <mergeCell ref="Q1:S1"/>
    <mergeCell ref="S9:S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EC829-F037-4CFA-AA89-6785E2BCE8FE}">
  <dimension ref="A1:CS28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11" sqref="C11"/>
    </sheetView>
  </sheetViews>
  <sheetFormatPr defaultColWidth="8.6328125" defaultRowHeight="13.5" customHeight="1"/>
  <cols>
    <col min="1" max="1" width="4.36328125" style="20" customWidth="1"/>
    <col min="2" max="2" width="5.08984375" style="87" customWidth="1"/>
    <col min="3" max="3" width="62" style="20" customWidth="1"/>
    <col min="4" max="16" width="10.6328125" style="19" customWidth="1"/>
    <col min="17" max="18" width="12.6328125" style="19" customWidth="1"/>
    <col min="19" max="19" width="13.08984375" style="19" customWidth="1"/>
    <col min="20" max="20" width="17.36328125" style="19" customWidth="1"/>
    <col min="21" max="21" width="11.08984375" style="20" bestFit="1" customWidth="1"/>
    <col min="22" max="22" width="11.7265625" style="20" bestFit="1" customWidth="1"/>
    <col min="23" max="16384" width="8.6328125" style="20"/>
  </cols>
  <sheetData>
    <row r="1" spans="1:97" ht="15" customHeight="1" thickBot="1">
      <c r="Q1" s="1037" t="s">
        <v>60</v>
      </c>
      <c r="R1" s="1038"/>
      <c r="S1" s="1039"/>
      <c r="T1" s="20"/>
    </row>
    <row r="2" spans="1:97" ht="29.5" thickBot="1">
      <c r="B2" s="683" t="s">
        <v>29</v>
      </c>
      <c r="C2" s="684" t="s">
        <v>30</v>
      </c>
      <c r="D2" s="637" t="s">
        <v>3</v>
      </c>
      <c r="E2" s="638" t="s">
        <v>31</v>
      </c>
      <c r="F2" s="638" t="s">
        <v>5</v>
      </c>
      <c r="G2" s="638" t="s">
        <v>108</v>
      </c>
      <c r="H2" s="638" t="s">
        <v>32</v>
      </c>
      <c r="I2" s="638" t="s">
        <v>7</v>
      </c>
      <c r="J2" s="638" t="s">
        <v>68</v>
      </c>
      <c r="K2" s="638" t="s">
        <v>69</v>
      </c>
      <c r="L2" s="638" t="s">
        <v>8</v>
      </c>
      <c r="M2" s="638" t="s">
        <v>9</v>
      </c>
      <c r="N2" s="638" t="s">
        <v>10</v>
      </c>
      <c r="O2" s="638" t="s">
        <v>35</v>
      </c>
      <c r="P2" s="639" t="s">
        <v>11</v>
      </c>
      <c r="Q2" s="317" t="s">
        <v>70</v>
      </c>
      <c r="R2" s="318" t="s">
        <v>71</v>
      </c>
      <c r="S2" s="319" t="s">
        <v>34</v>
      </c>
      <c r="T2" s="20"/>
    </row>
    <row r="3" spans="1:97" ht="14.5">
      <c r="B3" s="667">
        <v>1</v>
      </c>
      <c r="C3" s="668" t="s">
        <v>36</v>
      </c>
      <c r="D3" s="679">
        <v>0.25</v>
      </c>
      <c r="E3" s="640">
        <v>0.25</v>
      </c>
      <c r="F3" s="641"/>
      <c r="G3" s="641"/>
      <c r="H3" s="641"/>
      <c r="I3" s="641"/>
      <c r="J3" s="641"/>
      <c r="K3" s="641"/>
      <c r="L3" s="641"/>
      <c r="M3" s="641"/>
      <c r="N3" s="641"/>
      <c r="O3" s="641"/>
      <c r="P3" s="645"/>
      <c r="Q3" s="654"/>
      <c r="R3" s="325"/>
      <c r="S3" s="655"/>
      <c r="T3" s="20"/>
    </row>
    <row r="4" spans="1:97" s="108" customFormat="1" ht="14.5">
      <c r="A4" s="20"/>
      <c r="B4" s="332">
        <v>2</v>
      </c>
      <c r="C4" s="669" t="s">
        <v>79</v>
      </c>
      <c r="D4" s="680">
        <v>0.25</v>
      </c>
      <c r="E4" s="629">
        <v>0.25</v>
      </c>
      <c r="F4" s="630"/>
      <c r="G4" s="630"/>
      <c r="H4" s="630"/>
      <c r="I4" s="630"/>
      <c r="J4" s="231"/>
      <c r="K4" s="231"/>
      <c r="L4" s="231"/>
      <c r="M4" s="231"/>
      <c r="N4" s="231"/>
      <c r="O4" s="231"/>
      <c r="P4" s="646"/>
      <c r="Q4" s="656"/>
      <c r="R4" s="334"/>
      <c r="S4" s="34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</row>
    <row r="5" spans="1:97" s="108" customFormat="1" ht="14.5">
      <c r="A5" s="20"/>
      <c r="B5" s="332">
        <v>2</v>
      </c>
      <c r="C5" s="669" t="s">
        <v>80</v>
      </c>
      <c r="D5" s="680"/>
      <c r="E5" s="629"/>
      <c r="F5" s="630"/>
      <c r="G5" s="630"/>
      <c r="H5" s="630"/>
      <c r="I5" s="630"/>
      <c r="J5" s="630"/>
      <c r="K5" s="630"/>
      <c r="L5" s="630"/>
      <c r="M5" s="630"/>
      <c r="N5" s="630"/>
      <c r="O5" s="630"/>
      <c r="P5" s="647"/>
      <c r="Q5" s="656"/>
      <c r="R5" s="334"/>
      <c r="S5" s="34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</row>
    <row r="6" spans="1:97" ht="14.5">
      <c r="B6" s="341">
        <v>3</v>
      </c>
      <c r="C6" s="670" t="s">
        <v>38</v>
      </c>
      <c r="D6" s="664">
        <v>0.5</v>
      </c>
      <c r="E6" s="301">
        <v>1</v>
      </c>
      <c r="F6" s="628"/>
      <c r="G6" s="628"/>
      <c r="H6" s="628"/>
      <c r="I6" s="628"/>
      <c r="J6" s="628"/>
      <c r="K6" s="628"/>
      <c r="L6" s="628"/>
      <c r="M6" s="628"/>
      <c r="N6" s="628"/>
      <c r="O6" s="628"/>
      <c r="P6" s="648"/>
      <c r="Q6" s="657"/>
      <c r="R6" s="322"/>
      <c r="S6" s="323"/>
      <c r="T6" s="20"/>
    </row>
    <row r="7" spans="1:97" ht="14.5">
      <c r="B7" s="341">
        <v>4</v>
      </c>
      <c r="C7" s="670" t="s">
        <v>81</v>
      </c>
      <c r="D7" s="664">
        <v>0.5</v>
      </c>
      <c r="E7" s="301">
        <v>2</v>
      </c>
      <c r="F7" s="628"/>
      <c r="G7" s="628"/>
      <c r="H7" s="628"/>
      <c r="I7" s="628"/>
      <c r="J7" s="628"/>
      <c r="K7" s="628"/>
      <c r="L7" s="628"/>
      <c r="M7" s="628"/>
      <c r="N7" s="628"/>
      <c r="O7" s="628"/>
      <c r="P7" s="648"/>
      <c r="Q7" s="657"/>
      <c r="R7" s="322"/>
      <c r="S7" s="323"/>
      <c r="T7" s="20"/>
    </row>
    <row r="8" spans="1:97" ht="18.75" customHeight="1">
      <c r="B8" s="571">
        <v>5</v>
      </c>
      <c r="C8" s="671" t="s">
        <v>99</v>
      </c>
      <c r="D8" s="681"/>
      <c r="E8" s="631"/>
      <c r="F8" s="631"/>
      <c r="G8" s="631"/>
      <c r="H8" s="631"/>
      <c r="I8" s="631"/>
      <c r="J8" s="632"/>
      <c r="K8" s="632"/>
      <c r="L8" s="631"/>
      <c r="M8" s="631"/>
      <c r="N8" s="631"/>
      <c r="O8" s="631"/>
      <c r="P8" s="649"/>
      <c r="Q8" s="658"/>
      <c r="R8" s="574"/>
      <c r="S8" s="576"/>
      <c r="T8" s="141"/>
      <c r="U8" s="141"/>
      <c r="V8" s="141"/>
      <c r="W8" s="141"/>
    </row>
    <row r="9" spans="1:97" ht="72.650000000000006" customHeight="1">
      <c r="B9" s="581"/>
      <c r="C9" s="672" t="s">
        <v>109</v>
      </c>
      <c r="D9" s="1045">
        <v>1</v>
      </c>
      <c r="E9" s="633">
        <v>1</v>
      </c>
      <c r="F9" s="633">
        <v>2</v>
      </c>
      <c r="G9" s="633">
        <v>5</v>
      </c>
      <c r="H9" s="633"/>
      <c r="I9" s="633">
        <v>0.5</v>
      </c>
      <c r="J9" s="634"/>
      <c r="K9" s="634"/>
      <c r="L9" s="633"/>
      <c r="M9" s="633"/>
      <c r="N9" s="633"/>
      <c r="O9" s="633"/>
      <c r="P9" s="650"/>
      <c r="Q9" s="659"/>
      <c r="R9" s="583"/>
      <c r="S9" s="1046"/>
      <c r="T9" s="141"/>
      <c r="U9" s="141"/>
      <c r="V9" s="141"/>
      <c r="W9" s="141"/>
    </row>
    <row r="10" spans="1:97" ht="87" customHeight="1">
      <c r="B10" s="581"/>
      <c r="C10" s="672" t="s">
        <v>110</v>
      </c>
      <c r="D10" s="1045"/>
      <c r="E10" s="633">
        <v>1</v>
      </c>
      <c r="F10" s="633">
        <v>2</v>
      </c>
      <c r="G10" s="633">
        <v>5</v>
      </c>
      <c r="H10" s="633"/>
      <c r="I10" s="633">
        <v>0.5</v>
      </c>
      <c r="J10" s="634"/>
      <c r="K10" s="634"/>
      <c r="L10" s="633"/>
      <c r="M10" s="633"/>
      <c r="N10" s="633"/>
      <c r="O10" s="633"/>
      <c r="P10" s="650"/>
      <c r="Q10" s="659"/>
      <c r="R10" s="583"/>
      <c r="S10" s="1047"/>
      <c r="T10" s="141"/>
      <c r="U10" s="141"/>
      <c r="V10" s="141"/>
      <c r="W10" s="141"/>
    </row>
    <row r="11" spans="1:97" ht="58" customHeight="1">
      <c r="B11" s="581"/>
      <c r="C11" s="673" t="s">
        <v>111</v>
      </c>
      <c r="D11" s="1045"/>
      <c r="E11" s="633">
        <v>1</v>
      </c>
      <c r="F11" s="633">
        <v>1</v>
      </c>
      <c r="G11" s="633">
        <v>3</v>
      </c>
      <c r="H11" s="633"/>
      <c r="I11" s="633">
        <v>0.5</v>
      </c>
      <c r="J11" s="634"/>
      <c r="K11" s="634"/>
      <c r="L11" s="633"/>
      <c r="M11" s="633"/>
      <c r="N11" s="633"/>
      <c r="O11" s="633"/>
      <c r="P11" s="650"/>
      <c r="Q11" s="659"/>
      <c r="R11" s="583"/>
      <c r="S11" s="1048"/>
      <c r="T11" s="141"/>
      <c r="U11" s="141"/>
      <c r="V11" s="141"/>
      <c r="W11" s="141"/>
    </row>
    <row r="12" spans="1:97" ht="14.5">
      <c r="B12" s="341">
        <v>6</v>
      </c>
      <c r="C12" s="670" t="s">
        <v>53</v>
      </c>
      <c r="D12" s="664"/>
      <c r="E12" s="635"/>
      <c r="F12" s="635"/>
      <c r="G12" s="635"/>
      <c r="H12" s="635"/>
      <c r="I12" s="635"/>
      <c r="J12" s="635"/>
      <c r="K12" s="635"/>
      <c r="L12" s="635"/>
      <c r="M12" s="635"/>
      <c r="N12" s="635"/>
      <c r="O12" s="635"/>
      <c r="P12" s="651"/>
      <c r="Q12" s="234"/>
      <c r="R12" s="73"/>
      <c r="S12" s="235"/>
      <c r="T12" s="20"/>
    </row>
    <row r="13" spans="1:97" ht="14.5">
      <c r="B13" s="341">
        <v>7</v>
      </c>
      <c r="C13" s="670" t="s">
        <v>54</v>
      </c>
      <c r="D13" s="664">
        <v>0.5</v>
      </c>
      <c r="E13" s="664">
        <v>0.5</v>
      </c>
      <c r="F13" s="635"/>
      <c r="G13" s="664">
        <v>0.5</v>
      </c>
      <c r="H13" s="635"/>
      <c r="I13" s="301"/>
      <c r="J13" s="635"/>
      <c r="K13" s="635"/>
      <c r="L13" s="635"/>
      <c r="M13" s="635"/>
      <c r="N13" s="635"/>
      <c r="O13" s="635"/>
      <c r="P13" s="651"/>
      <c r="Q13" s="234"/>
      <c r="R13" s="73"/>
      <c r="S13" s="235"/>
      <c r="T13" s="20"/>
    </row>
    <row r="14" spans="1:97" ht="14.5">
      <c r="B14" s="341">
        <v>8</v>
      </c>
      <c r="C14" s="670" t="s">
        <v>55</v>
      </c>
      <c r="D14" s="664"/>
      <c r="E14" s="635"/>
      <c r="F14" s="635"/>
      <c r="G14" s="635"/>
      <c r="H14" s="635"/>
      <c r="I14" s="635"/>
      <c r="J14" s="635"/>
      <c r="K14" s="635"/>
      <c r="L14" s="635"/>
      <c r="M14" s="635"/>
      <c r="N14" s="635"/>
      <c r="O14" s="635"/>
      <c r="P14" s="651"/>
      <c r="Q14" s="234"/>
      <c r="R14" s="73"/>
      <c r="S14" s="235"/>
      <c r="T14" s="20"/>
    </row>
    <row r="15" spans="1:97" ht="14.5">
      <c r="B15" s="341">
        <v>9</v>
      </c>
      <c r="C15" s="670" t="s">
        <v>56</v>
      </c>
      <c r="D15" s="682"/>
      <c r="E15" s="635">
        <v>1</v>
      </c>
      <c r="F15" s="635"/>
      <c r="G15" s="635">
        <v>1</v>
      </c>
      <c r="H15" s="635"/>
      <c r="I15" s="635"/>
      <c r="J15" s="635"/>
      <c r="K15" s="635"/>
      <c r="L15" s="635"/>
      <c r="M15" s="635"/>
      <c r="N15" s="635"/>
      <c r="O15" s="635"/>
      <c r="P15" s="651"/>
      <c r="Q15" s="234"/>
      <c r="R15" s="73"/>
      <c r="S15" s="235"/>
      <c r="T15" s="20"/>
    </row>
    <row r="16" spans="1:97" ht="14.5">
      <c r="B16" s="439">
        <v>10</v>
      </c>
      <c r="C16" s="674" t="s">
        <v>57</v>
      </c>
      <c r="D16" s="664"/>
      <c r="E16" s="301">
        <v>1</v>
      </c>
      <c r="F16" s="301"/>
      <c r="G16" s="301">
        <v>1</v>
      </c>
      <c r="H16" s="301"/>
      <c r="I16" s="301"/>
      <c r="J16" s="301"/>
      <c r="K16" s="301"/>
      <c r="L16" s="301"/>
      <c r="M16" s="301"/>
      <c r="N16" s="301"/>
      <c r="O16" s="301"/>
      <c r="P16" s="652">
        <v>3</v>
      </c>
      <c r="Q16" s="233"/>
      <c r="R16" s="62"/>
      <c r="S16" s="238"/>
      <c r="T16" s="20"/>
    </row>
    <row r="17" spans="2:22" ht="14.5">
      <c r="B17" s="675">
        <v>11</v>
      </c>
      <c r="C17" s="676" t="s">
        <v>112</v>
      </c>
      <c r="D17" s="664"/>
      <c r="E17" s="301">
        <v>1</v>
      </c>
      <c r="F17" s="301"/>
      <c r="G17" s="301">
        <v>1</v>
      </c>
      <c r="H17" s="301"/>
      <c r="I17" s="301"/>
      <c r="J17" s="301"/>
      <c r="K17" s="301"/>
      <c r="L17" s="301"/>
      <c r="M17" s="301"/>
      <c r="N17" s="301"/>
      <c r="O17" s="301"/>
      <c r="P17" s="652"/>
      <c r="Q17" s="233"/>
      <c r="R17" s="62"/>
      <c r="S17" s="238"/>
      <c r="T17" s="20"/>
    </row>
    <row r="18" spans="2:22" ht="14.5">
      <c r="B18" s="675">
        <v>12</v>
      </c>
      <c r="C18" s="676" t="s">
        <v>106</v>
      </c>
      <c r="D18" s="664">
        <v>0.5</v>
      </c>
      <c r="E18" s="301">
        <v>7</v>
      </c>
      <c r="F18" s="301"/>
      <c r="G18" s="301">
        <v>3</v>
      </c>
      <c r="H18" s="301"/>
      <c r="I18" s="301"/>
      <c r="J18" s="301"/>
      <c r="K18" s="301"/>
      <c r="L18" s="301"/>
      <c r="M18" s="301"/>
      <c r="N18" s="301"/>
      <c r="O18" s="301">
        <v>2</v>
      </c>
      <c r="P18" s="652"/>
      <c r="Q18" s="233"/>
      <c r="R18" s="62"/>
      <c r="S18" s="238"/>
      <c r="T18" s="20"/>
    </row>
    <row r="19" spans="2:22" ht="15" thickBot="1">
      <c r="B19" s="677">
        <v>13</v>
      </c>
      <c r="C19" s="678" t="s">
        <v>113</v>
      </c>
      <c r="D19" s="665">
        <v>1</v>
      </c>
      <c r="E19" s="636">
        <v>3</v>
      </c>
      <c r="F19" s="636">
        <v>1</v>
      </c>
      <c r="G19" s="636">
        <v>3</v>
      </c>
      <c r="H19" s="636"/>
      <c r="I19" s="636"/>
      <c r="J19" s="636"/>
      <c r="K19" s="636"/>
      <c r="L19" s="636"/>
      <c r="M19" s="636"/>
      <c r="N19" s="636"/>
      <c r="O19" s="636"/>
      <c r="P19" s="653"/>
      <c r="Q19" s="250"/>
      <c r="R19" s="251"/>
      <c r="S19" s="252"/>
      <c r="T19" s="20"/>
    </row>
    <row r="20" spans="2:22" ht="14.5">
      <c r="B20" s="320"/>
      <c r="C20" s="666" t="s">
        <v>26</v>
      </c>
      <c r="D20" s="642">
        <f t="shared" ref="D20:P20" si="0">SUM(D3:D19)</f>
        <v>4.5</v>
      </c>
      <c r="E20" s="643">
        <f t="shared" si="0"/>
        <v>20</v>
      </c>
      <c r="F20" s="643">
        <f t="shared" si="0"/>
        <v>6</v>
      </c>
      <c r="G20" s="643">
        <f t="shared" si="0"/>
        <v>22.5</v>
      </c>
      <c r="H20" s="643">
        <f t="shared" si="0"/>
        <v>0</v>
      </c>
      <c r="I20" s="643">
        <f t="shared" si="0"/>
        <v>1.5</v>
      </c>
      <c r="J20" s="643">
        <f t="shared" si="0"/>
        <v>0</v>
      </c>
      <c r="K20" s="643">
        <f t="shared" si="0"/>
        <v>0</v>
      </c>
      <c r="L20" s="643">
        <f t="shared" si="0"/>
        <v>0</v>
      </c>
      <c r="M20" s="643">
        <f t="shared" si="0"/>
        <v>0</v>
      </c>
      <c r="N20" s="643">
        <f t="shared" si="0"/>
        <v>0</v>
      </c>
      <c r="O20" s="643">
        <f t="shared" si="0"/>
        <v>2</v>
      </c>
      <c r="P20" s="644">
        <f t="shared" si="0"/>
        <v>3</v>
      </c>
      <c r="Q20" s="445">
        <f>SUM(Q3:Q18)</f>
        <v>0</v>
      </c>
      <c r="R20" s="446">
        <f>SUM(R3:R18)</f>
        <v>0</v>
      </c>
      <c r="S20" s="660">
        <f>SUM(S3:S18)</f>
        <v>0</v>
      </c>
      <c r="T20" s="19">
        <f>SUM(D20:S20)</f>
        <v>59.5</v>
      </c>
    </row>
    <row r="21" spans="2:22" ht="14.5">
      <c r="B21" s="341"/>
      <c r="C21" s="451" t="s">
        <v>27</v>
      </c>
      <c r="D21" s="452">
        <v>14000</v>
      </c>
      <c r="E21" s="453">
        <v>8500</v>
      </c>
      <c r="F21" s="453">
        <v>14000</v>
      </c>
      <c r="G21" s="453">
        <v>14000</v>
      </c>
      <c r="H21" s="453">
        <v>8500</v>
      </c>
      <c r="I21" s="453">
        <v>8500</v>
      </c>
      <c r="J21" s="453">
        <v>8500</v>
      </c>
      <c r="K21" s="453">
        <v>8500</v>
      </c>
      <c r="L21" s="453">
        <v>8500</v>
      </c>
      <c r="M21" s="453">
        <v>14000</v>
      </c>
      <c r="N21" s="453">
        <v>8500</v>
      </c>
      <c r="O21" s="453">
        <v>8500</v>
      </c>
      <c r="P21" s="454">
        <v>8500</v>
      </c>
      <c r="Q21" s="219">
        <v>14000</v>
      </c>
      <c r="R21" s="220">
        <v>14000</v>
      </c>
      <c r="S21" s="661">
        <v>7500</v>
      </c>
      <c r="T21" s="112"/>
    </row>
    <row r="22" spans="2:22" ht="16.5" thickBot="1">
      <c r="B22" s="456"/>
      <c r="C22" s="457" t="s">
        <v>28</v>
      </c>
      <c r="D22" s="458">
        <f t="shared" ref="D22:S22" si="1">D20*D21</f>
        <v>63000</v>
      </c>
      <c r="E22" s="459">
        <f t="shared" si="1"/>
        <v>170000</v>
      </c>
      <c r="F22" s="459">
        <f t="shared" si="1"/>
        <v>84000</v>
      </c>
      <c r="G22" s="459">
        <f t="shared" si="1"/>
        <v>315000</v>
      </c>
      <c r="H22" s="459">
        <f t="shared" si="1"/>
        <v>0</v>
      </c>
      <c r="I22" s="459">
        <f t="shared" si="1"/>
        <v>12750</v>
      </c>
      <c r="J22" s="459">
        <f t="shared" si="1"/>
        <v>0</v>
      </c>
      <c r="K22" s="459">
        <f t="shared" si="1"/>
        <v>0</v>
      </c>
      <c r="L22" s="459">
        <f t="shared" si="1"/>
        <v>0</v>
      </c>
      <c r="M22" s="459">
        <f t="shared" si="1"/>
        <v>0</v>
      </c>
      <c r="N22" s="459">
        <f t="shared" si="1"/>
        <v>0</v>
      </c>
      <c r="O22" s="459">
        <f t="shared" si="1"/>
        <v>17000</v>
      </c>
      <c r="P22" s="460">
        <f t="shared" si="1"/>
        <v>25500</v>
      </c>
      <c r="Q22" s="463">
        <f t="shared" si="1"/>
        <v>0</v>
      </c>
      <c r="R22" s="662">
        <f t="shared" si="1"/>
        <v>0</v>
      </c>
      <c r="S22" s="663">
        <f t="shared" si="1"/>
        <v>0</v>
      </c>
      <c r="T22" s="243">
        <f>SUM(D22:S22)</f>
        <v>687250</v>
      </c>
      <c r="U22" s="281">
        <f>T22*0.15</f>
        <v>103087.5</v>
      </c>
      <c r="V22" s="281">
        <f>T22+U22</f>
        <v>790337.5</v>
      </c>
    </row>
    <row r="23" spans="2:22" ht="13.5" customHeight="1">
      <c r="V23" s="281"/>
    </row>
    <row r="24" spans="2:22" ht="14.5">
      <c r="D24" s="19">
        <f t="shared" ref="D24:P24" si="2">D20*8</f>
        <v>36</v>
      </c>
      <c r="E24" s="19">
        <f t="shared" si="2"/>
        <v>160</v>
      </c>
      <c r="F24" s="19">
        <f t="shared" si="2"/>
        <v>48</v>
      </c>
      <c r="G24" s="19">
        <f t="shared" si="2"/>
        <v>180</v>
      </c>
      <c r="H24" s="19">
        <f t="shared" si="2"/>
        <v>0</v>
      </c>
      <c r="I24" s="19">
        <f t="shared" si="2"/>
        <v>12</v>
      </c>
      <c r="J24" s="19">
        <f t="shared" si="2"/>
        <v>0</v>
      </c>
      <c r="K24" s="19">
        <f t="shared" si="2"/>
        <v>0</v>
      </c>
      <c r="L24" s="19">
        <f t="shared" si="2"/>
        <v>0</v>
      </c>
      <c r="M24" s="19">
        <f t="shared" si="2"/>
        <v>0</v>
      </c>
      <c r="N24" s="19">
        <f t="shared" si="2"/>
        <v>0</v>
      </c>
      <c r="O24" s="19">
        <f t="shared" si="2"/>
        <v>16</v>
      </c>
      <c r="P24" s="19">
        <f t="shared" si="2"/>
        <v>24</v>
      </c>
      <c r="R24" s="19">
        <f>R20*8</f>
        <v>0</v>
      </c>
      <c r="S24" s="19">
        <f>S20*8</f>
        <v>0</v>
      </c>
    </row>
    <row r="27" spans="2:22" ht="43.5">
      <c r="C27" s="228" t="s">
        <v>107</v>
      </c>
    </row>
    <row r="28" spans="2:22" ht="14.5"/>
  </sheetData>
  <mergeCells count="3">
    <mergeCell ref="Q1:S1"/>
    <mergeCell ref="D9:D11"/>
    <mergeCell ref="S9:S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D82DD-FD57-4B86-B1A6-8F4807B42125}">
  <dimension ref="A1:DX52"/>
  <sheetViews>
    <sheetView workbookViewId="0">
      <pane xSplit="3" ySplit="2" topLeftCell="Q29" activePane="bottomRight" state="frozen"/>
      <selection pane="topRight" activeCell="D1" sqref="D1"/>
      <selection pane="bottomLeft" activeCell="A3" sqref="A3"/>
      <selection pane="bottomRight" activeCell="R51" sqref="R51"/>
    </sheetView>
  </sheetViews>
  <sheetFormatPr defaultColWidth="8.6328125" defaultRowHeight="13.5" customHeight="1"/>
  <cols>
    <col min="1" max="1" width="4.36328125" style="20" customWidth="1"/>
    <col min="2" max="2" width="5.08984375" style="87" customWidth="1"/>
    <col min="3" max="3" width="58.6328125" style="20" customWidth="1"/>
    <col min="4" max="4" width="11.90625" style="19" customWidth="1"/>
    <col min="5" max="5" width="12" style="19" customWidth="1"/>
    <col min="6" max="6" width="12.6328125" style="19" customWidth="1"/>
    <col min="7" max="7" width="14.90625" style="19" customWidth="1"/>
    <col min="8" max="8" width="16.6328125" style="19" customWidth="1"/>
    <col min="9" max="10" width="11.6328125" style="19" customWidth="1"/>
    <col min="11" max="11" width="12.6328125" style="19" customWidth="1"/>
    <col min="12" max="12" width="11.90625" style="19" customWidth="1"/>
    <col min="13" max="13" width="11.36328125" style="19" customWidth="1"/>
    <col min="14" max="14" width="9.90625" style="19" customWidth="1"/>
    <col min="15" max="15" width="11.36328125" style="19" customWidth="1"/>
    <col min="16" max="18" width="12.6328125" style="19" customWidth="1"/>
    <col min="19" max="49" width="13.08984375" style="19" customWidth="1"/>
    <col min="50" max="50" width="22.36328125" style="19" bestFit="1" customWidth="1"/>
    <col min="51" max="51" width="17.36328125" style="19" customWidth="1"/>
    <col min="52" max="52" width="11.08984375" style="20" bestFit="1" customWidth="1"/>
    <col min="53" max="53" width="15.08984375" style="20" customWidth="1"/>
    <col min="54" max="16384" width="8.6328125" style="20"/>
  </cols>
  <sheetData>
    <row r="1" spans="1:128" ht="15" customHeight="1">
      <c r="Q1" s="1037" t="s">
        <v>60</v>
      </c>
      <c r="R1" s="1038"/>
      <c r="S1" s="1039"/>
      <c r="T1" s="1038" t="s">
        <v>61</v>
      </c>
      <c r="U1" s="1038"/>
      <c r="V1" s="1040" t="s">
        <v>62</v>
      </c>
      <c r="W1" s="1033"/>
      <c r="X1" s="1033"/>
      <c r="Y1" s="1033"/>
      <c r="Z1" s="1033"/>
      <c r="AA1" s="1033"/>
      <c r="AB1" s="1041"/>
      <c r="AC1" s="1033" t="s">
        <v>63</v>
      </c>
      <c r="AD1" s="1033"/>
      <c r="AE1" s="1033"/>
      <c r="AF1" s="1033"/>
      <c r="AG1" s="1033"/>
      <c r="AH1" s="1033"/>
      <c r="AI1" s="1041"/>
      <c r="AJ1" s="1033" t="s">
        <v>64</v>
      </c>
      <c r="AK1" s="1033"/>
      <c r="AL1" s="1033"/>
      <c r="AM1" s="1033"/>
      <c r="AN1" s="1033"/>
      <c r="AO1" s="1033"/>
      <c r="AP1" s="1041"/>
      <c r="AQ1" s="1033" t="s">
        <v>65</v>
      </c>
      <c r="AR1" s="1033"/>
      <c r="AS1" s="1033"/>
      <c r="AT1" s="1033"/>
      <c r="AU1" s="1033"/>
      <c r="AV1" s="1033"/>
      <c r="AW1" s="1033"/>
      <c r="AX1" s="285" t="s">
        <v>66</v>
      </c>
      <c r="AY1" s="20"/>
    </row>
    <row r="2" spans="1:128" ht="29">
      <c r="B2" s="312" t="s">
        <v>29</v>
      </c>
      <c r="C2" s="313" t="s">
        <v>30</v>
      </c>
      <c r="D2" s="314" t="s">
        <v>3</v>
      </c>
      <c r="E2" s="315" t="s">
        <v>31</v>
      </c>
      <c r="F2" s="315" t="s">
        <v>5</v>
      </c>
      <c r="G2" s="315" t="s">
        <v>67</v>
      </c>
      <c r="H2" s="315" t="s">
        <v>32</v>
      </c>
      <c r="I2" s="315" t="s">
        <v>7</v>
      </c>
      <c r="J2" s="315" t="s">
        <v>68</v>
      </c>
      <c r="K2" s="315" t="s">
        <v>69</v>
      </c>
      <c r="L2" s="315" t="s">
        <v>8</v>
      </c>
      <c r="M2" s="315" t="s">
        <v>9</v>
      </c>
      <c r="N2" s="315" t="s">
        <v>10</v>
      </c>
      <c r="O2" s="315" t="s">
        <v>35</v>
      </c>
      <c r="P2" s="316" t="s">
        <v>11</v>
      </c>
      <c r="Q2" s="317" t="s">
        <v>70</v>
      </c>
      <c r="R2" s="318" t="s">
        <v>71</v>
      </c>
      <c r="S2" s="319" t="s">
        <v>34</v>
      </c>
      <c r="T2" s="269" t="s">
        <v>72</v>
      </c>
      <c r="U2" s="276" t="s">
        <v>73</v>
      </c>
      <c r="V2" s="274" t="s">
        <v>74</v>
      </c>
      <c r="W2" s="275" t="s">
        <v>31</v>
      </c>
      <c r="X2" s="275" t="s">
        <v>6</v>
      </c>
      <c r="Y2" s="275" t="s">
        <v>75</v>
      </c>
      <c r="Z2" s="275" t="s">
        <v>7</v>
      </c>
      <c r="AA2" s="275" t="s">
        <v>76</v>
      </c>
      <c r="AB2" s="280" t="s">
        <v>77</v>
      </c>
      <c r="AC2" s="274" t="s">
        <v>74</v>
      </c>
      <c r="AD2" s="275" t="s">
        <v>31</v>
      </c>
      <c r="AE2" s="275" t="s">
        <v>6</v>
      </c>
      <c r="AF2" s="275" t="s">
        <v>75</v>
      </c>
      <c r="AG2" s="275" t="s">
        <v>7</v>
      </c>
      <c r="AH2" s="275" t="s">
        <v>76</v>
      </c>
      <c r="AI2" s="280" t="s">
        <v>77</v>
      </c>
      <c r="AJ2" s="274" t="s">
        <v>74</v>
      </c>
      <c r="AK2" s="275" t="s">
        <v>31</v>
      </c>
      <c r="AL2" s="275" t="s">
        <v>6</v>
      </c>
      <c r="AM2" s="275" t="s">
        <v>75</v>
      </c>
      <c r="AN2" s="275" t="s">
        <v>7</v>
      </c>
      <c r="AO2" s="275" t="s">
        <v>76</v>
      </c>
      <c r="AP2" s="280" t="s">
        <v>77</v>
      </c>
      <c r="AQ2" s="274" t="s">
        <v>74</v>
      </c>
      <c r="AR2" s="275" t="s">
        <v>31</v>
      </c>
      <c r="AS2" s="275" t="s">
        <v>6</v>
      </c>
      <c r="AT2" s="275" t="s">
        <v>75</v>
      </c>
      <c r="AU2" s="275" t="s">
        <v>7</v>
      </c>
      <c r="AV2" s="275" t="s">
        <v>76</v>
      </c>
      <c r="AW2" s="280" t="s">
        <v>77</v>
      </c>
      <c r="AX2" s="286" t="s">
        <v>78</v>
      </c>
      <c r="AY2" s="20"/>
    </row>
    <row r="3" spans="1:128" ht="14.5">
      <c r="B3" s="320">
        <v>1</v>
      </c>
      <c r="C3" s="321" t="s">
        <v>36</v>
      </c>
      <c r="D3" s="233">
        <v>2</v>
      </c>
      <c r="E3" s="62">
        <v>2</v>
      </c>
      <c r="F3" s="322"/>
      <c r="G3" s="322"/>
      <c r="H3" s="322"/>
      <c r="I3" s="322"/>
      <c r="J3" s="322"/>
      <c r="K3" s="322"/>
      <c r="L3" s="322"/>
      <c r="M3" s="322"/>
      <c r="N3" s="322"/>
      <c r="O3" s="322"/>
      <c r="P3" s="323"/>
      <c r="Q3" s="324"/>
      <c r="R3" s="325"/>
      <c r="S3" s="326"/>
      <c r="T3" s="327"/>
      <c r="U3" s="328"/>
      <c r="V3" s="329"/>
      <c r="W3" s="99"/>
      <c r="X3" s="99"/>
      <c r="Y3" s="99"/>
      <c r="Z3" s="99"/>
      <c r="AA3" s="99"/>
      <c r="AB3" s="330"/>
      <c r="AC3" s="329"/>
      <c r="AD3" s="99"/>
      <c r="AE3" s="99"/>
      <c r="AF3" s="99"/>
      <c r="AG3" s="99"/>
      <c r="AH3" s="99"/>
      <c r="AI3" s="330"/>
      <c r="AJ3" s="329"/>
      <c r="AK3" s="99"/>
      <c r="AL3" s="99"/>
      <c r="AM3" s="99"/>
      <c r="AN3" s="99"/>
      <c r="AO3" s="99"/>
      <c r="AP3" s="330"/>
      <c r="AQ3" s="329"/>
      <c r="AR3" s="99"/>
      <c r="AS3" s="99"/>
      <c r="AT3" s="99"/>
      <c r="AU3" s="99"/>
      <c r="AV3" s="99"/>
      <c r="AW3" s="330"/>
      <c r="AX3" s="331"/>
      <c r="AY3" s="20"/>
    </row>
    <row r="4" spans="1:128" s="108" customFormat="1" ht="14.5">
      <c r="A4" s="20"/>
      <c r="B4" s="332">
        <v>2</v>
      </c>
      <c r="C4" s="333" t="s">
        <v>79</v>
      </c>
      <c r="D4" s="229">
        <v>1</v>
      </c>
      <c r="E4" s="230">
        <v>0.5</v>
      </c>
      <c r="F4" s="334"/>
      <c r="G4" s="334"/>
      <c r="H4" s="334"/>
      <c r="I4" s="334"/>
      <c r="J4" s="231"/>
      <c r="K4" s="231"/>
      <c r="L4" s="231"/>
      <c r="M4" s="231"/>
      <c r="N4" s="231"/>
      <c r="O4" s="231"/>
      <c r="P4" s="232"/>
      <c r="Q4" s="335"/>
      <c r="R4" s="334"/>
      <c r="S4" s="336"/>
      <c r="T4" s="337"/>
      <c r="U4" s="338"/>
      <c r="V4" s="337"/>
      <c r="W4" s="105"/>
      <c r="X4" s="105"/>
      <c r="Y4" s="105"/>
      <c r="Z4" s="105"/>
      <c r="AA4" s="105"/>
      <c r="AB4" s="338"/>
      <c r="AC4" s="337"/>
      <c r="AD4" s="105"/>
      <c r="AE4" s="105"/>
      <c r="AF4" s="105"/>
      <c r="AG4" s="105"/>
      <c r="AH4" s="105"/>
      <c r="AI4" s="338"/>
      <c r="AJ4" s="337"/>
      <c r="AK4" s="105"/>
      <c r="AL4" s="105"/>
      <c r="AM4" s="105"/>
      <c r="AN4" s="105"/>
      <c r="AO4" s="105"/>
      <c r="AP4" s="338"/>
      <c r="AQ4" s="337"/>
      <c r="AR4" s="105"/>
      <c r="AS4" s="105"/>
      <c r="AT4" s="105"/>
      <c r="AU4" s="105"/>
      <c r="AV4" s="105"/>
      <c r="AW4" s="338"/>
      <c r="AX4" s="339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</row>
    <row r="5" spans="1:128" s="108" customFormat="1" ht="14.5">
      <c r="A5" s="20"/>
      <c r="B5" s="332">
        <v>2</v>
      </c>
      <c r="C5" s="333" t="s">
        <v>80</v>
      </c>
      <c r="D5" s="229">
        <v>5</v>
      </c>
      <c r="E5" s="230">
        <v>2</v>
      </c>
      <c r="F5" s="334"/>
      <c r="G5" s="334"/>
      <c r="H5" s="334"/>
      <c r="I5" s="334"/>
      <c r="J5" s="334"/>
      <c r="K5" s="334"/>
      <c r="L5" s="334"/>
      <c r="M5" s="334"/>
      <c r="N5" s="334"/>
      <c r="O5" s="334"/>
      <c r="P5" s="340"/>
      <c r="Q5" s="335"/>
      <c r="R5" s="334"/>
      <c r="S5" s="336"/>
      <c r="T5" s="337"/>
      <c r="U5" s="338"/>
      <c r="V5" s="337"/>
      <c r="W5" s="105"/>
      <c r="X5" s="105"/>
      <c r="Y5" s="105"/>
      <c r="Z5" s="105"/>
      <c r="AA5" s="105"/>
      <c r="AB5" s="338"/>
      <c r="AC5" s="337"/>
      <c r="AD5" s="105"/>
      <c r="AE5" s="105"/>
      <c r="AF5" s="105"/>
      <c r="AG5" s="105"/>
      <c r="AH5" s="105"/>
      <c r="AI5" s="338"/>
      <c r="AJ5" s="337"/>
      <c r="AK5" s="105"/>
      <c r="AL5" s="105"/>
      <c r="AM5" s="105"/>
      <c r="AN5" s="105"/>
      <c r="AO5" s="105"/>
      <c r="AP5" s="338"/>
      <c r="AQ5" s="337"/>
      <c r="AR5" s="105"/>
      <c r="AS5" s="105"/>
      <c r="AT5" s="105"/>
      <c r="AU5" s="105"/>
      <c r="AV5" s="105"/>
      <c r="AW5" s="338"/>
      <c r="AX5" s="339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</row>
    <row r="6" spans="1:128" ht="14.5">
      <c r="B6" s="341">
        <v>3</v>
      </c>
      <c r="C6" s="342" t="s">
        <v>38</v>
      </c>
      <c r="D6" s="233">
        <v>0.5</v>
      </c>
      <c r="E6" s="62">
        <v>1</v>
      </c>
      <c r="F6" s="322">
        <v>1</v>
      </c>
      <c r="G6" s="322"/>
      <c r="H6" s="322"/>
      <c r="I6" s="322">
        <v>1</v>
      </c>
      <c r="J6" s="322"/>
      <c r="K6" s="322"/>
      <c r="L6" s="322"/>
      <c r="M6" s="322"/>
      <c r="N6" s="322"/>
      <c r="O6" s="322"/>
      <c r="P6" s="323"/>
      <c r="Q6" s="343"/>
      <c r="R6" s="322">
        <v>1</v>
      </c>
      <c r="S6" s="344"/>
      <c r="T6" s="345"/>
      <c r="U6" s="346"/>
      <c r="V6" s="239"/>
      <c r="W6" s="22"/>
      <c r="X6" s="22"/>
      <c r="Y6" s="22"/>
      <c r="Z6" s="22"/>
      <c r="AA6" s="22"/>
      <c r="AB6" s="76"/>
      <c r="AC6" s="239"/>
      <c r="AD6" s="22"/>
      <c r="AE6" s="22"/>
      <c r="AF6" s="22"/>
      <c r="AG6" s="22"/>
      <c r="AH6" s="22"/>
      <c r="AI6" s="76"/>
      <c r="AJ6" s="239"/>
      <c r="AK6" s="22"/>
      <c r="AL6" s="22"/>
      <c r="AM6" s="22"/>
      <c r="AN6" s="22"/>
      <c r="AO6" s="22"/>
      <c r="AP6" s="76"/>
      <c r="AQ6" s="239"/>
      <c r="AR6" s="22"/>
      <c r="AS6" s="22"/>
      <c r="AT6" s="22"/>
      <c r="AU6" s="22"/>
      <c r="AV6" s="22"/>
      <c r="AW6" s="76"/>
      <c r="AX6" s="287"/>
      <c r="AY6" s="20"/>
    </row>
    <row r="7" spans="1:128" ht="14.5">
      <c r="B7" s="341">
        <v>4</v>
      </c>
      <c r="C7" s="342" t="s">
        <v>81</v>
      </c>
      <c r="D7" s="233">
        <v>2</v>
      </c>
      <c r="E7" s="62">
        <v>3</v>
      </c>
      <c r="F7" s="322"/>
      <c r="G7" s="322"/>
      <c r="H7" s="322"/>
      <c r="I7" s="322"/>
      <c r="J7" s="322"/>
      <c r="K7" s="322"/>
      <c r="L7" s="322"/>
      <c r="M7" s="322"/>
      <c r="N7" s="322"/>
      <c r="O7" s="322"/>
      <c r="P7" s="323"/>
      <c r="Q7" s="343"/>
      <c r="R7" s="322"/>
      <c r="S7" s="344"/>
      <c r="T7" s="345"/>
      <c r="U7" s="346"/>
      <c r="V7" s="239"/>
      <c r="W7" s="113"/>
      <c r="X7" s="113"/>
      <c r="Y7" s="113"/>
      <c r="Z7" s="113"/>
      <c r="AA7" s="113"/>
      <c r="AB7" s="346"/>
      <c r="AC7" s="239"/>
      <c r="AD7" s="113"/>
      <c r="AE7" s="113"/>
      <c r="AF7" s="113"/>
      <c r="AG7" s="113"/>
      <c r="AH7" s="113"/>
      <c r="AI7" s="346"/>
      <c r="AJ7" s="239"/>
      <c r="AK7" s="113"/>
      <c r="AL7" s="113"/>
      <c r="AM7" s="113"/>
      <c r="AN7" s="113"/>
      <c r="AO7" s="113"/>
      <c r="AP7" s="346"/>
      <c r="AQ7" s="239"/>
      <c r="AR7" s="113"/>
      <c r="AS7" s="113"/>
      <c r="AT7" s="113"/>
      <c r="AU7" s="113"/>
      <c r="AV7" s="113"/>
      <c r="AW7" s="346"/>
      <c r="AX7" s="287"/>
      <c r="AY7" s="20"/>
    </row>
    <row r="8" spans="1:128" s="120" customFormat="1" ht="14.5">
      <c r="A8" s="20"/>
      <c r="B8" s="294">
        <v>5</v>
      </c>
      <c r="C8" s="347" t="s">
        <v>61</v>
      </c>
      <c r="D8" s="348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64"/>
      <c r="Q8" s="349"/>
      <c r="R8" s="254"/>
      <c r="S8" s="267"/>
      <c r="T8" s="350"/>
      <c r="U8" s="351"/>
      <c r="V8" s="350"/>
      <c r="W8" s="118"/>
      <c r="X8" s="118"/>
      <c r="Y8" s="118"/>
      <c r="Z8" s="118"/>
      <c r="AA8" s="118"/>
      <c r="AB8" s="351"/>
      <c r="AC8" s="350"/>
      <c r="AD8" s="118"/>
      <c r="AE8" s="118"/>
      <c r="AF8" s="118"/>
      <c r="AG8" s="118"/>
      <c r="AH8" s="118"/>
      <c r="AI8" s="351"/>
      <c r="AJ8" s="350"/>
      <c r="AK8" s="118"/>
      <c r="AL8" s="118"/>
      <c r="AM8" s="118"/>
      <c r="AN8" s="118"/>
      <c r="AO8" s="118"/>
      <c r="AP8" s="351"/>
      <c r="AQ8" s="350"/>
      <c r="AR8" s="118"/>
      <c r="AS8" s="118"/>
      <c r="AT8" s="118"/>
      <c r="AU8" s="118"/>
      <c r="AV8" s="118"/>
      <c r="AW8" s="351"/>
      <c r="AX8" s="352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</row>
    <row r="9" spans="1:128" s="128" customFormat="1" ht="14.5">
      <c r="A9"/>
      <c r="B9" s="295">
        <v>5.0999999999999996</v>
      </c>
      <c r="C9" s="353" t="s">
        <v>40</v>
      </c>
      <c r="D9" s="266"/>
      <c r="E9" s="246"/>
      <c r="F9" s="246"/>
      <c r="G9" s="246"/>
      <c r="H9" s="246"/>
      <c r="I9" s="246"/>
      <c r="J9" s="354"/>
      <c r="K9" s="354"/>
      <c r="L9" s="354"/>
      <c r="M9" s="354"/>
      <c r="N9" s="354"/>
      <c r="O9" s="354"/>
      <c r="P9" s="355"/>
      <c r="Q9" s="356"/>
      <c r="R9" s="357"/>
      <c r="S9" s="358"/>
      <c r="T9" s="359">
        <v>6</v>
      </c>
      <c r="U9" s="360">
        <v>3</v>
      </c>
      <c r="V9" s="359"/>
      <c r="W9" s="127"/>
      <c r="X9" s="127"/>
      <c r="Y9" s="127"/>
      <c r="Z9" s="127"/>
      <c r="AA9" s="127"/>
      <c r="AB9" s="360"/>
      <c r="AC9" s="359"/>
      <c r="AD9" s="127"/>
      <c r="AE9" s="127"/>
      <c r="AF9" s="127"/>
      <c r="AG9" s="127"/>
      <c r="AH9" s="127"/>
      <c r="AI9" s="360"/>
      <c r="AJ9" s="359"/>
      <c r="AK9" s="127"/>
      <c r="AL9" s="127"/>
      <c r="AM9" s="127"/>
      <c r="AN9" s="127"/>
      <c r="AO9" s="127"/>
      <c r="AP9" s="360"/>
      <c r="AQ9" s="359"/>
      <c r="AR9" s="127"/>
      <c r="AS9" s="127"/>
      <c r="AT9" s="127"/>
      <c r="AU9" s="127"/>
      <c r="AV9" s="127"/>
      <c r="AW9" s="360"/>
      <c r="AX9" s="361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</row>
    <row r="10" spans="1:128" s="128" customFormat="1" ht="130.5">
      <c r="A10"/>
      <c r="B10" s="295">
        <v>5.2</v>
      </c>
      <c r="C10" s="353" t="s">
        <v>82</v>
      </c>
      <c r="D10" s="266">
        <v>2</v>
      </c>
      <c r="E10" s="246">
        <v>3</v>
      </c>
      <c r="F10" s="246">
        <v>2</v>
      </c>
      <c r="G10" s="246">
        <v>5</v>
      </c>
      <c r="H10" s="357"/>
      <c r="I10" s="246">
        <v>2</v>
      </c>
      <c r="J10" s="354"/>
      <c r="K10" s="246">
        <v>1</v>
      </c>
      <c r="L10" s="246"/>
      <c r="M10" s="246"/>
      <c r="N10" s="354"/>
      <c r="O10" s="354"/>
      <c r="P10" s="355"/>
      <c r="Q10" s="362"/>
      <c r="R10" s="246"/>
      <c r="S10" s="358"/>
      <c r="T10" s="359"/>
      <c r="U10" s="360"/>
      <c r="V10" s="359"/>
      <c r="W10" s="127"/>
      <c r="X10" s="127"/>
      <c r="Y10" s="127"/>
      <c r="Z10" s="127"/>
      <c r="AA10" s="127"/>
      <c r="AB10" s="360"/>
      <c r="AC10" s="359"/>
      <c r="AD10" s="127"/>
      <c r="AE10" s="127"/>
      <c r="AF10" s="127"/>
      <c r="AG10" s="127"/>
      <c r="AH10" s="127"/>
      <c r="AI10" s="360"/>
      <c r="AJ10" s="359"/>
      <c r="AK10" s="127"/>
      <c r="AL10" s="127"/>
      <c r="AM10" s="127"/>
      <c r="AN10" s="127"/>
      <c r="AO10" s="127"/>
      <c r="AP10" s="360"/>
      <c r="AQ10" s="359"/>
      <c r="AR10" s="127"/>
      <c r="AS10" s="127"/>
      <c r="AT10" s="127"/>
      <c r="AU10" s="127"/>
      <c r="AV10" s="127"/>
      <c r="AW10" s="360"/>
      <c r="AX10" s="361"/>
      <c r="AY10" s="129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</row>
    <row r="11" spans="1:128" s="135" customFormat="1" ht="29">
      <c r="A11" s="20"/>
      <c r="B11" s="363">
        <v>6</v>
      </c>
      <c r="C11" s="364" t="s">
        <v>83</v>
      </c>
      <c r="D11" s="365"/>
      <c r="E11" s="366"/>
      <c r="F11" s="366"/>
      <c r="G11" s="366"/>
      <c r="H11" s="366"/>
      <c r="I11" s="366"/>
      <c r="J11" s="366"/>
      <c r="K11" s="366"/>
      <c r="L11" s="366"/>
      <c r="M11" s="366"/>
      <c r="N11" s="366"/>
      <c r="O11" s="366"/>
      <c r="P11" s="367"/>
      <c r="Q11" s="368"/>
      <c r="R11" s="366"/>
      <c r="S11" s="369"/>
      <c r="T11" s="370"/>
      <c r="U11" s="371"/>
      <c r="V11" s="370"/>
      <c r="W11" s="198"/>
      <c r="X11" s="198"/>
      <c r="Y11" s="198"/>
      <c r="Z11" s="198"/>
      <c r="AA11" s="198"/>
      <c r="AB11" s="371"/>
      <c r="AC11" s="370"/>
      <c r="AD11" s="198"/>
      <c r="AE11" s="198"/>
      <c r="AF11" s="198"/>
      <c r="AG11" s="198"/>
      <c r="AH11" s="198"/>
      <c r="AI11" s="371"/>
      <c r="AJ11" s="370"/>
      <c r="AK11" s="198"/>
      <c r="AL11" s="198"/>
      <c r="AM11" s="198"/>
      <c r="AN11" s="198"/>
      <c r="AO11" s="198"/>
      <c r="AP11" s="371"/>
      <c r="AQ11" s="370"/>
      <c r="AR11" s="198"/>
      <c r="AS11" s="198"/>
      <c r="AT11" s="198"/>
      <c r="AU11" s="198"/>
      <c r="AV11" s="198"/>
      <c r="AW11" s="371"/>
      <c r="AX11" s="372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</row>
    <row r="12" spans="1:128" ht="18.75" customHeight="1">
      <c r="B12" s="373">
        <v>6.1</v>
      </c>
      <c r="C12" s="374" t="s">
        <v>84</v>
      </c>
      <c r="D12" s="375"/>
      <c r="E12" s="376"/>
      <c r="F12" s="376"/>
      <c r="G12" s="376"/>
      <c r="H12" s="376"/>
      <c r="I12" s="376"/>
      <c r="J12" s="377"/>
      <c r="K12" s="377"/>
      <c r="L12" s="376"/>
      <c r="M12" s="376"/>
      <c r="N12" s="376"/>
      <c r="O12" s="377"/>
      <c r="P12" s="378"/>
      <c r="Q12" s="379"/>
      <c r="R12" s="376"/>
      <c r="S12" s="380"/>
      <c r="T12" s="381"/>
      <c r="U12" s="382"/>
      <c r="V12" s="381"/>
      <c r="W12" s="133"/>
      <c r="X12" s="133"/>
      <c r="Y12" s="133"/>
      <c r="Z12" s="133"/>
      <c r="AA12" s="133"/>
      <c r="AB12" s="382"/>
      <c r="AC12" s="381"/>
      <c r="AD12" s="133"/>
      <c r="AE12" s="133"/>
      <c r="AF12" s="133"/>
      <c r="AG12" s="133"/>
      <c r="AH12" s="133"/>
      <c r="AI12" s="382"/>
      <c r="AJ12" s="381"/>
      <c r="AK12" s="133"/>
      <c r="AL12" s="133"/>
      <c r="AM12" s="133"/>
      <c r="AN12" s="133"/>
      <c r="AO12" s="133"/>
      <c r="AP12" s="382"/>
      <c r="AQ12" s="381"/>
      <c r="AR12" s="133"/>
      <c r="AS12" s="133"/>
      <c r="AT12" s="133"/>
      <c r="AU12" s="133"/>
      <c r="AV12" s="133"/>
      <c r="AW12" s="382"/>
      <c r="AX12" s="383"/>
      <c r="AY12" s="20"/>
    </row>
    <row r="13" spans="1:128" ht="87" customHeight="1">
      <c r="B13" s="373"/>
      <c r="C13" s="374" t="s">
        <v>85</v>
      </c>
      <c r="D13" s="375"/>
      <c r="E13" s="376"/>
      <c r="F13" s="376"/>
      <c r="G13" s="376"/>
      <c r="H13" s="376"/>
      <c r="I13" s="376"/>
      <c r="J13" s="377"/>
      <c r="K13" s="377"/>
      <c r="L13" s="376"/>
      <c r="M13" s="376"/>
      <c r="N13" s="376"/>
      <c r="O13" s="377"/>
      <c r="P13" s="378"/>
      <c r="Q13" s="379">
        <v>5</v>
      </c>
      <c r="R13" s="376">
        <v>8</v>
      </c>
      <c r="S13" s="380">
        <v>6</v>
      </c>
      <c r="T13" s="381"/>
      <c r="U13" s="382"/>
      <c r="V13" s="381"/>
      <c r="W13" s="133"/>
      <c r="X13" s="133"/>
      <c r="Y13" s="133"/>
      <c r="Z13" s="133"/>
      <c r="AA13" s="133"/>
      <c r="AB13" s="382"/>
      <c r="AC13" s="381"/>
      <c r="AD13" s="133"/>
      <c r="AE13" s="133"/>
      <c r="AF13" s="133"/>
      <c r="AG13" s="133"/>
      <c r="AH13" s="133"/>
      <c r="AI13" s="382"/>
      <c r="AJ13" s="381"/>
      <c r="AK13" s="133"/>
      <c r="AL13" s="133"/>
      <c r="AM13" s="133"/>
      <c r="AN13" s="133"/>
      <c r="AO13" s="133"/>
      <c r="AP13" s="382"/>
      <c r="AQ13" s="381"/>
      <c r="AR13" s="133"/>
      <c r="AS13" s="133"/>
      <c r="AT13" s="133"/>
      <c r="AU13" s="133"/>
      <c r="AV13" s="133"/>
      <c r="AW13" s="382"/>
      <c r="AX13" s="383"/>
      <c r="AY13" s="20"/>
    </row>
    <row r="14" spans="1:128" ht="18.5">
      <c r="B14" s="373">
        <v>6.2</v>
      </c>
      <c r="C14" s="374" t="s">
        <v>86</v>
      </c>
      <c r="D14" s="384"/>
      <c r="E14" s="376"/>
      <c r="F14" s="376"/>
      <c r="G14" s="376"/>
      <c r="H14" s="376"/>
      <c r="I14" s="376"/>
      <c r="J14" s="377"/>
      <c r="K14" s="377"/>
      <c r="L14" s="376"/>
      <c r="M14" s="376"/>
      <c r="N14" s="376"/>
      <c r="O14" s="377"/>
      <c r="P14" s="378"/>
      <c r="Q14" s="379"/>
      <c r="R14" s="376"/>
      <c r="S14" s="380"/>
      <c r="T14" s="381"/>
      <c r="U14" s="382"/>
      <c r="V14" s="381"/>
      <c r="W14" s="133"/>
      <c r="X14" s="133"/>
      <c r="Y14" s="133"/>
      <c r="Z14" s="133"/>
      <c r="AA14" s="133"/>
      <c r="AB14" s="382"/>
      <c r="AC14" s="381"/>
      <c r="AD14" s="133"/>
      <c r="AE14" s="133"/>
      <c r="AF14" s="133"/>
      <c r="AG14" s="133"/>
      <c r="AH14" s="133"/>
      <c r="AI14" s="382"/>
      <c r="AJ14" s="381"/>
      <c r="AK14" s="133"/>
      <c r="AL14" s="133"/>
      <c r="AM14" s="133"/>
      <c r="AN14" s="133"/>
      <c r="AO14" s="133"/>
      <c r="AP14" s="382"/>
      <c r="AQ14" s="381"/>
      <c r="AR14" s="133"/>
      <c r="AS14" s="133"/>
      <c r="AT14" s="133"/>
      <c r="AU14" s="133"/>
      <c r="AV14" s="133"/>
      <c r="AW14" s="382"/>
      <c r="AX14" s="383"/>
      <c r="AY14" s="20"/>
    </row>
    <row r="15" spans="1:128" ht="18.5">
      <c r="B15" s="373"/>
      <c r="C15" s="374" t="s">
        <v>87</v>
      </c>
      <c r="D15" s="384">
        <v>1</v>
      </c>
      <c r="E15" s="376">
        <v>3</v>
      </c>
      <c r="F15" s="376">
        <v>3</v>
      </c>
      <c r="G15" s="376">
        <v>5</v>
      </c>
      <c r="H15" s="376"/>
      <c r="I15" s="376">
        <v>4</v>
      </c>
      <c r="J15" s="377"/>
      <c r="K15" s="377"/>
      <c r="L15" s="376"/>
      <c r="M15" s="376"/>
      <c r="N15" s="376"/>
      <c r="O15" s="377"/>
      <c r="P15" s="378"/>
      <c r="Q15" s="379"/>
      <c r="R15" s="376"/>
      <c r="S15" s="380"/>
      <c r="T15" s="381"/>
      <c r="U15" s="382"/>
      <c r="V15" s="381"/>
      <c r="W15" s="133"/>
      <c r="X15" s="133"/>
      <c r="Y15" s="133"/>
      <c r="Z15" s="133"/>
      <c r="AA15" s="133"/>
      <c r="AB15" s="382"/>
      <c r="AC15" s="381"/>
      <c r="AD15" s="133"/>
      <c r="AE15" s="133"/>
      <c r="AF15" s="133"/>
      <c r="AG15" s="133"/>
      <c r="AH15" s="133"/>
      <c r="AI15" s="382"/>
      <c r="AJ15" s="381"/>
      <c r="AK15" s="133"/>
      <c r="AL15" s="133"/>
      <c r="AM15" s="133"/>
      <c r="AN15" s="133"/>
      <c r="AO15" s="133"/>
      <c r="AP15" s="382"/>
      <c r="AQ15" s="381"/>
      <c r="AR15" s="133"/>
      <c r="AS15" s="133"/>
      <c r="AT15" s="133"/>
      <c r="AU15" s="133"/>
      <c r="AV15" s="133"/>
      <c r="AW15" s="382"/>
      <c r="AX15" s="383"/>
      <c r="AY15" s="20"/>
    </row>
    <row r="16" spans="1:128" ht="18.5">
      <c r="B16" s="385">
        <v>7</v>
      </c>
      <c r="C16" s="386" t="s">
        <v>88</v>
      </c>
      <c r="D16" s="387"/>
      <c r="E16" s="388"/>
      <c r="F16" s="388"/>
      <c r="G16" s="388"/>
      <c r="H16" s="388"/>
      <c r="I16" s="388"/>
      <c r="J16" s="389"/>
      <c r="K16" s="389"/>
      <c r="L16" s="388"/>
      <c r="M16" s="388"/>
      <c r="N16" s="388"/>
      <c r="O16" s="389"/>
      <c r="P16" s="390"/>
      <c r="Q16" s="391"/>
      <c r="R16" s="388"/>
      <c r="S16" s="392"/>
      <c r="T16" s="393"/>
      <c r="U16" s="394"/>
      <c r="V16" s="393"/>
      <c r="W16" s="395"/>
      <c r="X16" s="395"/>
      <c r="Y16" s="395"/>
      <c r="Z16" s="395"/>
      <c r="AA16" s="395"/>
      <c r="AB16" s="394"/>
      <c r="AC16" s="393"/>
      <c r="AD16" s="395"/>
      <c r="AE16" s="395"/>
      <c r="AF16" s="395"/>
      <c r="AG16" s="395"/>
      <c r="AH16" s="395"/>
      <c r="AI16" s="394"/>
      <c r="AJ16" s="393"/>
      <c r="AK16" s="395"/>
      <c r="AL16" s="395"/>
      <c r="AM16" s="395"/>
      <c r="AN16" s="395"/>
      <c r="AO16" s="395"/>
      <c r="AP16" s="394"/>
      <c r="AQ16" s="393"/>
      <c r="AR16" s="395"/>
      <c r="AS16" s="395"/>
      <c r="AT16" s="395"/>
      <c r="AU16" s="395"/>
      <c r="AV16" s="395"/>
      <c r="AW16" s="394"/>
      <c r="AX16" s="396"/>
      <c r="AY16" s="20"/>
    </row>
    <row r="17" spans="2:54" ht="72.5">
      <c r="B17" s="397"/>
      <c r="C17" s="398" t="s">
        <v>89</v>
      </c>
      <c r="D17" s="399"/>
      <c r="E17" s="400"/>
      <c r="F17" s="401"/>
      <c r="G17" s="401"/>
      <c r="H17" s="401"/>
      <c r="I17" s="401"/>
      <c r="J17" s="402"/>
      <c r="K17" s="402"/>
      <c r="L17" s="401"/>
      <c r="M17" s="401"/>
      <c r="N17" s="401"/>
      <c r="O17" s="402"/>
      <c r="P17" s="403"/>
      <c r="Q17" s="400"/>
      <c r="R17" s="401"/>
      <c r="S17" s="404"/>
      <c r="T17" s="405"/>
      <c r="U17" s="406"/>
      <c r="V17" s="405"/>
      <c r="W17" s="179"/>
      <c r="X17" s="179"/>
      <c r="Y17" s="179"/>
      <c r="Z17" s="179"/>
      <c r="AA17" s="179"/>
      <c r="AB17" s="406"/>
      <c r="AC17" s="405"/>
      <c r="AD17" s="179"/>
      <c r="AE17" s="179"/>
      <c r="AF17" s="179"/>
      <c r="AG17" s="179"/>
      <c r="AH17" s="179"/>
      <c r="AI17" s="406"/>
      <c r="AJ17" s="405"/>
      <c r="AK17" s="179"/>
      <c r="AL17" s="179"/>
      <c r="AM17" s="179"/>
      <c r="AN17" s="179"/>
      <c r="AO17" s="179"/>
      <c r="AP17" s="406"/>
      <c r="AQ17" s="405"/>
      <c r="AR17" s="179"/>
      <c r="AS17" s="179"/>
      <c r="AT17" s="179"/>
      <c r="AU17" s="179"/>
      <c r="AV17" s="179"/>
      <c r="AW17" s="406"/>
      <c r="AX17" s="407"/>
      <c r="AY17" s="20"/>
    </row>
    <row r="18" spans="2:54" ht="29">
      <c r="B18" s="397"/>
      <c r="C18" s="398" t="s">
        <v>43</v>
      </c>
      <c r="D18" s="399"/>
      <c r="E18" s="400"/>
      <c r="F18" s="401"/>
      <c r="G18" s="401"/>
      <c r="H18" s="401"/>
      <c r="I18" s="401"/>
      <c r="J18" s="402"/>
      <c r="K18" s="402"/>
      <c r="L18" s="401"/>
      <c r="M18" s="401"/>
      <c r="N18" s="401"/>
      <c r="O18" s="402"/>
      <c r="P18" s="403"/>
      <c r="Q18" s="400"/>
      <c r="R18" s="401"/>
      <c r="S18" s="404"/>
      <c r="T18" s="405"/>
      <c r="U18" s="406"/>
      <c r="V18" s="405"/>
      <c r="W18" s="179"/>
      <c r="X18" s="179"/>
      <c r="Y18" s="179"/>
      <c r="Z18" s="179"/>
      <c r="AA18" s="179"/>
      <c r="AB18" s="406"/>
      <c r="AC18" s="405"/>
      <c r="AD18" s="179"/>
      <c r="AE18" s="179"/>
      <c r="AF18" s="179"/>
      <c r="AG18" s="179"/>
      <c r="AH18" s="179"/>
      <c r="AI18" s="406"/>
      <c r="AJ18" s="405"/>
      <c r="AK18" s="179"/>
      <c r="AL18" s="179"/>
      <c r="AM18" s="179"/>
      <c r="AN18" s="179"/>
      <c r="AO18" s="179"/>
      <c r="AP18" s="406"/>
      <c r="AQ18" s="405"/>
      <c r="AR18" s="179"/>
      <c r="AS18" s="179"/>
      <c r="AT18" s="179"/>
      <c r="AU18" s="179"/>
      <c r="AV18" s="179"/>
      <c r="AW18" s="406"/>
      <c r="AX18" s="407"/>
      <c r="AY18" s="20"/>
    </row>
    <row r="19" spans="2:54" ht="18.5">
      <c r="B19" s="397"/>
      <c r="C19" s="398" t="s">
        <v>44</v>
      </c>
      <c r="D19" s="399"/>
      <c r="E19" s="400"/>
      <c r="F19" s="401"/>
      <c r="G19" s="401"/>
      <c r="H19" s="401"/>
      <c r="I19" s="401"/>
      <c r="J19" s="402"/>
      <c r="K19" s="402"/>
      <c r="L19" s="401"/>
      <c r="M19" s="401"/>
      <c r="N19" s="401"/>
      <c r="O19" s="402"/>
      <c r="P19" s="403"/>
      <c r="Q19" s="400"/>
      <c r="R19" s="401"/>
      <c r="S19" s="404"/>
      <c r="T19" s="405"/>
      <c r="U19" s="406"/>
      <c r="V19" s="405"/>
      <c r="W19" s="179"/>
      <c r="X19" s="179"/>
      <c r="Y19" s="179"/>
      <c r="Z19" s="179"/>
      <c r="AA19" s="179"/>
      <c r="AB19" s="406"/>
      <c r="AC19" s="405"/>
      <c r="AD19" s="179"/>
      <c r="AE19" s="179"/>
      <c r="AF19" s="179"/>
      <c r="AG19" s="179"/>
      <c r="AH19" s="179"/>
      <c r="AI19" s="406"/>
      <c r="AJ19" s="405"/>
      <c r="AK19" s="179"/>
      <c r="AL19" s="179"/>
      <c r="AM19" s="179"/>
      <c r="AN19" s="179"/>
      <c r="AO19" s="179"/>
      <c r="AP19" s="406"/>
      <c r="AQ19" s="405"/>
      <c r="AR19" s="179"/>
      <c r="AS19" s="179"/>
      <c r="AT19" s="179"/>
      <c r="AU19" s="179"/>
      <c r="AV19" s="179"/>
      <c r="AW19" s="406"/>
      <c r="AX19" s="407"/>
      <c r="AY19" s="20"/>
    </row>
    <row r="20" spans="2:54" ht="18.5">
      <c r="B20" s="397"/>
      <c r="C20" s="398" t="s">
        <v>45</v>
      </c>
      <c r="D20" s="399"/>
      <c r="E20" s="400"/>
      <c r="F20" s="401"/>
      <c r="G20" s="401"/>
      <c r="H20" s="401"/>
      <c r="I20" s="401"/>
      <c r="J20" s="402"/>
      <c r="K20" s="402"/>
      <c r="L20" s="401"/>
      <c r="M20" s="401"/>
      <c r="N20" s="401"/>
      <c r="O20" s="402"/>
      <c r="P20" s="403"/>
      <c r="Q20" s="400"/>
      <c r="R20" s="401"/>
      <c r="S20" s="404"/>
      <c r="T20" s="405"/>
      <c r="U20" s="406"/>
      <c r="V20" s="405"/>
      <c r="W20" s="179"/>
      <c r="X20" s="179"/>
      <c r="Y20" s="179"/>
      <c r="Z20" s="179"/>
      <c r="AA20" s="179"/>
      <c r="AB20" s="406"/>
      <c r="AC20" s="405"/>
      <c r="AD20" s="179"/>
      <c r="AE20" s="179"/>
      <c r="AF20" s="179"/>
      <c r="AG20" s="179"/>
      <c r="AH20" s="179"/>
      <c r="AI20" s="406"/>
      <c r="AJ20" s="405"/>
      <c r="AK20" s="179"/>
      <c r="AL20" s="179"/>
      <c r="AM20" s="179"/>
      <c r="AN20" s="179"/>
      <c r="AO20" s="179"/>
      <c r="AP20" s="406"/>
      <c r="AQ20" s="405"/>
      <c r="AR20" s="179"/>
      <c r="AS20" s="179"/>
      <c r="AT20" s="179"/>
      <c r="AU20" s="179"/>
      <c r="AV20" s="179"/>
      <c r="AW20" s="406"/>
      <c r="AX20" s="407"/>
      <c r="AY20" s="20"/>
    </row>
    <row r="21" spans="2:54" ht="18.5">
      <c r="B21" s="397"/>
      <c r="C21" s="398" t="s">
        <v>46</v>
      </c>
      <c r="D21" s="399"/>
      <c r="E21" s="400"/>
      <c r="F21" s="401"/>
      <c r="G21" s="401"/>
      <c r="H21" s="401"/>
      <c r="I21" s="401"/>
      <c r="J21" s="402"/>
      <c r="K21" s="402"/>
      <c r="L21" s="401"/>
      <c r="M21" s="401"/>
      <c r="N21" s="401"/>
      <c r="O21" s="402"/>
      <c r="P21" s="403"/>
      <c r="Q21" s="400"/>
      <c r="R21" s="401"/>
      <c r="S21" s="404"/>
      <c r="T21" s="405"/>
      <c r="U21" s="406"/>
      <c r="V21" s="405"/>
      <c r="W21" s="179"/>
      <c r="X21" s="179"/>
      <c r="Y21" s="179"/>
      <c r="Z21" s="179"/>
      <c r="AA21" s="179"/>
      <c r="AB21" s="406"/>
      <c r="AC21" s="405"/>
      <c r="AD21" s="179"/>
      <c r="AE21" s="179"/>
      <c r="AF21" s="179"/>
      <c r="AG21" s="179"/>
      <c r="AH21" s="179"/>
      <c r="AI21" s="406"/>
      <c r="AJ21" s="405"/>
      <c r="AK21" s="179"/>
      <c r="AL21" s="179"/>
      <c r="AM21" s="179"/>
      <c r="AN21" s="179"/>
      <c r="AO21" s="179"/>
      <c r="AP21" s="406"/>
      <c r="AQ21" s="405"/>
      <c r="AR21" s="179"/>
      <c r="AS21" s="179"/>
      <c r="AT21" s="179"/>
      <c r="AU21" s="179"/>
      <c r="AV21" s="179"/>
      <c r="AW21" s="406"/>
      <c r="AX21" s="407"/>
      <c r="AY21" s="20"/>
    </row>
    <row r="22" spans="2:54" ht="18.5">
      <c r="B22" s="397"/>
      <c r="C22" s="398" t="s">
        <v>47</v>
      </c>
      <c r="D22" s="399"/>
      <c r="E22" s="400"/>
      <c r="F22" s="401"/>
      <c r="G22" s="401"/>
      <c r="H22" s="401"/>
      <c r="I22" s="401"/>
      <c r="J22" s="402"/>
      <c r="K22" s="402"/>
      <c r="L22" s="401"/>
      <c r="M22" s="401"/>
      <c r="N22" s="401"/>
      <c r="O22" s="402"/>
      <c r="P22" s="403"/>
      <c r="Q22" s="400"/>
      <c r="R22" s="401"/>
      <c r="S22" s="404"/>
      <c r="T22" s="405"/>
      <c r="U22" s="406"/>
      <c r="V22" s="405"/>
      <c r="W22" s="179"/>
      <c r="X22" s="179"/>
      <c r="Y22" s="179"/>
      <c r="Z22" s="179"/>
      <c r="AA22" s="179"/>
      <c r="AB22" s="406"/>
      <c r="AC22" s="405"/>
      <c r="AD22" s="179"/>
      <c r="AE22" s="179"/>
      <c r="AF22" s="179"/>
      <c r="AG22" s="179"/>
      <c r="AH22" s="179"/>
      <c r="AI22" s="406"/>
      <c r="AJ22" s="405"/>
      <c r="AK22" s="179"/>
      <c r="AL22" s="179"/>
      <c r="AM22" s="179"/>
      <c r="AN22" s="179"/>
      <c r="AO22" s="179"/>
      <c r="AP22" s="406"/>
      <c r="AQ22" s="405"/>
      <c r="AR22" s="179"/>
      <c r="AS22" s="179"/>
      <c r="AT22" s="179"/>
      <c r="AU22" s="179"/>
      <c r="AV22" s="179"/>
      <c r="AW22" s="406"/>
      <c r="AX22" s="407"/>
      <c r="AY22" s="20"/>
    </row>
    <row r="23" spans="2:54" ht="18.5">
      <c r="B23" s="397"/>
      <c r="C23" s="398" t="s">
        <v>48</v>
      </c>
      <c r="D23" s="399"/>
      <c r="E23" s="400"/>
      <c r="F23" s="401"/>
      <c r="G23" s="401"/>
      <c r="H23" s="401"/>
      <c r="I23" s="401"/>
      <c r="J23" s="402"/>
      <c r="K23" s="402"/>
      <c r="L23" s="401"/>
      <c r="M23" s="401"/>
      <c r="N23" s="401"/>
      <c r="O23" s="402"/>
      <c r="P23" s="403"/>
      <c r="Q23" s="400"/>
      <c r="R23" s="401"/>
      <c r="S23" s="404"/>
      <c r="T23" s="405"/>
      <c r="U23" s="406"/>
      <c r="V23" s="405"/>
      <c r="W23" s="179"/>
      <c r="X23" s="179"/>
      <c r="Y23" s="179"/>
      <c r="Z23" s="179"/>
      <c r="AA23" s="179"/>
      <c r="AB23" s="406"/>
      <c r="AC23" s="405"/>
      <c r="AD23" s="179"/>
      <c r="AE23" s="179"/>
      <c r="AF23" s="179"/>
      <c r="AG23" s="179"/>
      <c r="AH23" s="179"/>
      <c r="AI23" s="406"/>
      <c r="AJ23" s="405"/>
      <c r="AK23" s="179"/>
      <c r="AL23" s="179"/>
      <c r="AM23" s="179"/>
      <c r="AN23" s="179"/>
      <c r="AO23" s="179"/>
      <c r="AP23" s="406"/>
      <c r="AQ23" s="405"/>
      <c r="AR23" s="179"/>
      <c r="AS23" s="179"/>
      <c r="AT23" s="179"/>
      <c r="AU23" s="179"/>
      <c r="AV23" s="179"/>
      <c r="AW23" s="406"/>
      <c r="AX23" s="407"/>
      <c r="AY23" s="20"/>
    </row>
    <row r="24" spans="2:54" ht="18.5">
      <c r="B24" s="397"/>
      <c r="C24" s="398" t="s">
        <v>49</v>
      </c>
      <c r="D24" s="399"/>
      <c r="E24" s="400"/>
      <c r="F24" s="401"/>
      <c r="G24" s="401"/>
      <c r="H24" s="401"/>
      <c r="I24" s="401"/>
      <c r="J24" s="402"/>
      <c r="K24" s="402"/>
      <c r="L24" s="401"/>
      <c r="M24" s="401"/>
      <c r="N24" s="401"/>
      <c r="O24" s="402"/>
      <c r="P24" s="403"/>
      <c r="Q24" s="400"/>
      <c r="R24" s="401"/>
      <c r="S24" s="404"/>
      <c r="T24" s="405"/>
      <c r="U24" s="406"/>
      <c r="V24" s="405"/>
      <c r="W24" s="179"/>
      <c r="X24" s="179"/>
      <c r="Y24" s="179"/>
      <c r="Z24" s="179"/>
      <c r="AA24" s="179"/>
      <c r="AB24" s="406"/>
      <c r="AC24" s="405"/>
      <c r="AD24" s="179"/>
      <c r="AE24" s="179"/>
      <c r="AF24" s="179"/>
      <c r="AG24" s="179"/>
      <c r="AH24" s="179"/>
      <c r="AI24" s="406"/>
      <c r="AJ24" s="405"/>
      <c r="AK24" s="179"/>
      <c r="AL24" s="179"/>
      <c r="AM24" s="179"/>
      <c r="AN24" s="179"/>
      <c r="AO24" s="179"/>
      <c r="AP24" s="406"/>
      <c r="AQ24" s="405"/>
      <c r="AR24" s="179"/>
      <c r="AS24" s="179"/>
      <c r="AT24" s="179"/>
      <c r="AU24" s="179"/>
      <c r="AV24" s="179"/>
      <c r="AW24" s="406"/>
      <c r="AX24" s="407"/>
      <c r="AY24" s="20"/>
    </row>
    <row r="25" spans="2:54" ht="18.5">
      <c r="B25" s="397"/>
      <c r="C25" s="398" t="s">
        <v>50</v>
      </c>
      <c r="D25" s="399"/>
      <c r="E25" s="400"/>
      <c r="F25" s="401"/>
      <c r="G25" s="401"/>
      <c r="H25" s="401"/>
      <c r="I25" s="401"/>
      <c r="J25" s="402"/>
      <c r="K25" s="402"/>
      <c r="L25" s="401"/>
      <c r="M25" s="401"/>
      <c r="N25" s="401"/>
      <c r="O25" s="402"/>
      <c r="P25" s="403"/>
      <c r="Q25" s="400"/>
      <c r="R25" s="401"/>
      <c r="S25" s="404"/>
      <c r="T25" s="405"/>
      <c r="U25" s="406"/>
      <c r="V25" s="405"/>
      <c r="W25" s="179"/>
      <c r="X25" s="179"/>
      <c r="Y25" s="179"/>
      <c r="Z25" s="179"/>
      <c r="AA25" s="179"/>
      <c r="AB25" s="406"/>
      <c r="AC25" s="405"/>
      <c r="AD25" s="179"/>
      <c r="AE25" s="179"/>
      <c r="AF25" s="179"/>
      <c r="AG25" s="179"/>
      <c r="AH25" s="179"/>
      <c r="AI25" s="406"/>
      <c r="AJ25" s="405"/>
      <c r="AK25" s="179"/>
      <c r="AL25" s="179"/>
      <c r="AM25" s="179"/>
      <c r="AN25" s="179"/>
      <c r="AO25" s="179"/>
      <c r="AP25" s="406"/>
      <c r="AQ25" s="405"/>
      <c r="AR25" s="179"/>
      <c r="AS25" s="179"/>
      <c r="AT25" s="179"/>
      <c r="AU25" s="179"/>
      <c r="AV25" s="179"/>
      <c r="AW25" s="406"/>
      <c r="AX25" s="407"/>
      <c r="AY25" s="20"/>
    </row>
    <row r="26" spans="2:54" ht="18.5">
      <c r="B26" s="397"/>
      <c r="C26" s="398" t="s">
        <v>51</v>
      </c>
      <c r="D26" s="399"/>
      <c r="E26" s="400"/>
      <c r="F26" s="401"/>
      <c r="G26" s="401"/>
      <c r="H26" s="401"/>
      <c r="I26" s="401"/>
      <c r="J26" s="402"/>
      <c r="K26" s="402"/>
      <c r="L26" s="401"/>
      <c r="M26" s="401"/>
      <c r="N26" s="401"/>
      <c r="O26" s="402"/>
      <c r="P26" s="403"/>
      <c r="Q26" s="400"/>
      <c r="R26" s="401"/>
      <c r="S26" s="404"/>
      <c r="T26" s="405"/>
      <c r="U26" s="406"/>
      <c r="V26" s="405"/>
      <c r="W26" s="179"/>
      <c r="X26" s="179"/>
      <c r="Y26" s="179"/>
      <c r="Z26" s="179"/>
      <c r="AA26" s="179"/>
      <c r="AB26" s="406"/>
      <c r="AC26" s="405"/>
      <c r="AD26" s="179"/>
      <c r="AE26" s="179"/>
      <c r="AF26" s="179"/>
      <c r="AG26" s="179"/>
      <c r="AH26" s="179"/>
      <c r="AI26" s="406"/>
      <c r="AJ26" s="405"/>
      <c r="AK26" s="179"/>
      <c r="AL26" s="179"/>
      <c r="AM26" s="179"/>
      <c r="AN26" s="179"/>
      <c r="AO26" s="179"/>
      <c r="AP26" s="406"/>
      <c r="AQ26" s="405"/>
      <c r="AR26" s="179"/>
      <c r="AS26" s="179"/>
      <c r="AT26" s="179"/>
      <c r="AU26" s="179"/>
      <c r="AV26" s="179"/>
      <c r="AW26" s="406"/>
      <c r="AX26" s="407"/>
      <c r="AY26" s="20"/>
    </row>
    <row r="27" spans="2:54" ht="18.5">
      <c r="B27" s="397"/>
      <c r="C27" s="398" t="s">
        <v>52</v>
      </c>
      <c r="D27" s="399"/>
      <c r="E27" s="400"/>
      <c r="F27" s="401"/>
      <c r="G27" s="401"/>
      <c r="H27" s="401"/>
      <c r="I27" s="401"/>
      <c r="J27" s="402"/>
      <c r="K27" s="402"/>
      <c r="L27" s="401"/>
      <c r="M27" s="401"/>
      <c r="N27" s="401"/>
      <c r="O27" s="402"/>
      <c r="P27" s="403"/>
      <c r="Q27" s="400"/>
      <c r="R27" s="401"/>
      <c r="S27" s="404"/>
      <c r="T27" s="405"/>
      <c r="U27" s="406"/>
      <c r="V27" s="405"/>
      <c r="W27" s="179"/>
      <c r="X27" s="179"/>
      <c r="Y27" s="179"/>
      <c r="Z27" s="179"/>
      <c r="AA27" s="179"/>
      <c r="AB27" s="406"/>
      <c r="AC27" s="405"/>
      <c r="AD27" s="179"/>
      <c r="AE27" s="179"/>
      <c r="AF27" s="179"/>
      <c r="AG27" s="179"/>
      <c r="AH27" s="179"/>
      <c r="AI27" s="406"/>
      <c r="AJ27" s="405"/>
      <c r="AK27" s="179"/>
      <c r="AL27" s="179"/>
      <c r="AM27" s="179"/>
      <c r="AN27" s="179"/>
      <c r="AO27" s="179"/>
      <c r="AP27" s="406"/>
      <c r="AQ27" s="405"/>
      <c r="AR27" s="179"/>
      <c r="AS27" s="179"/>
      <c r="AT27" s="179"/>
      <c r="AU27" s="179"/>
      <c r="AV27" s="179"/>
      <c r="AW27" s="406"/>
      <c r="AX27" s="407"/>
      <c r="AY27" s="20"/>
    </row>
    <row r="28" spans="2:54" s="141" customFormat="1" ht="18.75" customHeight="1">
      <c r="B28" s="408">
        <v>8</v>
      </c>
      <c r="C28" s="409" t="s">
        <v>90</v>
      </c>
      <c r="D28" s="410">
        <v>2</v>
      </c>
      <c r="E28" s="411">
        <v>5</v>
      </c>
      <c r="F28" s="412">
        <v>8</v>
      </c>
      <c r="G28" s="412">
        <v>20</v>
      </c>
      <c r="H28" s="412"/>
      <c r="I28" s="1042">
        <v>4</v>
      </c>
      <c r="J28" s="413"/>
      <c r="K28" s="413"/>
      <c r="L28" s="412"/>
      <c r="M28" s="412"/>
      <c r="N28" s="412"/>
      <c r="O28" s="413"/>
      <c r="P28" s="414"/>
      <c r="Q28" s="415"/>
      <c r="R28" s="412"/>
      <c r="S28" s="416"/>
      <c r="T28" s="417"/>
      <c r="U28" s="418"/>
      <c r="V28" s="417"/>
      <c r="W28" s="191"/>
      <c r="X28" s="191"/>
      <c r="Y28" s="191"/>
      <c r="Z28" s="191"/>
      <c r="AA28" s="191"/>
      <c r="AB28" s="418"/>
      <c r="AC28" s="417"/>
      <c r="AD28" s="191"/>
      <c r="AE28" s="191"/>
      <c r="AF28" s="191"/>
      <c r="AG28" s="191"/>
      <c r="AH28" s="191"/>
      <c r="AI28" s="418"/>
      <c r="AJ28" s="417"/>
      <c r="AK28" s="191"/>
      <c r="AL28" s="191"/>
      <c r="AM28" s="191"/>
      <c r="AN28" s="191"/>
      <c r="AO28" s="191"/>
      <c r="AP28" s="418"/>
      <c r="AQ28" s="417"/>
      <c r="AR28" s="191"/>
      <c r="AS28" s="191"/>
      <c r="AT28" s="191"/>
      <c r="AU28" s="191"/>
      <c r="AV28" s="191"/>
      <c r="AW28" s="418"/>
      <c r="AX28" s="419"/>
    </row>
    <row r="29" spans="2:54" s="141" customFormat="1" ht="159.75" customHeight="1">
      <c r="B29" s="408"/>
      <c r="C29" s="244" t="s">
        <v>91</v>
      </c>
      <c r="D29" s="420">
        <v>0.5</v>
      </c>
      <c r="E29" s="411">
        <v>3</v>
      </c>
      <c r="F29" s="412">
        <v>2</v>
      </c>
      <c r="G29" s="412">
        <v>3</v>
      </c>
      <c r="H29" s="412"/>
      <c r="I29" s="1042"/>
      <c r="J29" s="413"/>
      <c r="K29" s="413"/>
      <c r="L29" s="412"/>
      <c r="M29" s="412"/>
      <c r="N29" s="412"/>
      <c r="O29" s="412">
        <v>5</v>
      </c>
      <c r="P29" s="414"/>
      <c r="Q29" s="415"/>
      <c r="R29" s="412"/>
      <c r="S29" s="416"/>
      <c r="T29" s="417"/>
      <c r="U29" s="418"/>
      <c r="V29" s="417"/>
      <c r="W29" s="191"/>
      <c r="X29" s="191"/>
      <c r="Y29" s="191"/>
      <c r="Z29" s="191"/>
      <c r="AA29" s="191"/>
      <c r="AB29" s="418"/>
      <c r="AC29" s="417"/>
      <c r="AD29" s="191"/>
      <c r="AE29" s="191"/>
      <c r="AF29" s="191"/>
      <c r="AG29" s="191"/>
      <c r="AH29" s="191"/>
      <c r="AI29" s="418"/>
      <c r="AJ29" s="417"/>
      <c r="AK29" s="191"/>
      <c r="AL29" s="191"/>
      <c r="AM29" s="191"/>
      <c r="AN29" s="191"/>
      <c r="AO29" s="191"/>
      <c r="AP29" s="418"/>
      <c r="AQ29" s="417"/>
      <c r="AR29" s="191"/>
      <c r="AS29" s="191"/>
      <c r="AT29" s="191"/>
      <c r="AU29" s="191"/>
      <c r="AV29" s="191"/>
      <c r="AW29" s="418"/>
      <c r="AX29" s="419"/>
    </row>
    <row r="30" spans="2:54" s="141" customFormat="1" ht="58">
      <c r="B30" s="363">
        <v>9</v>
      </c>
      <c r="C30" s="364" t="s">
        <v>92</v>
      </c>
      <c r="D30" s="365">
        <v>0.5</v>
      </c>
      <c r="E30" s="421">
        <v>2</v>
      </c>
      <c r="F30" s="366">
        <v>2</v>
      </c>
      <c r="G30" s="366">
        <v>3</v>
      </c>
      <c r="H30" s="366"/>
      <c r="I30" s="366"/>
      <c r="J30" s="422"/>
      <c r="K30" s="422"/>
      <c r="L30" s="366"/>
      <c r="M30" s="366"/>
      <c r="N30" s="366"/>
      <c r="O30" s="422"/>
      <c r="P30" s="423"/>
      <c r="Q30" s="368"/>
      <c r="R30" s="366"/>
      <c r="S30" s="369"/>
      <c r="T30" s="370"/>
      <c r="U30" s="371"/>
      <c r="V30" s="370"/>
      <c r="W30" s="198"/>
      <c r="X30" s="198"/>
      <c r="Y30" s="198"/>
      <c r="Z30" s="198"/>
      <c r="AA30" s="198"/>
      <c r="AB30" s="371"/>
      <c r="AC30" s="370"/>
      <c r="AD30" s="198"/>
      <c r="AE30" s="198"/>
      <c r="AF30" s="198"/>
      <c r="AG30" s="198"/>
      <c r="AH30" s="198"/>
      <c r="AI30" s="371"/>
      <c r="AJ30" s="370"/>
      <c r="AK30" s="198"/>
      <c r="AL30" s="198"/>
      <c r="AM30" s="198"/>
      <c r="AN30" s="198"/>
      <c r="AO30" s="198"/>
      <c r="AP30" s="371"/>
      <c r="AQ30" s="370"/>
      <c r="AR30" s="198"/>
      <c r="AS30" s="198"/>
      <c r="AT30" s="198"/>
      <c r="AU30" s="198"/>
      <c r="AV30" s="198"/>
      <c r="AW30" s="371"/>
      <c r="AX30" s="372"/>
    </row>
    <row r="31" spans="2:54" s="141" customFormat="1" ht="18.5">
      <c r="B31" s="424">
        <v>10</v>
      </c>
      <c r="C31" s="425" t="s">
        <v>93</v>
      </c>
      <c r="D31" s="426">
        <v>0.5</v>
      </c>
      <c r="E31" s="427">
        <v>2</v>
      </c>
      <c r="F31" s="428">
        <v>5</v>
      </c>
      <c r="G31" s="428">
        <v>30</v>
      </c>
      <c r="H31" s="429"/>
      <c r="I31" s="429">
        <v>5</v>
      </c>
      <c r="J31" s="429">
        <v>10</v>
      </c>
      <c r="K31" s="429"/>
      <c r="L31" s="429"/>
      <c r="M31" s="429"/>
      <c r="N31" s="429"/>
      <c r="O31" s="430"/>
      <c r="P31" s="431"/>
      <c r="Q31" s="432"/>
      <c r="R31" s="429"/>
      <c r="S31" s="433"/>
      <c r="T31" s="434"/>
      <c r="U31" s="435"/>
      <c r="V31" s="434"/>
      <c r="W31" s="203"/>
      <c r="X31" s="203"/>
      <c r="Y31" s="203"/>
      <c r="Z31" s="203"/>
      <c r="AA31" s="203"/>
      <c r="AB31" s="435"/>
      <c r="AC31" s="434"/>
      <c r="AD31" s="203"/>
      <c r="AE31" s="203"/>
      <c r="AF31" s="203"/>
      <c r="AG31" s="203"/>
      <c r="AH31" s="203"/>
      <c r="AI31" s="435"/>
      <c r="AJ31" s="434"/>
      <c r="AK31" s="203"/>
      <c r="AL31" s="203"/>
      <c r="AM31" s="203"/>
      <c r="AN31" s="203"/>
      <c r="AO31" s="203"/>
      <c r="AP31" s="435"/>
      <c r="AQ31" s="434"/>
      <c r="AR31" s="203"/>
      <c r="AS31" s="203"/>
      <c r="AT31" s="203"/>
      <c r="AU31" s="203"/>
      <c r="AV31" s="203"/>
      <c r="AW31" s="435"/>
      <c r="AX31" s="436"/>
    </row>
    <row r="32" spans="2:54" ht="18.75" customHeight="1">
      <c r="B32" s="294">
        <v>11</v>
      </c>
      <c r="C32" s="253" t="s">
        <v>94</v>
      </c>
      <c r="D32" s="256"/>
      <c r="E32" s="254"/>
      <c r="F32" s="254"/>
      <c r="G32" s="254"/>
      <c r="H32" s="254"/>
      <c r="I32" s="254"/>
      <c r="J32" s="255"/>
      <c r="K32" s="255"/>
      <c r="L32" s="254"/>
      <c r="M32" s="254"/>
      <c r="N32" s="254"/>
      <c r="O32" s="254"/>
      <c r="P32" s="264"/>
      <c r="Q32" s="437"/>
      <c r="R32" s="254"/>
      <c r="S32" s="267"/>
      <c r="T32" s="265"/>
      <c r="U32" s="277"/>
      <c r="V32" s="265"/>
      <c r="W32" s="248"/>
      <c r="X32" s="248"/>
      <c r="Y32" s="248"/>
      <c r="Z32" s="248"/>
      <c r="AA32" s="248"/>
      <c r="AB32" s="277"/>
      <c r="AC32" s="265"/>
      <c r="AD32" s="248"/>
      <c r="AE32" s="248"/>
      <c r="AF32" s="248"/>
      <c r="AG32" s="248"/>
      <c r="AH32" s="248"/>
      <c r="AI32" s="277"/>
      <c r="AJ32" s="265"/>
      <c r="AK32" s="248"/>
      <c r="AL32" s="248"/>
      <c r="AM32" s="248"/>
      <c r="AN32" s="248"/>
      <c r="AO32" s="248"/>
      <c r="AP32" s="277"/>
      <c r="AQ32" s="265"/>
      <c r="AR32" s="248"/>
      <c r="AS32" s="248"/>
      <c r="AT32" s="248"/>
      <c r="AU32" s="248"/>
      <c r="AV32" s="248"/>
      <c r="AW32" s="277"/>
      <c r="AX32" s="288"/>
      <c r="AY32" s="141"/>
      <c r="AZ32" s="141"/>
      <c r="BA32" s="141"/>
      <c r="BB32" s="141"/>
    </row>
    <row r="33" spans="2:54" ht="18.75" customHeight="1">
      <c r="B33" s="295"/>
      <c r="C33" s="245" t="s">
        <v>95</v>
      </c>
      <c r="D33" s="1043">
        <v>1</v>
      </c>
      <c r="E33" s="1044">
        <v>2</v>
      </c>
      <c r="F33" s="1044">
        <v>1</v>
      </c>
      <c r="G33" s="1044">
        <v>1</v>
      </c>
      <c r="H33" s="246"/>
      <c r="I33" s="246"/>
      <c r="J33" s="247"/>
      <c r="K33" s="247"/>
      <c r="L33" s="246"/>
      <c r="M33" s="246"/>
      <c r="N33" s="246"/>
      <c r="O33" s="246"/>
      <c r="P33" s="257"/>
      <c r="Q33" s="438"/>
      <c r="R33" s="246"/>
      <c r="S33" s="268"/>
      <c r="T33" s="266"/>
      <c r="U33" s="268"/>
      <c r="V33" s="266">
        <v>0.5</v>
      </c>
      <c r="W33" s="246">
        <v>1</v>
      </c>
      <c r="X33" s="246">
        <v>0.5</v>
      </c>
      <c r="Y33" s="246"/>
      <c r="Z33" s="246"/>
      <c r="AA33" s="246">
        <v>1</v>
      </c>
      <c r="AB33" s="268"/>
      <c r="AC33" s="266"/>
      <c r="AD33" s="246"/>
      <c r="AE33" s="246"/>
      <c r="AF33" s="246"/>
      <c r="AG33" s="246"/>
      <c r="AH33" s="246"/>
      <c r="AI33" s="268"/>
      <c r="AJ33" s="266"/>
      <c r="AK33" s="246"/>
      <c r="AL33" s="246"/>
      <c r="AM33" s="246"/>
      <c r="AN33" s="246"/>
      <c r="AO33" s="246"/>
      <c r="AP33" s="268"/>
      <c r="AQ33" s="266"/>
      <c r="AR33" s="246"/>
      <c r="AS33" s="246"/>
      <c r="AT33" s="246"/>
      <c r="AU33" s="246"/>
      <c r="AV33" s="246"/>
      <c r="AW33" s="268"/>
      <c r="AX33" s="289"/>
      <c r="AY33" s="141"/>
      <c r="AZ33" s="141"/>
      <c r="BA33" s="141"/>
      <c r="BB33" s="141"/>
    </row>
    <row r="34" spans="2:54" ht="18.75" customHeight="1">
      <c r="B34" s="295"/>
      <c r="C34" s="245" t="s">
        <v>96</v>
      </c>
      <c r="D34" s="1043"/>
      <c r="E34" s="1044"/>
      <c r="F34" s="1044"/>
      <c r="G34" s="1044"/>
      <c r="H34" s="246"/>
      <c r="I34" s="246"/>
      <c r="J34" s="247"/>
      <c r="K34" s="247"/>
      <c r="L34" s="246"/>
      <c r="M34" s="246"/>
      <c r="N34" s="246"/>
      <c r="O34" s="246"/>
      <c r="P34" s="257"/>
      <c r="Q34" s="438"/>
      <c r="R34" s="246"/>
      <c r="S34" s="268"/>
      <c r="T34" s="266"/>
      <c r="U34" s="268"/>
      <c r="V34" s="266"/>
      <c r="W34" s="246"/>
      <c r="X34" s="246"/>
      <c r="Y34" s="246"/>
      <c r="Z34" s="246"/>
      <c r="AA34" s="246"/>
      <c r="AB34" s="268"/>
      <c r="AC34" s="266">
        <v>0.5</v>
      </c>
      <c r="AD34" s="246">
        <v>1</v>
      </c>
      <c r="AE34" s="246">
        <v>0.5</v>
      </c>
      <c r="AF34" s="246"/>
      <c r="AG34" s="246"/>
      <c r="AH34" s="246">
        <v>1</v>
      </c>
      <c r="AI34" s="268"/>
      <c r="AJ34" s="266"/>
      <c r="AK34" s="246"/>
      <c r="AL34" s="246"/>
      <c r="AM34" s="246"/>
      <c r="AN34" s="246"/>
      <c r="AO34" s="246"/>
      <c r="AP34" s="268"/>
      <c r="AQ34" s="266"/>
      <c r="AR34" s="246"/>
      <c r="AS34" s="246"/>
      <c r="AT34" s="246"/>
      <c r="AU34" s="246"/>
      <c r="AV34" s="246"/>
      <c r="AW34" s="268"/>
      <c r="AX34" s="289"/>
      <c r="AY34" s="141"/>
      <c r="AZ34" s="141"/>
      <c r="BA34" s="141"/>
      <c r="BB34" s="141"/>
    </row>
    <row r="35" spans="2:54" ht="18.75" customHeight="1">
      <c r="B35" s="295"/>
      <c r="C35" s="245" t="s">
        <v>97</v>
      </c>
      <c r="D35" s="1043"/>
      <c r="E35" s="1044"/>
      <c r="F35" s="1044"/>
      <c r="G35" s="1044"/>
      <c r="H35" s="246"/>
      <c r="I35" s="246"/>
      <c r="J35" s="247"/>
      <c r="K35" s="247"/>
      <c r="L35" s="246"/>
      <c r="M35" s="246"/>
      <c r="N35" s="246"/>
      <c r="O35" s="246"/>
      <c r="P35" s="257"/>
      <c r="Q35" s="438"/>
      <c r="R35" s="246"/>
      <c r="S35" s="268"/>
      <c r="T35" s="266"/>
      <c r="U35" s="268"/>
      <c r="V35" s="266"/>
      <c r="W35" s="246"/>
      <c r="X35" s="246"/>
      <c r="Y35" s="246"/>
      <c r="Z35" s="246"/>
      <c r="AA35" s="246"/>
      <c r="AB35" s="268"/>
      <c r="AC35" s="266"/>
      <c r="AD35" s="246"/>
      <c r="AE35" s="246"/>
      <c r="AF35" s="246"/>
      <c r="AG35" s="246"/>
      <c r="AH35" s="246"/>
      <c r="AI35" s="268"/>
      <c r="AJ35" s="266">
        <v>0.5</v>
      </c>
      <c r="AK35" s="246">
        <v>1</v>
      </c>
      <c r="AL35" s="246">
        <v>0.5</v>
      </c>
      <c r="AM35" s="246"/>
      <c r="AN35" s="246"/>
      <c r="AO35" s="246">
        <v>1</v>
      </c>
      <c r="AP35" s="268"/>
      <c r="AQ35" s="266"/>
      <c r="AR35" s="246"/>
      <c r="AS35" s="246"/>
      <c r="AT35" s="246"/>
      <c r="AU35" s="246"/>
      <c r="AV35" s="246"/>
      <c r="AW35" s="268"/>
      <c r="AX35" s="289"/>
      <c r="AY35" s="141"/>
      <c r="AZ35" s="141"/>
      <c r="BA35" s="141"/>
      <c r="BB35" s="141"/>
    </row>
    <row r="36" spans="2:54" ht="18.75" customHeight="1">
      <c r="B36" s="295"/>
      <c r="C36" s="245" t="s">
        <v>98</v>
      </c>
      <c r="D36" s="1043"/>
      <c r="E36" s="1044"/>
      <c r="F36" s="1044"/>
      <c r="G36" s="1044"/>
      <c r="H36" s="246"/>
      <c r="I36" s="246"/>
      <c r="J36" s="247"/>
      <c r="K36" s="247"/>
      <c r="L36" s="246"/>
      <c r="M36" s="246"/>
      <c r="N36" s="246"/>
      <c r="O36" s="246"/>
      <c r="P36" s="257"/>
      <c r="Q36" s="438"/>
      <c r="R36" s="246"/>
      <c r="S36" s="268"/>
      <c r="T36" s="266"/>
      <c r="U36" s="268"/>
      <c r="V36" s="266"/>
      <c r="W36" s="246"/>
      <c r="X36" s="246"/>
      <c r="Y36" s="246"/>
      <c r="Z36" s="246"/>
      <c r="AA36" s="246"/>
      <c r="AB36" s="268"/>
      <c r="AC36" s="266"/>
      <c r="AD36" s="246"/>
      <c r="AE36" s="246"/>
      <c r="AF36" s="246"/>
      <c r="AG36" s="246"/>
      <c r="AH36" s="246"/>
      <c r="AI36" s="268"/>
      <c r="AJ36" s="266"/>
      <c r="AK36" s="246"/>
      <c r="AL36" s="246"/>
      <c r="AM36" s="246"/>
      <c r="AN36" s="246"/>
      <c r="AO36" s="246"/>
      <c r="AP36" s="268"/>
      <c r="AQ36" s="266"/>
      <c r="AR36" s="246">
        <v>2</v>
      </c>
      <c r="AS36" s="246"/>
      <c r="AT36" s="246"/>
      <c r="AU36" s="246"/>
      <c r="AV36" s="246"/>
      <c r="AW36" s="268"/>
      <c r="AX36" s="289">
        <v>3</v>
      </c>
      <c r="AY36" s="141"/>
      <c r="AZ36" s="141"/>
      <c r="BA36" s="141"/>
      <c r="BB36" s="141"/>
    </row>
    <row r="37" spans="2:54" ht="18.75" customHeight="1">
      <c r="B37" s="295"/>
      <c r="C37" s="245" t="s">
        <v>66</v>
      </c>
      <c r="D37" s="1043"/>
      <c r="E37" s="1044"/>
      <c r="F37" s="1044"/>
      <c r="G37" s="1044"/>
      <c r="H37" s="246"/>
      <c r="I37" s="246"/>
      <c r="J37" s="247"/>
      <c r="K37" s="247"/>
      <c r="L37" s="246"/>
      <c r="M37" s="246"/>
      <c r="N37" s="246"/>
      <c r="O37" s="246"/>
      <c r="P37" s="257"/>
      <c r="Q37" s="438"/>
      <c r="R37" s="246"/>
      <c r="S37" s="268"/>
      <c r="T37" s="266"/>
      <c r="U37" s="268"/>
      <c r="V37" s="266"/>
      <c r="W37" s="246"/>
      <c r="X37" s="246"/>
      <c r="Y37" s="246"/>
      <c r="Z37" s="246"/>
      <c r="AA37" s="246"/>
      <c r="AB37" s="268"/>
      <c r="AC37" s="266"/>
      <c r="AD37" s="246"/>
      <c r="AE37" s="246"/>
      <c r="AF37" s="246"/>
      <c r="AG37" s="246"/>
      <c r="AH37" s="246"/>
      <c r="AI37" s="268"/>
      <c r="AJ37" s="266"/>
      <c r="AK37" s="246"/>
      <c r="AL37" s="246"/>
      <c r="AM37" s="246"/>
      <c r="AN37" s="246"/>
      <c r="AO37" s="246"/>
      <c r="AP37" s="268"/>
      <c r="AQ37" s="266"/>
      <c r="AR37" s="246"/>
      <c r="AS37" s="246"/>
      <c r="AT37" s="246"/>
      <c r="AU37" s="246"/>
      <c r="AV37" s="246"/>
      <c r="AW37" s="268"/>
      <c r="AX37" s="289"/>
      <c r="AY37" s="141"/>
      <c r="AZ37" s="141"/>
      <c r="BA37" s="141"/>
      <c r="BB37" s="141"/>
    </row>
    <row r="38" spans="2:54" ht="14.5">
      <c r="B38" s="341">
        <v>11</v>
      </c>
      <c r="C38" s="342" t="s">
        <v>53</v>
      </c>
      <c r="D38" s="234">
        <v>1</v>
      </c>
      <c r="E38" s="73">
        <v>5</v>
      </c>
      <c r="F38" s="73">
        <v>3</v>
      </c>
      <c r="G38" s="73">
        <v>5</v>
      </c>
      <c r="H38" s="73"/>
      <c r="I38" s="73">
        <v>1</v>
      </c>
      <c r="J38" s="73"/>
      <c r="K38" s="73"/>
      <c r="L38" s="73"/>
      <c r="M38" s="73"/>
      <c r="N38" s="73"/>
      <c r="O38" s="73"/>
      <c r="P38" s="235"/>
      <c r="Q38" s="270">
        <v>1</v>
      </c>
      <c r="R38" s="73">
        <v>2</v>
      </c>
      <c r="S38" s="261"/>
      <c r="T38" s="249"/>
      <c r="U38" s="278"/>
      <c r="V38" s="236"/>
      <c r="W38" s="23">
        <v>0.5</v>
      </c>
      <c r="X38" s="23">
        <v>0.5</v>
      </c>
      <c r="Y38" s="62"/>
      <c r="Z38" s="73"/>
      <c r="AA38" s="282"/>
      <c r="AB38" s="237"/>
      <c r="AC38" s="249"/>
      <c r="AD38" s="23">
        <v>0.5</v>
      </c>
      <c r="AE38" s="23">
        <v>0.5</v>
      </c>
      <c r="AF38" s="65"/>
      <c r="AG38" s="65"/>
      <c r="AH38" s="65"/>
      <c r="AI38" s="278"/>
      <c r="AJ38" s="249"/>
      <c r="AK38" s="23">
        <v>0.5</v>
      </c>
      <c r="AL38" s="23">
        <v>0.5</v>
      </c>
      <c r="AM38" s="65"/>
      <c r="AN38" s="65"/>
      <c r="AO38" s="65"/>
      <c r="AP38" s="278"/>
      <c r="AQ38" s="249"/>
      <c r="AR38" s="65">
        <v>1</v>
      </c>
      <c r="AS38" s="284"/>
      <c r="AT38" s="284"/>
      <c r="AU38" s="284"/>
      <c r="AV38" s="65"/>
      <c r="AW38" s="278"/>
      <c r="AX38" s="290"/>
      <c r="AY38" s="20"/>
    </row>
    <row r="39" spans="2:54" ht="14.5">
      <c r="B39" s="341">
        <v>12</v>
      </c>
      <c r="C39" s="342" t="s">
        <v>54</v>
      </c>
      <c r="D39" s="234">
        <v>1</v>
      </c>
      <c r="E39" s="73">
        <v>3</v>
      </c>
      <c r="F39" s="73">
        <v>1</v>
      </c>
      <c r="G39" s="73">
        <v>2</v>
      </c>
      <c r="H39" s="73"/>
      <c r="I39" s="62">
        <v>1</v>
      </c>
      <c r="J39" s="73"/>
      <c r="K39" s="73"/>
      <c r="L39" s="73"/>
      <c r="M39" s="73"/>
      <c r="N39" s="73"/>
      <c r="O39" s="73"/>
      <c r="P39" s="235"/>
      <c r="Q39" s="270">
        <v>1</v>
      </c>
      <c r="R39" s="73">
        <v>2</v>
      </c>
      <c r="S39" s="261"/>
      <c r="T39" s="236"/>
      <c r="U39" s="78"/>
      <c r="V39" s="236"/>
      <c r="W39" s="23">
        <v>0.25</v>
      </c>
      <c r="X39" s="23">
        <v>0.25</v>
      </c>
      <c r="Y39" s="62"/>
      <c r="Z39" s="73"/>
      <c r="AA39" s="282"/>
      <c r="AB39" s="237"/>
      <c r="AC39" s="236"/>
      <c r="AD39" s="23">
        <v>0.25</v>
      </c>
      <c r="AE39" s="23">
        <v>0.25</v>
      </c>
      <c r="AF39" s="23"/>
      <c r="AG39" s="23"/>
      <c r="AH39" s="23"/>
      <c r="AI39" s="78"/>
      <c r="AJ39" s="236"/>
      <c r="AK39" s="23">
        <v>0.25</v>
      </c>
      <c r="AL39" s="23">
        <v>0.25</v>
      </c>
      <c r="AM39" s="23"/>
      <c r="AN39" s="23"/>
      <c r="AO39" s="23"/>
      <c r="AP39" s="78"/>
      <c r="AQ39" s="236"/>
      <c r="AR39" s="78">
        <v>1</v>
      </c>
      <c r="AS39" s="73"/>
      <c r="AT39" s="73"/>
      <c r="AU39" s="73"/>
      <c r="AV39" s="206"/>
      <c r="AW39" s="78"/>
      <c r="AX39" s="291"/>
      <c r="AY39" s="20"/>
    </row>
    <row r="40" spans="2:54" ht="14.5">
      <c r="B40" s="341">
        <v>13</v>
      </c>
      <c r="C40" s="342" t="s">
        <v>55</v>
      </c>
      <c r="D40" s="234">
        <v>2</v>
      </c>
      <c r="E40" s="73">
        <v>3</v>
      </c>
      <c r="F40" s="73">
        <v>1</v>
      </c>
      <c r="G40" s="73">
        <v>1</v>
      </c>
      <c r="H40" s="73"/>
      <c r="I40" s="73">
        <v>1</v>
      </c>
      <c r="J40" s="73"/>
      <c r="K40" s="73"/>
      <c r="L40" s="73"/>
      <c r="M40" s="73"/>
      <c r="N40" s="73"/>
      <c r="O40" s="73"/>
      <c r="P40" s="235"/>
      <c r="Q40" s="270">
        <v>1</v>
      </c>
      <c r="R40" s="73">
        <v>1</v>
      </c>
      <c r="S40" s="261"/>
      <c r="T40" s="236"/>
      <c r="U40" s="78"/>
      <c r="V40" s="236"/>
      <c r="W40" s="23">
        <v>0.25</v>
      </c>
      <c r="X40" s="23">
        <v>0.25</v>
      </c>
      <c r="Y40" s="62"/>
      <c r="Z40" s="73"/>
      <c r="AA40" s="282"/>
      <c r="AB40" s="237"/>
      <c r="AC40" s="236"/>
      <c r="AD40" s="23">
        <v>0.25</v>
      </c>
      <c r="AE40" s="23">
        <v>0.25</v>
      </c>
      <c r="AF40" s="23"/>
      <c r="AG40" s="23"/>
      <c r="AH40" s="23"/>
      <c r="AI40" s="78"/>
      <c r="AJ40" s="236"/>
      <c r="AK40" s="23">
        <v>0.25</v>
      </c>
      <c r="AL40" s="23">
        <v>0.25</v>
      </c>
      <c r="AM40" s="23"/>
      <c r="AN40" s="23"/>
      <c r="AO40" s="23"/>
      <c r="AP40" s="78"/>
      <c r="AQ40" s="236"/>
      <c r="AR40" s="78">
        <v>1</v>
      </c>
      <c r="AS40" s="73"/>
      <c r="AT40" s="73"/>
      <c r="AU40" s="73"/>
      <c r="AV40" s="206"/>
      <c r="AW40" s="78"/>
      <c r="AX40" s="291"/>
      <c r="AY40" s="20"/>
    </row>
    <row r="41" spans="2:54" ht="14.5">
      <c r="B41" s="341">
        <v>14</v>
      </c>
      <c r="C41" s="342" t="s">
        <v>56</v>
      </c>
      <c r="D41" s="234"/>
      <c r="E41" s="73"/>
      <c r="F41" s="73"/>
      <c r="G41" s="73">
        <v>1</v>
      </c>
      <c r="H41" s="73"/>
      <c r="I41" s="73"/>
      <c r="J41" s="73"/>
      <c r="K41" s="73"/>
      <c r="L41" s="73"/>
      <c r="M41" s="73"/>
      <c r="N41" s="73"/>
      <c r="O41" s="73"/>
      <c r="P41" s="235"/>
      <c r="Q41" s="270"/>
      <c r="R41" s="73"/>
      <c r="S41" s="261"/>
      <c r="T41" s="236"/>
      <c r="U41" s="78"/>
      <c r="V41" s="236"/>
      <c r="W41" s="23">
        <v>0.5</v>
      </c>
      <c r="X41" s="23">
        <v>1</v>
      </c>
      <c r="Y41" s="73"/>
      <c r="Z41" s="73"/>
      <c r="AA41" s="282"/>
      <c r="AB41" s="237"/>
      <c r="AC41" s="236"/>
      <c r="AD41" s="23"/>
      <c r="AE41" s="23"/>
      <c r="AF41" s="23"/>
      <c r="AG41" s="23"/>
      <c r="AH41" s="23"/>
      <c r="AI41" s="78"/>
      <c r="AJ41" s="236"/>
      <c r="AK41" s="23"/>
      <c r="AL41" s="23"/>
      <c r="AM41" s="23"/>
      <c r="AN41" s="23"/>
      <c r="AO41" s="23"/>
      <c r="AP41" s="78"/>
      <c r="AQ41" s="236"/>
      <c r="AR41" s="23"/>
      <c r="AS41" s="65"/>
      <c r="AT41" s="65"/>
      <c r="AU41" s="65"/>
      <c r="AV41" s="23"/>
      <c r="AW41" s="78"/>
      <c r="AX41" s="291"/>
      <c r="AY41" s="20"/>
    </row>
    <row r="42" spans="2:54" ht="14.5">
      <c r="B42" s="341">
        <v>15</v>
      </c>
      <c r="C42" s="342" t="s">
        <v>57</v>
      </c>
      <c r="D42" s="233"/>
      <c r="E42" s="62">
        <v>1</v>
      </c>
      <c r="F42" s="62"/>
      <c r="G42" s="62">
        <v>1</v>
      </c>
      <c r="H42" s="62"/>
      <c r="I42" s="62"/>
      <c r="J42" s="62"/>
      <c r="K42" s="62"/>
      <c r="L42" s="62"/>
      <c r="M42" s="62"/>
      <c r="N42" s="62"/>
      <c r="O42" s="62"/>
      <c r="P42" s="238">
        <v>3</v>
      </c>
      <c r="Q42" s="271"/>
      <c r="R42" s="62"/>
      <c r="S42" s="262"/>
      <c r="T42" s="239"/>
      <c r="U42" s="76"/>
      <c r="V42" s="239"/>
      <c r="W42" s="23">
        <v>0.5</v>
      </c>
      <c r="X42" s="22">
        <v>1</v>
      </c>
      <c r="Y42" s="64"/>
      <c r="Z42" s="64"/>
      <c r="AA42" s="76"/>
      <c r="AB42" s="240">
        <v>3</v>
      </c>
      <c r="AC42" s="239"/>
      <c r="AD42" s="22"/>
      <c r="AE42" s="22"/>
      <c r="AF42" s="22"/>
      <c r="AG42" s="22"/>
      <c r="AH42" s="22"/>
      <c r="AI42" s="76"/>
      <c r="AJ42" s="239"/>
      <c r="AK42" s="22"/>
      <c r="AL42" s="22"/>
      <c r="AM42" s="22"/>
      <c r="AN42" s="22"/>
      <c r="AO42" s="22"/>
      <c r="AP42" s="76"/>
      <c r="AQ42" s="239"/>
      <c r="AR42" s="22"/>
      <c r="AS42" s="22"/>
      <c r="AT42" s="22"/>
      <c r="AU42" s="22"/>
      <c r="AV42" s="22"/>
      <c r="AW42" s="76"/>
      <c r="AX42" s="287"/>
      <c r="AY42" s="20"/>
    </row>
    <row r="43" spans="2:54" ht="14.5">
      <c r="B43" s="439">
        <v>16</v>
      </c>
      <c r="C43" s="311" t="s">
        <v>106</v>
      </c>
      <c r="D43" s="250">
        <v>0.5</v>
      </c>
      <c r="E43" s="251">
        <f>2+5</f>
        <v>7</v>
      </c>
      <c r="F43" s="251"/>
      <c r="G43" s="251">
        <f>2+2</f>
        <v>4</v>
      </c>
      <c r="H43" s="251"/>
      <c r="I43" s="251"/>
      <c r="J43" s="251"/>
      <c r="K43" s="251"/>
      <c r="L43" s="251"/>
      <c r="M43" s="251"/>
      <c r="N43" s="251"/>
      <c r="O43" s="251">
        <v>2</v>
      </c>
      <c r="P43" s="252"/>
      <c r="Q43" s="272">
        <v>1</v>
      </c>
      <c r="R43" s="251">
        <v>1</v>
      </c>
      <c r="S43" s="263">
        <v>0.5</v>
      </c>
      <c r="T43" s="258"/>
      <c r="U43" s="279"/>
      <c r="V43" s="258"/>
      <c r="W43" s="259">
        <v>0.5</v>
      </c>
      <c r="X43" s="259">
        <v>0.5</v>
      </c>
      <c r="Y43" s="283"/>
      <c r="Z43" s="259"/>
      <c r="AA43" s="279"/>
      <c r="AB43" s="260"/>
      <c r="AC43" s="242"/>
      <c r="AD43" s="259">
        <v>0.5</v>
      </c>
      <c r="AE43" s="259">
        <v>0.5</v>
      </c>
      <c r="AF43" s="86"/>
      <c r="AG43" s="86"/>
      <c r="AH43" s="86"/>
      <c r="AI43" s="241"/>
      <c r="AJ43" s="242"/>
      <c r="AK43" s="259">
        <v>0.5</v>
      </c>
      <c r="AL43" s="259">
        <v>0.5</v>
      </c>
      <c r="AM43" s="86"/>
      <c r="AN43" s="86"/>
      <c r="AO43" s="86"/>
      <c r="AP43" s="241"/>
      <c r="AQ43" s="242"/>
      <c r="AR43" s="86">
        <v>0.5</v>
      </c>
      <c r="AS43" s="86"/>
      <c r="AT43" s="86"/>
      <c r="AU43" s="86"/>
      <c r="AV43" s="86"/>
      <c r="AW43" s="241"/>
      <c r="AX43" s="292"/>
      <c r="AY43" s="20"/>
    </row>
    <row r="44" spans="2:54" ht="14.5">
      <c r="B44" s="440"/>
      <c r="C44" s="441" t="s">
        <v>26</v>
      </c>
      <c r="D44" s="442">
        <f t="shared" ref="D44:AX44" si="0">SUM(D3:D43)</f>
        <v>22.5</v>
      </c>
      <c r="E44" s="443">
        <f t="shared" si="0"/>
        <v>47.5</v>
      </c>
      <c r="F44" s="443">
        <f t="shared" si="0"/>
        <v>29</v>
      </c>
      <c r="G44" s="443">
        <f t="shared" si="0"/>
        <v>81</v>
      </c>
      <c r="H44" s="443">
        <f t="shared" si="0"/>
        <v>0</v>
      </c>
      <c r="I44" s="443">
        <f t="shared" si="0"/>
        <v>19</v>
      </c>
      <c r="J44" s="443">
        <f t="shared" si="0"/>
        <v>10</v>
      </c>
      <c r="K44" s="443">
        <f t="shared" si="0"/>
        <v>1</v>
      </c>
      <c r="L44" s="443">
        <f t="shared" si="0"/>
        <v>0</v>
      </c>
      <c r="M44" s="443">
        <f t="shared" si="0"/>
        <v>0</v>
      </c>
      <c r="N44" s="443">
        <f t="shared" si="0"/>
        <v>0</v>
      </c>
      <c r="O44" s="443">
        <f t="shared" si="0"/>
        <v>7</v>
      </c>
      <c r="P44" s="444">
        <f t="shared" si="0"/>
        <v>3</v>
      </c>
      <c r="Q44" s="445">
        <f t="shared" si="0"/>
        <v>9</v>
      </c>
      <c r="R44" s="446">
        <f t="shared" si="0"/>
        <v>15</v>
      </c>
      <c r="S44" s="447">
        <f t="shared" si="0"/>
        <v>6.5</v>
      </c>
      <c r="T44" s="446">
        <f t="shared" si="0"/>
        <v>6</v>
      </c>
      <c r="U44" s="447">
        <f t="shared" si="0"/>
        <v>3</v>
      </c>
      <c r="V44" s="448">
        <f t="shared" si="0"/>
        <v>0.5</v>
      </c>
      <c r="W44" s="215">
        <f t="shared" si="0"/>
        <v>3.5</v>
      </c>
      <c r="X44" s="215">
        <f t="shared" si="0"/>
        <v>4</v>
      </c>
      <c r="Y44" s="215">
        <f t="shared" si="0"/>
        <v>0</v>
      </c>
      <c r="Z44" s="215">
        <f t="shared" si="0"/>
        <v>0</v>
      </c>
      <c r="AA44" s="215">
        <f t="shared" si="0"/>
        <v>1</v>
      </c>
      <c r="AB44" s="449">
        <f t="shared" si="0"/>
        <v>3</v>
      </c>
      <c r="AC44" s="448">
        <f t="shared" si="0"/>
        <v>0.5</v>
      </c>
      <c r="AD44" s="215">
        <f t="shared" si="0"/>
        <v>2.5</v>
      </c>
      <c r="AE44" s="215">
        <f t="shared" si="0"/>
        <v>2</v>
      </c>
      <c r="AF44" s="215">
        <f t="shared" si="0"/>
        <v>0</v>
      </c>
      <c r="AG44" s="215">
        <f t="shared" si="0"/>
        <v>0</v>
      </c>
      <c r="AH44" s="215">
        <f t="shared" si="0"/>
        <v>1</v>
      </c>
      <c r="AI44" s="449">
        <f t="shared" si="0"/>
        <v>0</v>
      </c>
      <c r="AJ44" s="448">
        <f t="shared" si="0"/>
        <v>0.5</v>
      </c>
      <c r="AK44" s="215">
        <f t="shared" si="0"/>
        <v>2.5</v>
      </c>
      <c r="AL44" s="215">
        <f t="shared" si="0"/>
        <v>2</v>
      </c>
      <c r="AM44" s="215">
        <f t="shared" si="0"/>
        <v>0</v>
      </c>
      <c r="AN44" s="215">
        <f t="shared" si="0"/>
        <v>0</v>
      </c>
      <c r="AO44" s="215">
        <f t="shared" si="0"/>
        <v>1</v>
      </c>
      <c r="AP44" s="449">
        <f t="shared" si="0"/>
        <v>0</v>
      </c>
      <c r="AQ44" s="448">
        <f t="shared" si="0"/>
        <v>0</v>
      </c>
      <c r="AR44" s="215">
        <f t="shared" si="0"/>
        <v>5.5</v>
      </c>
      <c r="AS44" s="215">
        <f t="shared" si="0"/>
        <v>0</v>
      </c>
      <c r="AT44" s="215">
        <f t="shared" si="0"/>
        <v>0</v>
      </c>
      <c r="AU44" s="215">
        <f t="shared" si="0"/>
        <v>0</v>
      </c>
      <c r="AV44" s="215">
        <f t="shared" si="0"/>
        <v>0</v>
      </c>
      <c r="AW44" s="449">
        <f t="shared" si="0"/>
        <v>0</v>
      </c>
      <c r="AX44" s="450">
        <f t="shared" si="0"/>
        <v>3</v>
      </c>
      <c r="AY44" s="19">
        <f>SUM(D44:AX44)</f>
        <v>292</v>
      </c>
    </row>
    <row r="45" spans="2:54" ht="14.5">
      <c r="B45" s="341"/>
      <c r="C45" s="451" t="s">
        <v>27</v>
      </c>
      <c r="D45" s="452">
        <v>14000</v>
      </c>
      <c r="E45" s="453">
        <v>8500</v>
      </c>
      <c r="F45" s="453">
        <v>14000</v>
      </c>
      <c r="G45" s="453">
        <v>14000</v>
      </c>
      <c r="H45" s="453">
        <v>8500</v>
      </c>
      <c r="I45" s="453">
        <v>8500</v>
      </c>
      <c r="J45" s="453">
        <v>8500</v>
      </c>
      <c r="K45" s="453">
        <v>8500</v>
      </c>
      <c r="L45" s="453">
        <v>8500</v>
      </c>
      <c r="M45" s="453">
        <v>14000</v>
      </c>
      <c r="N45" s="453">
        <v>8500</v>
      </c>
      <c r="O45" s="453">
        <v>8500</v>
      </c>
      <c r="P45" s="454">
        <v>8500</v>
      </c>
      <c r="Q45" s="219">
        <v>14000</v>
      </c>
      <c r="R45" s="220">
        <v>14000</v>
      </c>
      <c r="S45" s="455">
        <v>7500</v>
      </c>
      <c r="T45" s="220">
        <v>8500</v>
      </c>
      <c r="U45" s="455">
        <v>8500</v>
      </c>
      <c r="V45" s="273">
        <v>14000</v>
      </c>
      <c r="W45" s="220">
        <v>8500</v>
      </c>
      <c r="X45" s="220">
        <v>14000</v>
      </c>
      <c r="Y45" s="220">
        <v>8500</v>
      </c>
      <c r="Z45" s="220">
        <v>8500</v>
      </c>
      <c r="AA45" s="220">
        <v>8500</v>
      </c>
      <c r="AB45" s="455">
        <v>8500</v>
      </c>
      <c r="AC45" s="273">
        <v>14000</v>
      </c>
      <c r="AD45" s="220">
        <v>8500</v>
      </c>
      <c r="AE45" s="220">
        <v>14000</v>
      </c>
      <c r="AF45" s="220">
        <v>8500</v>
      </c>
      <c r="AG45" s="220">
        <v>8500</v>
      </c>
      <c r="AH45" s="220">
        <v>8500</v>
      </c>
      <c r="AI45" s="455">
        <v>8500</v>
      </c>
      <c r="AJ45" s="273">
        <v>14000</v>
      </c>
      <c r="AK45" s="220">
        <v>8500</v>
      </c>
      <c r="AL45" s="220">
        <v>14000</v>
      </c>
      <c r="AM45" s="220">
        <v>8500</v>
      </c>
      <c r="AN45" s="220">
        <v>8500</v>
      </c>
      <c r="AO45" s="220">
        <v>8500</v>
      </c>
      <c r="AP45" s="455">
        <v>8500</v>
      </c>
      <c r="AQ45" s="273">
        <v>14000</v>
      </c>
      <c r="AR45" s="220">
        <v>8500</v>
      </c>
      <c r="AS45" s="220">
        <v>14000</v>
      </c>
      <c r="AT45" s="220">
        <v>8500</v>
      </c>
      <c r="AU45" s="220">
        <v>8500</v>
      </c>
      <c r="AV45" s="220">
        <v>8500</v>
      </c>
      <c r="AW45" s="455">
        <v>8500</v>
      </c>
      <c r="AX45" s="293">
        <v>8500</v>
      </c>
      <c r="AY45" s="112"/>
    </row>
    <row r="46" spans="2:54" ht="16">
      <c r="B46" s="456"/>
      <c r="C46" s="457" t="s">
        <v>28</v>
      </c>
      <c r="D46" s="458">
        <f t="shared" ref="D46:V46" si="1">D44*D45</f>
        <v>315000</v>
      </c>
      <c r="E46" s="459">
        <f t="shared" si="1"/>
        <v>403750</v>
      </c>
      <c r="F46" s="459">
        <f t="shared" si="1"/>
        <v>406000</v>
      </c>
      <c r="G46" s="459">
        <f t="shared" si="1"/>
        <v>1134000</v>
      </c>
      <c r="H46" s="459">
        <f t="shared" si="1"/>
        <v>0</v>
      </c>
      <c r="I46" s="459">
        <f t="shared" si="1"/>
        <v>161500</v>
      </c>
      <c r="J46" s="459">
        <f t="shared" si="1"/>
        <v>85000</v>
      </c>
      <c r="K46" s="459">
        <f t="shared" si="1"/>
        <v>8500</v>
      </c>
      <c r="L46" s="459">
        <f t="shared" si="1"/>
        <v>0</v>
      </c>
      <c r="M46" s="459">
        <f t="shared" si="1"/>
        <v>0</v>
      </c>
      <c r="N46" s="459">
        <f t="shared" si="1"/>
        <v>0</v>
      </c>
      <c r="O46" s="459">
        <f t="shared" si="1"/>
        <v>59500</v>
      </c>
      <c r="P46" s="460">
        <f t="shared" si="1"/>
        <v>25500</v>
      </c>
      <c r="Q46" s="224">
        <f t="shared" si="1"/>
        <v>126000</v>
      </c>
      <c r="R46" s="225">
        <f t="shared" si="1"/>
        <v>210000</v>
      </c>
      <c r="S46" s="461">
        <f t="shared" si="1"/>
        <v>48750</v>
      </c>
      <c r="T46" s="225">
        <f t="shared" si="1"/>
        <v>51000</v>
      </c>
      <c r="U46" s="461">
        <f t="shared" si="1"/>
        <v>25500</v>
      </c>
      <c r="V46" s="462">
        <f t="shared" si="1"/>
        <v>7000</v>
      </c>
      <c r="W46" s="463">
        <f t="shared" ref="W46:AX46" si="2">W44*W45</f>
        <v>29750</v>
      </c>
      <c r="X46" s="463">
        <f t="shared" si="2"/>
        <v>56000</v>
      </c>
      <c r="Y46" s="463">
        <f t="shared" si="2"/>
        <v>0</v>
      </c>
      <c r="Z46" s="463">
        <f t="shared" si="2"/>
        <v>0</v>
      </c>
      <c r="AA46" s="463">
        <f t="shared" si="2"/>
        <v>8500</v>
      </c>
      <c r="AB46" s="464">
        <f t="shared" si="2"/>
        <v>25500</v>
      </c>
      <c r="AC46" s="462">
        <f t="shared" si="2"/>
        <v>7000</v>
      </c>
      <c r="AD46" s="463">
        <f t="shared" si="2"/>
        <v>21250</v>
      </c>
      <c r="AE46" s="463">
        <f t="shared" si="2"/>
        <v>28000</v>
      </c>
      <c r="AF46" s="463">
        <f t="shared" si="2"/>
        <v>0</v>
      </c>
      <c r="AG46" s="463">
        <f t="shared" si="2"/>
        <v>0</v>
      </c>
      <c r="AH46" s="463">
        <f t="shared" si="2"/>
        <v>8500</v>
      </c>
      <c r="AI46" s="464">
        <f t="shared" si="2"/>
        <v>0</v>
      </c>
      <c r="AJ46" s="462">
        <f t="shared" si="2"/>
        <v>7000</v>
      </c>
      <c r="AK46" s="463">
        <f t="shared" si="2"/>
        <v>21250</v>
      </c>
      <c r="AL46" s="463">
        <f t="shared" si="2"/>
        <v>28000</v>
      </c>
      <c r="AM46" s="463">
        <f t="shared" si="2"/>
        <v>0</v>
      </c>
      <c r="AN46" s="463">
        <f t="shared" si="2"/>
        <v>0</v>
      </c>
      <c r="AO46" s="463">
        <f t="shared" si="2"/>
        <v>8500</v>
      </c>
      <c r="AP46" s="464">
        <f t="shared" si="2"/>
        <v>0</v>
      </c>
      <c r="AQ46" s="462">
        <f t="shared" si="2"/>
        <v>0</v>
      </c>
      <c r="AR46" s="463">
        <f t="shared" si="2"/>
        <v>46750</v>
      </c>
      <c r="AS46" s="463">
        <f t="shared" si="2"/>
        <v>0</v>
      </c>
      <c r="AT46" s="463">
        <f t="shared" si="2"/>
        <v>0</v>
      </c>
      <c r="AU46" s="463">
        <f t="shared" si="2"/>
        <v>0</v>
      </c>
      <c r="AV46" s="463">
        <f t="shared" si="2"/>
        <v>0</v>
      </c>
      <c r="AW46" s="464">
        <f t="shared" si="2"/>
        <v>0</v>
      </c>
      <c r="AX46" s="465">
        <f t="shared" si="2"/>
        <v>25500</v>
      </c>
      <c r="AY46" s="243">
        <f>SUM(D46:AX46)</f>
        <v>3388500</v>
      </c>
      <c r="AZ46" s="281">
        <f>AY46*0.15</f>
        <v>508275</v>
      </c>
      <c r="BA46" s="281">
        <f>AY46+AZ46</f>
        <v>3896775</v>
      </c>
    </row>
    <row r="47" spans="2:54" ht="13.5" customHeight="1">
      <c r="BA47" s="281">
        <v>3900000</v>
      </c>
    </row>
    <row r="48" spans="2:54" ht="14.5">
      <c r="D48" s="19">
        <f t="shared" ref="D48:P48" si="3">D44*8</f>
        <v>180</v>
      </c>
      <c r="E48" s="19">
        <f t="shared" si="3"/>
        <v>380</v>
      </c>
      <c r="F48" s="19">
        <f t="shared" si="3"/>
        <v>232</v>
      </c>
      <c r="G48" s="19">
        <f t="shared" si="3"/>
        <v>648</v>
      </c>
      <c r="H48" s="19">
        <f t="shared" si="3"/>
        <v>0</v>
      </c>
      <c r="I48" s="19">
        <f t="shared" si="3"/>
        <v>152</v>
      </c>
      <c r="J48" s="19">
        <f t="shared" si="3"/>
        <v>80</v>
      </c>
      <c r="K48" s="19">
        <f t="shared" si="3"/>
        <v>8</v>
      </c>
      <c r="L48" s="19">
        <f t="shared" si="3"/>
        <v>0</v>
      </c>
      <c r="M48" s="19">
        <f t="shared" si="3"/>
        <v>0</v>
      </c>
      <c r="N48" s="19">
        <f t="shared" si="3"/>
        <v>0</v>
      </c>
      <c r="O48" s="19">
        <f t="shared" si="3"/>
        <v>56</v>
      </c>
      <c r="P48" s="19">
        <f t="shared" si="3"/>
        <v>24</v>
      </c>
      <c r="R48" s="19">
        <f>R44*8</f>
        <v>120</v>
      </c>
      <c r="S48" s="19">
        <f>S44*8</f>
        <v>52</v>
      </c>
      <c r="V48" s="19">
        <f>V44*8</f>
        <v>4</v>
      </c>
      <c r="W48" s="19">
        <f>W44*8</f>
        <v>28</v>
      </c>
      <c r="AB48" s="19">
        <f>AB44*8</f>
        <v>24</v>
      </c>
      <c r="AC48" s="19">
        <f>AC44*8</f>
        <v>4</v>
      </c>
      <c r="AD48" s="19">
        <f>AD44*8</f>
        <v>20</v>
      </c>
      <c r="AI48" s="19">
        <f>AI44*8</f>
        <v>0</v>
      </c>
      <c r="AJ48" s="19">
        <f>AJ44*8</f>
        <v>4</v>
      </c>
      <c r="AK48" s="19">
        <f>AK44*8</f>
        <v>20</v>
      </c>
      <c r="AP48" s="19">
        <f>AP44*8</f>
        <v>0</v>
      </c>
      <c r="AQ48" s="19">
        <f>AQ44*8</f>
        <v>0</v>
      </c>
      <c r="AR48" s="19">
        <f>AR44*8</f>
        <v>44</v>
      </c>
      <c r="AW48" s="19">
        <f>AW44*8</f>
        <v>0</v>
      </c>
      <c r="AX48" s="19">
        <f>AX44*8</f>
        <v>24</v>
      </c>
    </row>
    <row r="51" spans="3:3" ht="43.5">
      <c r="C51" s="228" t="s">
        <v>107</v>
      </c>
    </row>
    <row r="52" spans="3:3" ht="14.5"/>
  </sheetData>
  <mergeCells count="11">
    <mergeCell ref="D33:D37"/>
    <mergeCell ref="E33:E37"/>
    <mergeCell ref="AQ1:AW1"/>
    <mergeCell ref="AJ1:AP1"/>
    <mergeCell ref="AC1:AI1"/>
    <mergeCell ref="F33:F37"/>
    <mergeCell ref="G33:G37"/>
    <mergeCell ref="T1:U1"/>
    <mergeCell ref="V1:AB1"/>
    <mergeCell ref="I28:I29"/>
    <mergeCell ref="Q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2608F-8EE3-420C-9393-C7FA00F14F96}">
  <dimension ref="A1:DX117"/>
  <sheetViews>
    <sheetView zoomScale="110" zoomScaleNormal="110" workbookViewId="0">
      <pane xSplit="3" ySplit="2" topLeftCell="AU20" activePane="bottomRight" state="frozen"/>
      <selection pane="topRight" activeCell="D1" sqref="D1"/>
      <selection pane="bottomLeft" activeCell="A3" sqref="A3"/>
      <selection pane="bottomRight" activeCell="J16" sqref="J16"/>
    </sheetView>
  </sheetViews>
  <sheetFormatPr defaultColWidth="8.6328125" defaultRowHeight="13.5" customHeight="1"/>
  <cols>
    <col min="1" max="1" width="4.36328125" style="20" customWidth="1"/>
    <col min="2" max="2" width="5.08984375" style="87" customWidth="1"/>
    <col min="3" max="3" width="61.36328125" style="20" customWidth="1"/>
    <col min="4" max="4" width="27.36328125" style="19" bestFit="1" customWidth="1"/>
    <col min="5" max="5" width="12" style="19" customWidth="1"/>
    <col min="6" max="6" width="12.6328125" style="19" customWidth="1"/>
    <col min="7" max="7" width="14.90625" style="19" customWidth="1"/>
    <col min="8" max="8" width="16.6328125" style="19" customWidth="1"/>
    <col min="9" max="10" width="11.6328125" style="19" customWidth="1"/>
    <col min="11" max="11" width="12.6328125" style="19" customWidth="1"/>
    <col min="12" max="12" width="11.90625" style="19" customWidth="1"/>
    <col min="13" max="13" width="11.36328125" style="19" customWidth="1"/>
    <col min="14" max="14" width="12.36328125" style="19" customWidth="1"/>
    <col min="15" max="15" width="11.36328125" style="19" customWidth="1"/>
    <col min="16" max="18" width="12.6328125" style="19" customWidth="1"/>
    <col min="19" max="49" width="13.08984375" style="19" customWidth="1"/>
    <col min="50" max="50" width="22.36328125" style="19" bestFit="1" customWidth="1"/>
    <col min="51" max="51" width="17.36328125" style="19" customWidth="1"/>
    <col min="52" max="52" width="11.08984375" style="20" bestFit="1" customWidth="1"/>
    <col min="53" max="53" width="15.36328125" style="20" bestFit="1" customWidth="1"/>
    <col min="54" max="16384" width="8.6328125" style="20"/>
  </cols>
  <sheetData>
    <row r="1" spans="1:128" ht="15" customHeight="1">
      <c r="Q1" s="1037" t="s">
        <v>60</v>
      </c>
      <c r="R1" s="1038"/>
      <c r="S1" s="1039"/>
      <c r="T1" s="1038" t="s">
        <v>61</v>
      </c>
      <c r="U1" s="1038"/>
      <c r="V1" s="1040" t="s">
        <v>62</v>
      </c>
      <c r="W1" s="1033"/>
      <c r="X1" s="1033"/>
      <c r="Y1" s="1033"/>
      <c r="Z1" s="1033"/>
      <c r="AA1" s="1033"/>
      <c r="AB1" s="1041"/>
      <c r="AC1" s="1033" t="s">
        <v>63</v>
      </c>
      <c r="AD1" s="1033"/>
      <c r="AE1" s="1033"/>
      <c r="AF1" s="1033"/>
      <c r="AG1" s="1033"/>
      <c r="AH1" s="1033"/>
      <c r="AI1" s="1041"/>
      <c r="AJ1" s="1033" t="s">
        <v>64</v>
      </c>
      <c r="AK1" s="1033"/>
      <c r="AL1" s="1033"/>
      <c r="AM1" s="1033"/>
      <c r="AN1" s="1033"/>
      <c r="AO1" s="1033"/>
      <c r="AP1" s="1041"/>
      <c r="AQ1" s="1033" t="s">
        <v>65</v>
      </c>
      <c r="AR1" s="1033"/>
      <c r="AS1" s="1033"/>
      <c r="AT1" s="1033"/>
      <c r="AU1" s="1033"/>
      <c r="AV1" s="1033"/>
      <c r="AW1" s="1033"/>
      <c r="AX1" s="285" t="s">
        <v>114</v>
      </c>
      <c r="AY1" s="20"/>
    </row>
    <row r="2" spans="1:128" ht="29">
      <c r="B2" s="312" t="s">
        <v>29</v>
      </c>
      <c r="C2" s="313" t="s">
        <v>30</v>
      </c>
      <c r="D2" s="314" t="s">
        <v>3</v>
      </c>
      <c r="E2" s="315" t="s">
        <v>31</v>
      </c>
      <c r="F2" s="315" t="s">
        <v>5</v>
      </c>
      <c r="G2" s="315" t="s">
        <v>108</v>
      </c>
      <c r="H2" s="315" t="s">
        <v>32</v>
      </c>
      <c r="I2" s="315" t="s">
        <v>7</v>
      </c>
      <c r="J2" s="315" t="s">
        <v>68</v>
      </c>
      <c r="K2" s="315" t="s">
        <v>69</v>
      </c>
      <c r="L2" s="315" t="s">
        <v>8</v>
      </c>
      <c r="M2" s="315" t="s">
        <v>9</v>
      </c>
      <c r="N2" s="315" t="s">
        <v>10</v>
      </c>
      <c r="O2" s="315" t="s">
        <v>35</v>
      </c>
      <c r="P2" s="316" t="s">
        <v>11</v>
      </c>
      <c r="Q2" s="317" t="s">
        <v>70</v>
      </c>
      <c r="R2" s="318" t="s">
        <v>71</v>
      </c>
      <c r="S2" s="319" t="s">
        <v>34</v>
      </c>
      <c r="T2" s="269" t="s">
        <v>72</v>
      </c>
      <c r="U2" s="276" t="s">
        <v>73</v>
      </c>
      <c r="V2" s="274" t="s">
        <v>74</v>
      </c>
      <c r="W2" s="275" t="s">
        <v>31</v>
      </c>
      <c r="X2" s="275" t="s">
        <v>6</v>
      </c>
      <c r="Y2" s="275" t="s">
        <v>75</v>
      </c>
      <c r="Z2" s="275" t="s">
        <v>7</v>
      </c>
      <c r="AA2" s="275" t="s">
        <v>76</v>
      </c>
      <c r="AB2" s="280" t="s">
        <v>77</v>
      </c>
      <c r="AC2" s="274" t="s">
        <v>74</v>
      </c>
      <c r="AD2" s="275" t="s">
        <v>31</v>
      </c>
      <c r="AE2" s="275" t="s">
        <v>6</v>
      </c>
      <c r="AF2" s="275" t="s">
        <v>75</v>
      </c>
      <c r="AG2" s="275" t="s">
        <v>7</v>
      </c>
      <c r="AH2" s="275" t="s">
        <v>76</v>
      </c>
      <c r="AI2" s="280" t="s">
        <v>77</v>
      </c>
      <c r="AJ2" s="274" t="s">
        <v>74</v>
      </c>
      <c r="AK2" s="275" t="s">
        <v>31</v>
      </c>
      <c r="AL2" s="275" t="s">
        <v>75</v>
      </c>
      <c r="AM2" s="275" t="s">
        <v>75</v>
      </c>
      <c r="AN2" s="275" t="s">
        <v>7</v>
      </c>
      <c r="AO2" s="275" t="s">
        <v>76</v>
      </c>
      <c r="AP2" s="280" t="s">
        <v>77</v>
      </c>
      <c r="AQ2" s="274" t="s">
        <v>74</v>
      </c>
      <c r="AR2" s="275" t="s">
        <v>31</v>
      </c>
      <c r="AS2" s="275" t="s">
        <v>6</v>
      </c>
      <c r="AT2" s="275" t="s">
        <v>75</v>
      </c>
      <c r="AU2" s="275" t="s">
        <v>7</v>
      </c>
      <c r="AV2" s="275" t="s">
        <v>76</v>
      </c>
      <c r="AW2" s="280" t="s">
        <v>77</v>
      </c>
      <c r="AX2" s="286" t="s">
        <v>78</v>
      </c>
      <c r="AY2" s="20"/>
    </row>
    <row r="3" spans="1:128" ht="14.5">
      <c r="B3" s="320">
        <v>1</v>
      </c>
      <c r="C3" s="321" t="s">
        <v>36</v>
      </c>
      <c r="D3" s="233">
        <v>2</v>
      </c>
      <c r="E3" s="62">
        <v>2</v>
      </c>
      <c r="F3" s="322"/>
      <c r="G3" s="322"/>
      <c r="H3" s="322"/>
      <c r="I3" s="322"/>
      <c r="J3" s="322"/>
      <c r="K3" s="322"/>
      <c r="L3" s="322"/>
      <c r="M3" s="322"/>
      <c r="N3" s="322"/>
      <c r="O3" s="322"/>
      <c r="P3" s="323"/>
      <c r="Q3" s="324"/>
      <c r="R3" s="325"/>
      <c r="S3" s="326"/>
      <c r="T3" s="327"/>
      <c r="U3" s="328"/>
      <c r="V3" s="329"/>
      <c r="W3" s="99"/>
      <c r="X3" s="99"/>
      <c r="Y3" s="99"/>
      <c r="Z3" s="99"/>
      <c r="AA3" s="99"/>
      <c r="AB3" s="330"/>
      <c r="AC3" s="329"/>
      <c r="AD3" s="99"/>
      <c r="AE3" s="99"/>
      <c r="AF3" s="99"/>
      <c r="AG3" s="99"/>
      <c r="AH3" s="99"/>
      <c r="AI3" s="330"/>
      <c r="AJ3" s="329"/>
      <c r="AK3" s="99"/>
      <c r="AL3" s="99"/>
      <c r="AM3" s="99"/>
      <c r="AN3" s="99"/>
      <c r="AO3" s="99"/>
      <c r="AP3" s="330"/>
      <c r="AQ3" s="329"/>
      <c r="AR3" s="99"/>
      <c r="AS3" s="99"/>
      <c r="AT3" s="99"/>
      <c r="AU3" s="99"/>
      <c r="AV3" s="99"/>
      <c r="AW3" s="330"/>
      <c r="AX3" s="331"/>
      <c r="AY3" s="20"/>
    </row>
    <row r="4" spans="1:128" s="108" customFormat="1" ht="14.5">
      <c r="A4" s="20"/>
      <c r="B4" s="332">
        <v>2</v>
      </c>
      <c r="C4" s="333" t="s">
        <v>79</v>
      </c>
      <c r="D4" s="229">
        <v>1</v>
      </c>
      <c r="E4" s="230">
        <v>0.5</v>
      </c>
      <c r="F4" s="334"/>
      <c r="G4" s="334"/>
      <c r="H4" s="334"/>
      <c r="I4" s="334"/>
      <c r="J4" s="231"/>
      <c r="K4" s="231"/>
      <c r="L4" s="231"/>
      <c r="M4" s="231"/>
      <c r="N4" s="231"/>
      <c r="O4" s="231"/>
      <c r="P4" s="232"/>
      <c r="Q4" s="335"/>
      <c r="R4" s="334"/>
      <c r="S4" s="336"/>
      <c r="T4" s="337"/>
      <c r="U4" s="338"/>
      <c r="V4" s="337"/>
      <c r="W4" s="105"/>
      <c r="X4" s="105"/>
      <c r="Y4" s="105"/>
      <c r="Z4" s="105"/>
      <c r="AA4" s="105"/>
      <c r="AB4" s="338"/>
      <c r="AC4" s="337"/>
      <c r="AD4" s="105"/>
      <c r="AE4" s="105"/>
      <c r="AF4" s="105"/>
      <c r="AG4" s="105"/>
      <c r="AH4" s="105"/>
      <c r="AI4" s="338"/>
      <c r="AJ4" s="337"/>
      <c r="AK4" s="105"/>
      <c r="AL4" s="105"/>
      <c r="AM4" s="105"/>
      <c r="AN4" s="105"/>
      <c r="AO4" s="105"/>
      <c r="AP4" s="338"/>
      <c r="AQ4" s="337"/>
      <c r="AR4" s="105"/>
      <c r="AS4" s="105"/>
      <c r="AT4" s="105"/>
      <c r="AU4" s="105"/>
      <c r="AV4" s="105"/>
      <c r="AW4" s="338"/>
      <c r="AX4" s="339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</row>
    <row r="5" spans="1:128" s="108" customFormat="1" ht="14.5">
      <c r="A5" s="20"/>
      <c r="B5" s="332">
        <v>2</v>
      </c>
      <c r="C5" s="333" t="s">
        <v>80</v>
      </c>
      <c r="D5" s="229">
        <v>5</v>
      </c>
      <c r="E5" s="230">
        <v>2</v>
      </c>
      <c r="F5" s="334"/>
      <c r="G5" s="334"/>
      <c r="H5" s="334"/>
      <c r="I5" s="334"/>
      <c r="J5" s="334"/>
      <c r="K5" s="334"/>
      <c r="L5" s="334"/>
      <c r="M5" s="334"/>
      <c r="N5" s="334"/>
      <c r="O5" s="334"/>
      <c r="P5" s="340"/>
      <c r="Q5" s="335"/>
      <c r="R5" s="334"/>
      <c r="S5" s="336"/>
      <c r="T5" s="337"/>
      <c r="U5" s="338"/>
      <c r="V5" s="337"/>
      <c r="W5" s="105"/>
      <c r="X5" s="105"/>
      <c r="Y5" s="105"/>
      <c r="Z5" s="105"/>
      <c r="AA5" s="105"/>
      <c r="AB5" s="338"/>
      <c r="AC5" s="337"/>
      <c r="AD5" s="105"/>
      <c r="AE5" s="105"/>
      <c r="AF5" s="105"/>
      <c r="AG5" s="105"/>
      <c r="AH5" s="105"/>
      <c r="AI5" s="338"/>
      <c r="AJ5" s="337"/>
      <c r="AK5" s="105"/>
      <c r="AL5" s="105"/>
      <c r="AM5" s="105"/>
      <c r="AN5" s="105"/>
      <c r="AO5" s="105"/>
      <c r="AP5" s="338"/>
      <c r="AQ5" s="337"/>
      <c r="AR5" s="105"/>
      <c r="AS5" s="105"/>
      <c r="AT5" s="105"/>
      <c r="AU5" s="105"/>
      <c r="AV5" s="105"/>
      <c r="AW5" s="338"/>
      <c r="AX5" s="339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</row>
    <row r="6" spans="1:128" ht="14.5">
      <c r="B6" s="341">
        <v>3</v>
      </c>
      <c r="C6" s="342" t="s">
        <v>38</v>
      </c>
      <c r="D6" s="233">
        <v>1</v>
      </c>
      <c r="E6" s="62">
        <v>1</v>
      </c>
      <c r="F6" s="322">
        <v>1</v>
      </c>
      <c r="G6" s="322"/>
      <c r="H6" s="322"/>
      <c r="I6" s="322">
        <v>1</v>
      </c>
      <c r="J6" s="322"/>
      <c r="K6" s="322"/>
      <c r="L6" s="322"/>
      <c r="M6" s="322"/>
      <c r="N6" s="322"/>
      <c r="O6" s="322"/>
      <c r="P6" s="323"/>
      <c r="Q6" s="343"/>
      <c r="R6" s="322">
        <v>1</v>
      </c>
      <c r="S6" s="344"/>
      <c r="T6" s="345"/>
      <c r="U6" s="346"/>
      <c r="V6" s="239"/>
      <c r="W6" s="22"/>
      <c r="X6" s="22"/>
      <c r="Y6" s="22"/>
      <c r="Z6" s="22"/>
      <c r="AA6" s="22"/>
      <c r="AB6" s="76"/>
      <c r="AC6" s="239"/>
      <c r="AD6" s="22"/>
      <c r="AE6" s="22"/>
      <c r="AF6" s="22"/>
      <c r="AG6" s="22"/>
      <c r="AH6" s="22"/>
      <c r="AI6" s="76"/>
      <c r="AJ6" s="239"/>
      <c r="AK6" s="22"/>
      <c r="AL6" s="22"/>
      <c r="AM6" s="22"/>
      <c r="AN6" s="22"/>
      <c r="AO6" s="22"/>
      <c r="AP6" s="76"/>
      <c r="AQ6" s="239"/>
      <c r="AR6" s="22"/>
      <c r="AS6" s="22"/>
      <c r="AT6" s="22"/>
      <c r="AU6" s="22"/>
      <c r="AV6" s="22"/>
      <c r="AW6" s="76"/>
      <c r="AX6" s="287"/>
      <c r="AY6" s="20"/>
    </row>
    <row r="7" spans="1:128" ht="14.5">
      <c r="B7" s="341">
        <v>4</v>
      </c>
      <c r="C7" s="342" t="s">
        <v>81</v>
      </c>
      <c r="D7" s="233">
        <v>1</v>
      </c>
      <c r="E7" s="62">
        <v>2</v>
      </c>
      <c r="F7" s="322"/>
      <c r="G7" s="322"/>
      <c r="H7" s="322"/>
      <c r="I7" s="322"/>
      <c r="J7" s="322"/>
      <c r="K7" s="322"/>
      <c r="L7" s="322"/>
      <c r="M7" s="322"/>
      <c r="N7" s="322"/>
      <c r="O7" s="322"/>
      <c r="P7" s="323"/>
      <c r="Q7" s="343"/>
      <c r="R7" s="322"/>
      <c r="S7" s="344"/>
      <c r="T7" s="345"/>
      <c r="U7" s="346"/>
      <c r="V7" s="239"/>
      <c r="W7" s="113"/>
      <c r="X7" s="113"/>
      <c r="Y7" s="113"/>
      <c r="Z7" s="113"/>
      <c r="AA7" s="113"/>
      <c r="AB7" s="346"/>
      <c r="AC7" s="239"/>
      <c r="AD7" s="113"/>
      <c r="AE7" s="113"/>
      <c r="AF7" s="113"/>
      <c r="AG7" s="113"/>
      <c r="AH7" s="113"/>
      <c r="AI7" s="346"/>
      <c r="AJ7" s="239"/>
      <c r="AK7" s="113"/>
      <c r="AL7" s="113"/>
      <c r="AM7" s="113"/>
      <c r="AN7" s="113"/>
      <c r="AO7" s="113"/>
      <c r="AP7" s="346"/>
      <c r="AQ7" s="239"/>
      <c r="AR7" s="113"/>
      <c r="AS7" s="113"/>
      <c r="AT7" s="113"/>
      <c r="AU7" s="113"/>
      <c r="AV7" s="113"/>
      <c r="AW7" s="346"/>
      <c r="AX7" s="287"/>
      <c r="AY7" s="20"/>
    </row>
    <row r="8" spans="1:128" s="135" customFormat="1" ht="14.5">
      <c r="A8" s="20"/>
      <c r="B8" s="363">
        <v>6</v>
      </c>
      <c r="C8" s="364" t="s">
        <v>83</v>
      </c>
      <c r="D8" s="1052">
        <v>2</v>
      </c>
      <c r="E8" s="366"/>
      <c r="F8" s="366"/>
      <c r="G8" s="366"/>
      <c r="H8" s="366"/>
      <c r="I8" s="366"/>
      <c r="J8" s="366"/>
      <c r="K8" s="366"/>
      <c r="L8" s="366"/>
      <c r="M8" s="366"/>
      <c r="N8" s="366"/>
      <c r="O8" s="366"/>
      <c r="P8" s="367"/>
      <c r="Q8" s="368"/>
      <c r="R8" s="366"/>
      <c r="S8" s="369"/>
      <c r="T8" s="370"/>
      <c r="U8" s="371"/>
      <c r="V8" s="370"/>
      <c r="W8" s="198"/>
      <c r="X8" s="198"/>
      <c r="Y8" s="198"/>
      <c r="Z8" s="198"/>
      <c r="AA8" s="198"/>
      <c r="AB8" s="371"/>
      <c r="AC8" s="370"/>
      <c r="AD8" s="198"/>
      <c r="AE8" s="198"/>
      <c r="AF8" s="198"/>
      <c r="AG8" s="198"/>
      <c r="AH8" s="198"/>
      <c r="AI8" s="371"/>
      <c r="AJ8" s="370"/>
      <c r="AK8" s="198"/>
      <c r="AL8" s="198"/>
      <c r="AM8" s="198"/>
      <c r="AN8" s="198"/>
      <c r="AO8" s="198"/>
      <c r="AP8" s="371"/>
      <c r="AQ8" s="370"/>
      <c r="AR8" s="198"/>
      <c r="AS8" s="198"/>
      <c r="AT8" s="198"/>
      <c r="AU8" s="198"/>
      <c r="AV8" s="198"/>
      <c r="AW8" s="371"/>
      <c r="AX8" s="372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</row>
    <row r="9" spans="1:128" ht="18.75" customHeight="1">
      <c r="B9" s="373">
        <v>6.1</v>
      </c>
      <c r="C9" s="374" t="s">
        <v>84</v>
      </c>
      <c r="D9" s="1053"/>
      <c r="E9" s="376"/>
      <c r="F9" s="376"/>
      <c r="G9" s="376"/>
      <c r="H9" s="376"/>
      <c r="I9" s="376"/>
      <c r="J9" s="377"/>
      <c r="K9" s="377"/>
      <c r="L9" s="376"/>
      <c r="M9" s="376"/>
      <c r="N9" s="376"/>
      <c r="O9" s="377"/>
      <c r="P9" s="378"/>
      <c r="Q9" s="379"/>
      <c r="R9" s="376"/>
      <c r="S9" s="380"/>
      <c r="T9" s="381"/>
      <c r="U9" s="382"/>
      <c r="V9" s="381"/>
      <c r="W9" s="133"/>
      <c r="X9" s="133"/>
      <c r="Y9" s="133"/>
      <c r="Z9" s="133"/>
      <c r="AA9" s="133"/>
      <c r="AB9" s="382"/>
      <c r="AC9" s="381"/>
      <c r="AD9" s="133"/>
      <c r="AE9" s="133"/>
      <c r="AF9" s="133"/>
      <c r="AG9" s="133"/>
      <c r="AH9" s="133"/>
      <c r="AI9" s="382"/>
      <c r="AJ9" s="381"/>
      <c r="AK9" s="133"/>
      <c r="AL9" s="133"/>
      <c r="AM9" s="133"/>
      <c r="AN9" s="133"/>
      <c r="AO9" s="133"/>
      <c r="AP9" s="382"/>
      <c r="AQ9" s="381"/>
      <c r="AR9" s="133"/>
      <c r="AS9" s="133"/>
      <c r="AT9" s="133"/>
      <c r="AU9" s="133"/>
      <c r="AV9" s="133"/>
      <c r="AW9" s="382"/>
      <c r="AX9" s="383"/>
      <c r="AY9" s="20"/>
    </row>
    <row r="10" spans="1:128" ht="87" customHeight="1">
      <c r="B10" s="373"/>
      <c r="C10" s="374" t="s">
        <v>115</v>
      </c>
      <c r="D10" s="1053"/>
      <c r="E10" s="376"/>
      <c r="F10" s="376"/>
      <c r="G10" s="376"/>
      <c r="H10" s="376"/>
      <c r="I10" s="376"/>
      <c r="J10" s="377"/>
      <c r="K10" s="377"/>
      <c r="L10" s="376">
        <v>3</v>
      </c>
      <c r="M10" s="376">
        <v>0.5</v>
      </c>
      <c r="N10" s="376"/>
      <c r="O10" s="377"/>
      <c r="P10" s="378"/>
      <c r="Q10" s="379"/>
      <c r="R10" s="376">
        <v>6</v>
      </c>
      <c r="S10" s="380">
        <v>4</v>
      </c>
      <c r="T10" s="381"/>
      <c r="U10" s="382"/>
      <c r="V10" s="381"/>
      <c r="W10" s="133"/>
      <c r="X10" s="133"/>
      <c r="Y10" s="133"/>
      <c r="Z10" s="133"/>
      <c r="AA10" s="133"/>
      <c r="AB10" s="382"/>
      <c r="AC10" s="381"/>
      <c r="AD10" s="133"/>
      <c r="AE10" s="133"/>
      <c r="AF10" s="133"/>
      <c r="AG10" s="133"/>
      <c r="AH10" s="133"/>
      <c r="AI10" s="382"/>
      <c r="AJ10" s="381"/>
      <c r="AK10" s="133"/>
      <c r="AL10" s="133"/>
      <c r="AM10" s="133"/>
      <c r="AN10" s="133"/>
      <c r="AO10" s="133"/>
      <c r="AP10" s="382"/>
      <c r="AQ10" s="381"/>
      <c r="AR10" s="133"/>
      <c r="AS10" s="133"/>
      <c r="AT10" s="133"/>
      <c r="AU10" s="133"/>
      <c r="AV10" s="133"/>
      <c r="AW10" s="382"/>
      <c r="AX10" s="383"/>
      <c r="AY10" s="20"/>
    </row>
    <row r="11" spans="1:128" ht="18.5">
      <c r="B11" s="373"/>
      <c r="C11" s="374" t="s">
        <v>116</v>
      </c>
      <c r="D11" s="1053"/>
      <c r="E11" s="376"/>
      <c r="F11" s="376"/>
      <c r="G11" s="376"/>
      <c r="H11" s="376"/>
      <c r="I11" s="376"/>
      <c r="J11" s="377"/>
      <c r="K11" s="377"/>
      <c r="L11" s="376"/>
      <c r="M11" s="376"/>
      <c r="N11" s="376"/>
      <c r="O11" s="377"/>
      <c r="P11" s="378"/>
      <c r="Q11" s="379"/>
      <c r="R11" s="376"/>
      <c r="S11" s="380"/>
      <c r="T11" s="381"/>
      <c r="U11" s="382"/>
      <c r="V11" s="381"/>
      <c r="W11" s="133"/>
      <c r="X11" s="133"/>
      <c r="Y11" s="133"/>
      <c r="Z11" s="133"/>
      <c r="AA11" s="133"/>
      <c r="AB11" s="382"/>
      <c r="AC11" s="381"/>
      <c r="AD11" s="133"/>
      <c r="AE11" s="133"/>
      <c r="AF11" s="133"/>
      <c r="AG11" s="133"/>
      <c r="AH11" s="133"/>
      <c r="AI11" s="382"/>
      <c r="AJ11" s="381"/>
      <c r="AK11" s="133"/>
      <c r="AL11" s="133"/>
      <c r="AM11" s="133"/>
      <c r="AN11" s="133"/>
      <c r="AO11" s="133"/>
      <c r="AP11" s="382"/>
      <c r="AQ11" s="381"/>
      <c r="AR11" s="133"/>
      <c r="AS11" s="133"/>
      <c r="AT11" s="133"/>
      <c r="AU11" s="133"/>
      <c r="AV11" s="133"/>
      <c r="AW11" s="382"/>
      <c r="AX11" s="383"/>
      <c r="AY11" s="20"/>
    </row>
    <row r="12" spans="1:128" ht="18.5">
      <c r="B12" s="373"/>
      <c r="C12" s="374" t="s">
        <v>117</v>
      </c>
      <c r="D12" s="1053"/>
      <c r="E12" s="376"/>
      <c r="F12" s="376"/>
      <c r="G12" s="376"/>
      <c r="H12" s="376"/>
      <c r="I12" s="376"/>
      <c r="J12" s="377"/>
      <c r="K12" s="377"/>
      <c r="L12" s="376"/>
      <c r="M12" s="376"/>
      <c r="N12" s="376"/>
      <c r="O12" s="377"/>
      <c r="P12" s="378"/>
      <c r="Q12" s="379"/>
      <c r="R12" s="376"/>
      <c r="S12" s="380"/>
      <c r="T12" s="381"/>
      <c r="U12" s="382"/>
      <c r="V12" s="381"/>
      <c r="W12" s="133"/>
      <c r="X12" s="133"/>
      <c r="Y12" s="133"/>
      <c r="Z12" s="133"/>
      <c r="AA12" s="133"/>
      <c r="AB12" s="382"/>
      <c r="AC12" s="381"/>
      <c r="AD12" s="133"/>
      <c r="AE12" s="133"/>
      <c r="AF12" s="133"/>
      <c r="AG12" s="133"/>
      <c r="AH12" s="133"/>
      <c r="AI12" s="382"/>
      <c r="AJ12" s="381"/>
      <c r="AK12" s="133"/>
      <c r="AL12" s="133"/>
      <c r="AM12" s="133"/>
      <c r="AN12" s="133"/>
      <c r="AO12" s="133"/>
      <c r="AP12" s="382"/>
      <c r="AQ12" s="381"/>
      <c r="AR12" s="133"/>
      <c r="AS12" s="133"/>
      <c r="AT12" s="133"/>
      <c r="AU12" s="133"/>
      <c r="AV12" s="133"/>
      <c r="AW12" s="382"/>
      <c r="AX12" s="383"/>
      <c r="AY12" s="20"/>
    </row>
    <row r="13" spans="1:128" ht="18.5">
      <c r="B13" s="373"/>
      <c r="C13" s="374" t="s">
        <v>118</v>
      </c>
      <c r="D13" s="1053"/>
      <c r="E13" s="376"/>
      <c r="F13" s="376"/>
      <c r="G13" s="376"/>
      <c r="H13" s="376"/>
      <c r="I13" s="376"/>
      <c r="J13" s="377"/>
      <c r="K13" s="377"/>
      <c r="L13" s="376"/>
      <c r="M13" s="376"/>
      <c r="N13" s="376"/>
      <c r="O13" s="377"/>
      <c r="P13" s="378"/>
      <c r="Q13" s="379"/>
      <c r="R13" s="376"/>
      <c r="S13" s="380"/>
      <c r="T13" s="381"/>
      <c r="U13" s="382"/>
      <c r="V13" s="381"/>
      <c r="W13" s="133"/>
      <c r="X13" s="133"/>
      <c r="Y13" s="133"/>
      <c r="Z13" s="133"/>
      <c r="AA13" s="133"/>
      <c r="AB13" s="382"/>
      <c r="AC13" s="381"/>
      <c r="AD13" s="133"/>
      <c r="AE13" s="133"/>
      <c r="AF13" s="133"/>
      <c r="AG13" s="133"/>
      <c r="AH13" s="133"/>
      <c r="AI13" s="382"/>
      <c r="AJ13" s="381"/>
      <c r="AK13" s="133"/>
      <c r="AL13" s="133"/>
      <c r="AM13" s="133"/>
      <c r="AN13" s="133"/>
      <c r="AO13" s="133"/>
      <c r="AP13" s="382"/>
      <c r="AQ13" s="381"/>
      <c r="AR13" s="133"/>
      <c r="AS13" s="133"/>
      <c r="AT13" s="133"/>
      <c r="AU13" s="133"/>
      <c r="AV13" s="133"/>
      <c r="AW13" s="382"/>
      <c r="AX13" s="383"/>
      <c r="AY13" s="20"/>
    </row>
    <row r="14" spans="1:128" ht="18.5">
      <c r="B14" s="373">
        <v>6.2</v>
      </c>
      <c r="C14" s="374" t="s">
        <v>86</v>
      </c>
      <c r="D14" s="1053"/>
      <c r="E14" s="376"/>
      <c r="F14" s="376"/>
      <c r="G14" s="376"/>
      <c r="H14" s="376"/>
      <c r="I14" s="376"/>
      <c r="J14" s="377"/>
      <c r="K14" s="377"/>
      <c r="L14" s="376"/>
      <c r="M14" s="376"/>
      <c r="N14" s="376"/>
      <c r="O14" s="377"/>
      <c r="P14" s="378"/>
      <c r="Q14" s="379"/>
      <c r="R14" s="376"/>
      <c r="S14" s="380"/>
      <c r="T14" s="381"/>
      <c r="U14" s="382"/>
      <c r="V14" s="381"/>
      <c r="W14" s="133"/>
      <c r="X14" s="133"/>
      <c r="Y14" s="133"/>
      <c r="Z14" s="133"/>
      <c r="AA14" s="133"/>
      <c r="AB14" s="382"/>
      <c r="AC14" s="381"/>
      <c r="AD14" s="133"/>
      <c r="AE14" s="133"/>
      <c r="AF14" s="133"/>
      <c r="AG14" s="133"/>
      <c r="AH14" s="133"/>
      <c r="AI14" s="382"/>
      <c r="AJ14" s="381"/>
      <c r="AK14" s="133"/>
      <c r="AL14" s="133"/>
      <c r="AM14" s="133"/>
      <c r="AN14" s="133"/>
      <c r="AO14" s="133"/>
      <c r="AP14" s="382"/>
      <c r="AQ14" s="381"/>
      <c r="AR14" s="133"/>
      <c r="AS14" s="133"/>
      <c r="AT14" s="133"/>
      <c r="AU14" s="133"/>
      <c r="AV14" s="133"/>
      <c r="AW14" s="382"/>
      <c r="AX14" s="383"/>
      <c r="AY14" s="20"/>
    </row>
    <row r="15" spans="1:128" ht="18.5">
      <c r="B15" s="373"/>
      <c r="C15" s="374" t="s">
        <v>87</v>
      </c>
      <c r="D15" s="1053"/>
      <c r="E15" s="376">
        <v>3</v>
      </c>
      <c r="F15" s="376">
        <v>3</v>
      </c>
      <c r="G15" s="376">
        <v>7</v>
      </c>
      <c r="H15" s="376"/>
      <c r="I15" s="376">
        <v>3</v>
      </c>
      <c r="J15" s="377"/>
      <c r="K15" s="377"/>
      <c r="L15" s="376"/>
      <c r="M15" s="376"/>
      <c r="N15" s="376"/>
      <c r="O15" s="377"/>
      <c r="P15" s="378"/>
      <c r="Q15" s="379"/>
      <c r="R15" s="376"/>
      <c r="S15" s="380"/>
      <c r="T15" s="381"/>
      <c r="U15" s="382"/>
      <c r="V15" s="381"/>
      <c r="W15" s="133"/>
      <c r="X15" s="133"/>
      <c r="Y15" s="133"/>
      <c r="Z15" s="133"/>
      <c r="AA15" s="133"/>
      <c r="AB15" s="382"/>
      <c r="AC15" s="381"/>
      <c r="AD15" s="133"/>
      <c r="AE15" s="133"/>
      <c r="AF15" s="133"/>
      <c r="AG15" s="133"/>
      <c r="AH15" s="133"/>
      <c r="AI15" s="382"/>
      <c r="AJ15" s="381"/>
      <c r="AK15" s="133"/>
      <c r="AL15" s="133"/>
      <c r="AM15" s="133"/>
      <c r="AN15" s="133"/>
      <c r="AO15" s="133"/>
      <c r="AP15" s="382"/>
      <c r="AQ15" s="381"/>
      <c r="AR15" s="133"/>
      <c r="AS15" s="133"/>
      <c r="AT15" s="133"/>
      <c r="AU15" s="133"/>
      <c r="AV15" s="133"/>
      <c r="AW15" s="382"/>
      <c r="AX15" s="383"/>
      <c r="AY15" s="20"/>
    </row>
    <row r="16" spans="1:128" ht="18.5">
      <c r="B16" s="373"/>
      <c r="C16" s="374" t="s">
        <v>119</v>
      </c>
      <c r="D16" s="1053"/>
      <c r="E16" s="376">
        <v>2</v>
      </c>
      <c r="F16" s="376">
        <v>1</v>
      </c>
      <c r="G16" s="376">
        <v>3</v>
      </c>
      <c r="H16" s="376"/>
      <c r="I16" s="376">
        <v>2</v>
      </c>
      <c r="J16" s="377"/>
      <c r="K16" s="377"/>
      <c r="L16" s="376"/>
      <c r="M16" s="376"/>
      <c r="N16" s="376"/>
      <c r="O16" s="377"/>
      <c r="P16" s="378"/>
      <c r="Q16" s="379"/>
      <c r="R16" s="376"/>
      <c r="S16" s="380"/>
      <c r="T16" s="488"/>
      <c r="U16" s="489"/>
      <c r="V16" s="488"/>
      <c r="W16" s="490"/>
      <c r="X16" s="490"/>
      <c r="Y16" s="490"/>
      <c r="Z16" s="490"/>
      <c r="AA16" s="490"/>
      <c r="AB16" s="489"/>
      <c r="AC16" s="488"/>
      <c r="AD16" s="490"/>
      <c r="AE16" s="490"/>
      <c r="AF16" s="490"/>
      <c r="AG16" s="490"/>
      <c r="AH16" s="490"/>
      <c r="AI16" s="489"/>
      <c r="AJ16" s="488"/>
      <c r="AK16" s="490"/>
      <c r="AL16" s="490"/>
      <c r="AM16" s="490"/>
      <c r="AN16" s="490"/>
      <c r="AO16" s="490"/>
      <c r="AP16" s="489"/>
      <c r="AQ16" s="488"/>
      <c r="AR16" s="490"/>
      <c r="AS16" s="490"/>
      <c r="AT16" s="490"/>
      <c r="AU16" s="490"/>
      <c r="AV16" s="490"/>
      <c r="AW16" s="489"/>
      <c r="AX16" s="491">
        <v>1</v>
      </c>
      <c r="AY16" s="20"/>
    </row>
    <row r="17" spans="2:54" ht="18.5">
      <c r="B17" s="373"/>
      <c r="C17" s="374" t="s">
        <v>120</v>
      </c>
      <c r="D17" s="1053"/>
      <c r="E17" s="376">
        <v>2</v>
      </c>
      <c r="F17" s="376">
        <v>2</v>
      </c>
      <c r="G17" s="376">
        <v>6</v>
      </c>
      <c r="H17" s="376"/>
      <c r="I17" s="376">
        <v>2</v>
      </c>
      <c r="J17" s="377"/>
      <c r="K17" s="377"/>
      <c r="L17" s="376"/>
      <c r="M17" s="376"/>
      <c r="N17" s="376"/>
      <c r="O17" s="377"/>
      <c r="P17" s="378"/>
      <c r="Q17" s="379"/>
      <c r="R17" s="376"/>
      <c r="S17" s="380"/>
      <c r="T17" s="488"/>
      <c r="U17" s="489"/>
      <c r="V17" s="488"/>
      <c r="W17" s="490"/>
      <c r="X17" s="490"/>
      <c r="Y17" s="490"/>
      <c r="Z17" s="490"/>
      <c r="AA17" s="490"/>
      <c r="AB17" s="489"/>
      <c r="AC17" s="488"/>
      <c r="AD17" s="490"/>
      <c r="AE17" s="490"/>
      <c r="AF17" s="490"/>
      <c r="AG17" s="490"/>
      <c r="AH17" s="490"/>
      <c r="AI17" s="489"/>
      <c r="AJ17" s="488"/>
      <c r="AK17" s="490"/>
      <c r="AL17" s="490"/>
      <c r="AM17" s="490"/>
      <c r="AN17" s="490"/>
      <c r="AO17" s="490"/>
      <c r="AP17" s="489"/>
      <c r="AQ17" s="488"/>
      <c r="AR17" s="490"/>
      <c r="AS17" s="490"/>
      <c r="AT17" s="490"/>
      <c r="AU17" s="490"/>
      <c r="AV17" s="490"/>
      <c r="AW17" s="489"/>
      <c r="AX17" s="491">
        <v>1</v>
      </c>
      <c r="AY17" s="20"/>
    </row>
    <row r="18" spans="2:54" ht="18.5">
      <c r="B18" s="373"/>
      <c r="C18" s="374" t="s">
        <v>121</v>
      </c>
      <c r="D18" s="1054"/>
      <c r="E18" s="376">
        <v>2</v>
      </c>
      <c r="F18" s="376">
        <v>1</v>
      </c>
      <c r="G18" s="376">
        <v>3</v>
      </c>
      <c r="H18" s="376"/>
      <c r="I18" s="376">
        <v>1</v>
      </c>
      <c r="J18" s="377"/>
      <c r="K18" s="377"/>
      <c r="L18" s="376"/>
      <c r="M18" s="376"/>
      <c r="N18" s="376"/>
      <c r="O18" s="377"/>
      <c r="P18" s="378"/>
      <c r="Q18" s="379"/>
      <c r="R18" s="376"/>
      <c r="S18" s="380"/>
      <c r="T18" s="488"/>
      <c r="U18" s="489"/>
      <c r="V18" s="488"/>
      <c r="W18" s="490"/>
      <c r="X18" s="490"/>
      <c r="Y18" s="490"/>
      <c r="Z18" s="490"/>
      <c r="AA18" s="490"/>
      <c r="AB18" s="489"/>
      <c r="AC18" s="488"/>
      <c r="AD18" s="490"/>
      <c r="AE18" s="490"/>
      <c r="AF18" s="490"/>
      <c r="AG18" s="490"/>
      <c r="AH18" s="490"/>
      <c r="AI18" s="489"/>
      <c r="AJ18" s="488"/>
      <c r="AK18" s="490"/>
      <c r="AL18" s="490"/>
      <c r="AM18" s="490"/>
      <c r="AN18" s="490"/>
      <c r="AO18" s="490"/>
      <c r="AP18" s="489"/>
      <c r="AQ18" s="488"/>
      <c r="AR18" s="490"/>
      <c r="AS18" s="490"/>
      <c r="AT18" s="490"/>
      <c r="AU18" s="490"/>
      <c r="AV18" s="490"/>
      <c r="AW18" s="489"/>
      <c r="AX18" s="491"/>
      <c r="AY18" s="20"/>
    </row>
    <row r="19" spans="2:54" ht="18.75" customHeight="1">
      <c r="B19" s="294">
        <v>11</v>
      </c>
      <c r="C19" s="253" t="s">
        <v>122</v>
      </c>
      <c r="D19" s="256"/>
      <c r="E19" s="254"/>
      <c r="F19" s="254"/>
      <c r="G19" s="254"/>
      <c r="H19" s="254"/>
      <c r="I19" s="254"/>
      <c r="J19" s="255"/>
      <c r="K19" s="255"/>
      <c r="L19" s="254"/>
      <c r="M19" s="493"/>
      <c r="N19" s="254"/>
      <c r="O19" s="254"/>
      <c r="P19" s="264"/>
      <c r="Q19" s="437"/>
      <c r="R19" s="254"/>
      <c r="S19" s="267"/>
      <c r="T19" s="265"/>
      <c r="U19" s="277"/>
      <c r="V19" s="265"/>
      <c r="W19" s="248"/>
      <c r="X19" s="248"/>
      <c r="Y19" s="248"/>
      <c r="Z19" s="248"/>
      <c r="AA19" s="248"/>
      <c r="AB19" s="277"/>
      <c r="AC19" s="265"/>
      <c r="AD19" s="248"/>
      <c r="AE19" s="248"/>
      <c r="AF19" s="248"/>
      <c r="AG19" s="248"/>
      <c r="AH19" s="248"/>
      <c r="AI19" s="277"/>
      <c r="AJ19" s="265"/>
      <c r="AK19" s="248"/>
      <c r="AL19" s="248"/>
      <c r="AM19" s="248"/>
      <c r="AN19" s="248"/>
      <c r="AO19" s="248"/>
      <c r="AP19" s="277"/>
      <c r="AQ19" s="265"/>
      <c r="AR19" s="248"/>
      <c r="AS19" s="248"/>
      <c r="AT19" s="248"/>
      <c r="AU19" s="248"/>
      <c r="AV19" s="248"/>
      <c r="AW19" s="277"/>
      <c r="AX19" s="288"/>
      <c r="AY19" s="141"/>
      <c r="AZ19" s="141"/>
      <c r="BA19" s="141"/>
      <c r="BB19" s="141"/>
    </row>
    <row r="20" spans="2:54" ht="18.75" customHeight="1">
      <c r="B20" s="295"/>
      <c r="C20" s="245" t="s">
        <v>95</v>
      </c>
      <c r="D20" s="1043">
        <v>0.5</v>
      </c>
      <c r="E20" s="1044">
        <v>1</v>
      </c>
      <c r="F20" s="1044">
        <v>0.5</v>
      </c>
      <c r="G20" s="1044">
        <v>1</v>
      </c>
      <c r="H20" s="246"/>
      <c r="I20" s="246"/>
      <c r="J20" s="247"/>
      <c r="K20" s="247"/>
      <c r="L20" s="1049">
        <v>1</v>
      </c>
      <c r="M20" s="492"/>
      <c r="N20" s="362"/>
      <c r="O20" s="246"/>
      <c r="P20" s="257"/>
      <c r="Q20" s="438"/>
      <c r="R20" s="246"/>
      <c r="S20" s="268"/>
      <c r="T20" s="266"/>
      <c r="U20" s="268"/>
      <c r="V20" s="266"/>
      <c r="W20" s="246"/>
      <c r="X20" s="246"/>
      <c r="Y20" s="246"/>
      <c r="Z20" s="246"/>
      <c r="AA20" s="246"/>
      <c r="AB20" s="268"/>
      <c r="AC20" s="266"/>
      <c r="AD20" s="246"/>
      <c r="AE20" s="246"/>
      <c r="AF20" s="246"/>
      <c r="AG20" s="246"/>
      <c r="AH20" s="246"/>
      <c r="AI20" s="268"/>
      <c r="AJ20" s="266"/>
      <c r="AK20" s="246"/>
      <c r="AL20" s="246"/>
      <c r="AM20" s="246"/>
      <c r="AN20" s="246"/>
      <c r="AO20" s="246"/>
      <c r="AP20" s="268"/>
      <c r="AQ20" s="266"/>
      <c r="AR20" s="246"/>
      <c r="AS20" s="246"/>
      <c r="AT20" s="246"/>
      <c r="AU20" s="246"/>
      <c r="AV20" s="246"/>
      <c r="AW20" s="268"/>
      <c r="AX20" s="289"/>
      <c r="AY20" s="141"/>
      <c r="AZ20" s="141"/>
      <c r="BA20" s="141"/>
      <c r="BB20" s="141"/>
    </row>
    <row r="21" spans="2:54" ht="18.75" customHeight="1">
      <c r="B21" s="295"/>
      <c r="C21" s="245" t="s">
        <v>96</v>
      </c>
      <c r="D21" s="1043"/>
      <c r="E21" s="1044"/>
      <c r="F21" s="1044"/>
      <c r="G21" s="1044"/>
      <c r="H21" s="246"/>
      <c r="I21" s="246"/>
      <c r="J21" s="247"/>
      <c r="K21" s="247"/>
      <c r="L21" s="1050"/>
      <c r="M21" s="492"/>
      <c r="N21" s="362"/>
      <c r="O21" s="246"/>
      <c r="P21" s="257"/>
      <c r="Q21" s="438"/>
      <c r="R21" s="246"/>
      <c r="S21" s="268"/>
      <c r="T21" s="266"/>
      <c r="U21" s="268"/>
      <c r="V21" s="266"/>
      <c r="W21" s="246"/>
      <c r="X21" s="246"/>
      <c r="Y21" s="246"/>
      <c r="Z21" s="246"/>
      <c r="AA21" s="246"/>
      <c r="AB21" s="268"/>
      <c r="AC21" s="266"/>
      <c r="AD21" s="246"/>
      <c r="AE21" s="246"/>
      <c r="AF21" s="246"/>
      <c r="AG21" s="246"/>
      <c r="AH21" s="246"/>
      <c r="AI21" s="268"/>
      <c r="AJ21" s="266"/>
      <c r="AK21" s="246"/>
      <c r="AL21" s="246"/>
      <c r="AM21" s="246"/>
      <c r="AN21" s="246"/>
      <c r="AO21" s="246"/>
      <c r="AP21" s="268"/>
      <c r="AQ21" s="266"/>
      <c r="AR21" s="246"/>
      <c r="AS21" s="246"/>
      <c r="AT21" s="246"/>
      <c r="AU21" s="246"/>
      <c r="AV21" s="246"/>
      <c r="AW21" s="268"/>
      <c r="AX21" s="289"/>
      <c r="AY21" s="141"/>
      <c r="AZ21" s="141"/>
      <c r="BA21" s="141"/>
      <c r="BB21" s="141"/>
    </row>
    <row r="22" spans="2:54" ht="18.75" customHeight="1">
      <c r="B22" s="295"/>
      <c r="C22" s="245" t="s">
        <v>97</v>
      </c>
      <c r="D22" s="1043"/>
      <c r="E22" s="1044"/>
      <c r="F22" s="1044"/>
      <c r="G22" s="1044"/>
      <c r="H22" s="246"/>
      <c r="I22" s="246"/>
      <c r="J22" s="247"/>
      <c r="K22" s="247"/>
      <c r="L22" s="1051"/>
      <c r="M22" s="492"/>
      <c r="N22" s="362"/>
      <c r="O22" s="246"/>
      <c r="P22" s="257"/>
      <c r="Q22" s="438"/>
      <c r="R22" s="246"/>
      <c r="S22" s="268"/>
      <c r="T22" s="266"/>
      <c r="U22" s="268"/>
      <c r="V22" s="266"/>
      <c r="W22" s="246"/>
      <c r="X22" s="246"/>
      <c r="Y22" s="246"/>
      <c r="Z22" s="246"/>
      <c r="AA22" s="246"/>
      <c r="AB22" s="268"/>
      <c r="AC22" s="266"/>
      <c r="AD22" s="246"/>
      <c r="AE22" s="246"/>
      <c r="AF22" s="246"/>
      <c r="AG22" s="246"/>
      <c r="AH22" s="246"/>
      <c r="AI22" s="268"/>
      <c r="AJ22" s="266"/>
      <c r="AK22" s="246"/>
      <c r="AL22" s="246"/>
      <c r="AM22" s="246"/>
      <c r="AN22" s="246"/>
      <c r="AO22" s="246"/>
      <c r="AP22" s="268"/>
      <c r="AQ22" s="266"/>
      <c r="AR22" s="246"/>
      <c r="AS22" s="246"/>
      <c r="AT22" s="246"/>
      <c r="AU22" s="246"/>
      <c r="AV22" s="246"/>
      <c r="AW22" s="268"/>
      <c r="AX22" s="289"/>
      <c r="AY22" s="141"/>
      <c r="AZ22" s="141"/>
      <c r="BA22" s="141"/>
      <c r="BB22" s="141"/>
    </row>
    <row r="23" spans="2:54" ht="18.75" customHeight="1">
      <c r="B23" s="295"/>
      <c r="C23" s="245" t="s">
        <v>98</v>
      </c>
      <c r="D23" s="1043"/>
      <c r="E23" s="1044"/>
      <c r="F23" s="1044"/>
      <c r="G23" s="1044"/>
      <c r="H23" s="246"/>
      <c r="I23" s="246"/>
      <c r="J23" s="247"/>
      <c r="K23" s="247"/>
      <c r="L23" s="246"/>
      <c r="M23" s="494"/>
      <c r="N23" s="246"/>
      <c r="O23" s="246"/>
      <c r="P23" s="257"/>
      <c r="Q23" s="438"/>
      <c r="R23" s="246"/>
      <c r="S23" s="268"/>
      <c r="T23" s="266"/>
      <c r="U23" s="268"/>
      <c r="V23" s="266"/>
      <c r="W23" s="246"/>
      <c r="X23" s="246"/>
      <c r="Y23" s="246"/>
      <c r="Z23" s="246"/>
      <c r="AA23" s="246"/>
      <c r="AB23" s="268"/>
      <c r="AC23" s="266"/>
      <c r="AD23" s="246"/>
      <c r="AE23" s="246"/>
      <c r="AF23" s="246"/>
      <c r="AG23" s="246"/>
      <c r="AH23" s="246"/>
      <c r="AI23" s="268"/>
      <c r="AJ23" s="266"/>
      <c r="AK23" s="246"/>
      <c r="AL23" s="246"/>
      <c r="AM23" s="246"/>
      <c r="AN23" s="246"/>
      <c r="AO23" s="246"/>
      <c r="AP23" s="268"/>
      <c r="AQ23" s="266"/>
      <c r="AR23" s="246"/>
      <c r="AS23" s="246"/>
      <c r="AT23" s="246"/>
      <c r="AU23" s="246"/>
      <c r="AV23" s="246"/>
      <c r="AW23" s="268"/>
      <c r="AX23" s="289">
        <v>1</v>
      </c>
      <c r="AY23" s="141"/>
      <c r="AZ23" s="141"/>
      <c r="BA23" s="141"/>
      <c r="BB23" s="141"/>
    </row>
    <row r="24" spans="2:54" ht="14.5">
      <c r="B24" s="341">
        <v>11</v>
      </c>
      <c r="C24" s="342" t="s">
        <v>53</v>
      </c>
      <c r="D24" s="234">
        <v>1</v>
      </c>
      <c r="E24" s="73">
        <v>2</v>
      </c>
      <c r="F24" s="73">
        <v>1</v>
      </c>
      <c r="G24" s="73">
        <v>2</v>
      </c>
      <c r="H24" s="73"/>
      <c r="I24" s="73"/>
      <c r="J24" s="73"/>
      <c r="K24" s="73"/>
      <c r="L24" s="73"/>
      <c r="M24" s="73"/>
      <c r="N24" s="73"/>
      <c r="O24" s="73"/>
      <c r="P24" s="235"/>
      <c r="Q24" s="270"/>
      <c r="R24" s="73">
        <v>3</v>
      </c>
      <c r="S24" s="261"/>
      <c r="T24" s="249"/>
      <c r="U24" s="278"/>
      <c r="V24" s="236"/>
      <c r="W24" s="236"/>
      <c r="X24" s="23"/>
      <c r="Y24" s="62"/>
      <c r="Z24" s="73"/>
      <c r="AA24" s="282"/>
      <c r="AB24" s="237"/>
      <c r="AC24" s="249"/>
      <c r="AD24" s="23"/>
      <c r="AE24" s="23"/>
      <c r="AF24" s="65"/>
      <c r="AG24" s="65"/>
      <c r="AH24" s="65"/>
      <c r="AI24" s="278"/>
      <c r="AJ24" s="249"/>
      <c r="AK24" s="23"/>
      <c r="AL24" s="23"/>
      <c r="AM24" s="65"/>
      <c r="AN24" s="65"/>
      <c r="AO24" s="65"/>
      <c r="AP24" s="278"/>
      <c r="AQ24" s="249"/>
      <c r="AR24" s="73"/>
      <c r="AS24" s="284"/>
      <c r="AT24" s="284"/>
      <c r="AU24" s="284"/>
      <c r="AV24" s="65"/>
      <c r="AW24" s="278"/>
      <c r="AX24" s="290"/>
      <c r="AY24" s="20"/>
    </row>
    <row r="25" spans="2:54" ht="14.5">
      <c r="B25" s="341">
        <v>12</v>
      </c>
      <c r="C25" s="342" t="s">
        <v>54</v>
      </c>
      <c r="D25" s="234">
        <v>1</v>
      </c>
      <c r="E25" s="73">
        <v>2</v>
      </c>
      <c r="F25" s="73">
        <v>1</v>
      </c>
      <c r="G25" s="73">
        <v>2</v>
      </c>
      <c r="H25" s="73"/>
      <c r="I25" s="62">
        <v>1</v>
      </c>
      <c r="J25" s="73"/>
      <c r="K25" s="73"/>
      <c r="L25" s="73"/>
      <c r="M25" s="73"/>
      <c r="N25" s="73"/>
      <c r="O25" s="73"/>
      <c r="P25" s="235"/>
      <c r="Q25" s="270"/>
      <c r="R25" s="73">
        <v>2</v>
      </c>
      <c r="S25" s="261"/>
      <c r="T25" s="236"/>
      <c r="U25" s="78"/>
      <c r="V25" s="236">
        <v>0.25</v>
      </c>
      <c r="W25" s="23">
        <v>0.5</v>
      </c>
      <c r="X25" s="23"/>
      <c r="Y25" s="62"/>
      <c r="Z25" s="73"/>
      <c r="AA25" s="282"/>
      <c r="AB25" s="237"/>
      <c r="AC25" s="236"/>
      <c r="AD25" s="23">
        <v>0.25</v>
      </c>
      <c r="AE25" s="23"/>
      <c r="AF25" s="23"/>
      <c r="AG25" s="23"/>
      <c r="AH25" s="23"/>
      <c r="AI25" s="78"/>
      <c r="AJ25" s="236"/>
      <c r="AK25" s="23">
        <v>0.25</v>
      </c>
      <c r="AL25" s="23">
        <v>0.25</v>
      </c>
      <c r="AM25" s="23"/>
      <c r="AN25" s="23"/>
      <c r="AO25" s="23"/>
      <c r="AP25" s="78"/>
      <c r="AQ25" s="236"/>
      <c r="AR25" s="23">
        <v>0.25</v>
      </c>
      <c r="AS25" s="73"/>
      <c r="AT25" s="73"/>
      <c r="AU25" s="73"/>
      <c r="AV25" s="206"/>
      <c r="AW25" s="78"/>
      <c r="AX25" s="291"/>
      <c r="AY25" s="20"/>
    </row>
    <row r="26" spans="2:54" ht="14.5">
      <c r="B26" s="341">
        <v>13</v>
      </c>
      <c r="C26" s="342" t="s">
        <v>55</v>
      </c>
      <c r="D26" s="234">
        <v>2</v>
      </c>
      <c r="E26" s="73">
        <v>2</v>
      </c>
      <c r="F26" s="73">
        <v>1</v>
      </c>
      <c r="G26" s="73">
        <v>1</v>
      </c>
      <c r="H26" s="73"/>
      <c r="I26" s="73">
        <v>1</v>
      </c>
      <c r="J26" s="73"/>
      <c r="K26" s="73"/>
      <c r="L26" s="73"/>
      <c r="M26" s="73"/>
      <c r="N26" s="73"/>
      <c r="O26" s="73"/>
      <c r="P26" s="235"/>
      <c r="Q26" s="270"/>
      <c r="R26" s="73">
        <v>2</v>
      </c>
      <c r="S26" s="261"/>
      <c r="T26" s="236"/>
      <c r="U26" s="78"/>
      <c r="V26" s="23">
        <v>0.25</v>
      </c>
      <c r="W26" s="23">
        <v>0.25</v>
      </c>
      <c r="X26" s="23"/>
      <c r="Y26" s="62"/>
      <c r="Z26" s="73"/>
      <c r="AA26" s="282"/>
      <c r="AB26" s="237"/>
      <c r="AC26" s="236"/>
      <c r="AD26" s="23">
        <v>0.25</v>
      </c>
      <c r="AE26" s="23"/>
      <c r="AF26" s="23"/>
      <c r="AG26" s="23"/>
      <c r="AH26" s="23"/>
      <c r="AI26" s="78"/>
      <c r="AJ26" s="236"/>
      <c r="AK26" s="23">
        <v>0.25</v>
      </c>
      <c r="AL26" s="23">
        <v>0.25</v>
      </c>
      <c r="AM26" s="23"/>
      <c r="AN26" s="23"/>
      <c r="AO26" s="23"/>
      <c r="AP26" s="78"/>
      <c r="AQ26" s="236"/>
      <c r="AR26" s="23">
        <v>0.25</v>
      </c>
      <c r="AS26" s="73"/>
      <c r="AT26" s="73"/>
      <c r="AU26" s="73"/>
      <c r="AV26" s="206"/>
      <c r="AW26" s="78"/>
      <c r="AX26" s="291"/>
      <c r="AY26" s="20"/>
    </row>
    <row r="27" spans="2:54" ht="14.5">
      <c r="B27" s="341">
        <v>14</v>
      </c>
      <c r="C27" s="342" t="s">
        <v>56</v>
      </c>
      <c r="D27" s="234"/>
      <c r="E27" s="73"/>
      <c r="F27" s="73"/>
      <c r="G27" s="73">
        <v>1</v>
      </c>
      <c r="H27" s="73"/>
      <c r="I27" s="73"/>
      <c r="J27" s="73"/>
      <c r="K27" s="73"/>
      <c r="L27" s="73"/>
      <c r="M27" s="73"/>
      <c r="N27" s="73"/>
      <c r="O27" s="73"/>
      <c r="P27" s="235"/>
      <c r="Q27" s="270"/>
      <c r="R27" s="73"/>
      <c r="S27" s="261"/>
      <c r="T27" s="236"/>
      <c r="U27" s="78"/>
      <c r="V27" s="236"/>
      <c r="W27" s="23"/>
      <c r="X27" s="23"/>
      <c r="Y27" s="73"/>
      <c r="Z27" s="73"/>
      <c r="AA27" s="282"/>
      <c r="AB27" s="237"/>
      <c r="AC27" s="236"/>
      <c r="AD27" s="23"/>
      <c r="AE27" s="23"/>
      <c r="AF27" s="23"/>
      <c r="AG27" s="23"/>
      <c r="AH27" s="23"/>
      <c r="AI27" s="78"/>
      <c r="AJ27" s="236"/>
      <c r="AK27" s="23"/>
      <c r="AL27" s="23"/>
      <c r="AM27" s="23"/>
      <c r="AN27" s="23"/>
      <c r="AO27" s="23"/>
      <c r="AP27" s="78"/>
      <c r="AQ27" s="236"/>
      <c r="AR27" s="23"/>
      <c r="AS27" s="65"/>
      <c r="AT27" s="65"/>
      <c r="AU27" s="65"/>
      <c r="AV27" s="23"/>
      <c r="AW27" s="78"/>
      <c r="AX27" s="291"/>
      <c r="AY27" s="20"/>
    </row>
    <row r="28" spans="2:54" ht="14.5">
      <c r="B28" s="341">
        <v>15</v>
      </c>
      <c r="C28" s="342" t="s">
        <v>57</v>
      </c>
      <c r="D28" s="233"/>
      <c r="E28" s="62">
        <v>1</v>
      </c>
      <c r="F28" s="62"/>
      <c r="G28" s="62">
        <v>1</v>
      </c>
      <c r="H28" s="62"/>
      <c r="I28" s="62"/>
      <c r="J28" s="62"/>
      <c r="K28" s="62"/>
      <c r="L28" s="62"/>
      <c r="M28" s="62"/>
      <c r="N28" s="62"/>
      <c r="O28" s="62"/>
      <c r="P28" s="238">
        <v>3</v>
      </c>
      <c r="Q28" s="271"/>
      <c r="R28" s="62"/>
      <c r="S28" s="262"/>
      <c r="T28" s="239"/>
      <c r="U28" s="76"/>
      <c r="V28" s="239"/>
      <c r="W28" s="23"/>
      <c r="X28" s="22"/>
      <c r="Y28" s="64"/>
      <c r="Z28" s="64"/>
      <c r="AA28" s="76"/>
      <c r="AB28" s="240"/>
      <c r="AC28" s="239"/>
      <c r="AD28" s="22"/>
      <c r="AE28" s="22"/>
      <c r="AF28" s="22"/>
      <c r="AG28" s="22"/>
      <c r="AH28" s="22"/>
      <c r="AI28" s="76"/>
      <c r="AJ28" s="239"/>
      <c r="AK28" s="22"/>
      <c r="AL28" s="22"/>
      <c r="AM28" s="22"/>
      <c r="AN28" s="22"/>
      <c r="AO28" s="22"/>
      <c r="AP28" s="76"/>
      <c r="AQ28" s="239"/>
      <c r="AR28" s="22"/>
      <c r="AS28" s="22"/>
      <c r="AT28" s="22"/>
      <c r="AU28" s="22"/>
      <c r="AV28" s="22"/>
      <c r="AW28" s="76"/>
      <c r="AX28" s="287"/>
      <c r="AY28" s="20"/>
    </row>
    <row r="29" spans="2:54" ht="14.5">
      <c r="B29" s="439">
        <v>16</v>
      </c>
      <c r="C29" s="311" t="s">
        <v>106</v>
      </c>
      <c r="D29" s="250">
        <v>0.5</v>
      </c>
      <c r="E29" s="251">
        <f>2+5</f>
        <v>7</v>
      </c>
      <c r="F29" s="251"/>
      <c r="G29" s="251">
        <f>2+2</f>
        <v>4</v>
      </c>
      <c r="H29" s="251"/>
      <c r="I29" s="251"/>
      <c r="J29" s="251"/>
      <c r="K29" s="251"/>
      <c r="L29" s="251">
        <v>0.5</v>
      </c>
      <c r="M29" s="251"/>
      <c r="N29" s="251"/>
      <c r="O29" s="251">
        <v>2</v>
      </c>
      <c r="P29" s="252"/>
      <c r="Q29" s="272"/>
      <c r="R29" s="251">
        <v>1</v>
      </c>
      <c r="S29" s="263"/>
      <c r="T29" s="258"/>
      <c r="U29" s="279"/>
      <c r="V29" s="258"/>
      <c r="W29" s="259"/>
      <c r="X29" s="259"/>
      <c r="Y29" s="283"/>
      <c r="Z29" s="259"/>
      <c r="AA29" s="279"/>
      <c r="AB29" s="260"/>
      <c r="AC29" s="242"/>
      <c r="AD29" s="259"/>
      <c r="AE29" s="259"/>
      <c r="AF29" s="86"/>
      <c r="AG29" s="86"/>
      <c r="AH29" s="86"/>
      <c r="AI29" s="241"/>
      <c r="AJ29" s="242"/>
      <c r="AK29" s="23">
        <v>0.25</v>
      </c>
      <c r="AL29" s="259"/>
      <c r="AM29" s="86"/>
      <c r="AN29" s="86"/>
      <c r="AO29" s="86"/>
      <c r="AP29" s="241"/>
      <c r="AQ29" s="242"/>
      <c r="AR29" s="86"/>
      <c r="AS29" s="86"/>
      <c r="AT29" s="86"/>
      <c r="AU29" s="86"/>
      <c r="AV29" s="86"/>
      <c r="AW29" s="241"/>
      <c r="AX29" s="292"/>
      <c r="AY29" s="20"/>
    </row>
    <row r="30" spans="2:54" ht="14.5">
      <c r="B30" s="495"/>
      <c r="C30" s="496" t="s">
        <v>123</v>
      </c>
      <c r="D30" s="497">
        <v>3</v>
      </c>
      <c r="E30" s="498">
        <v>6</v>
      </c>
      <c r="F30" s="498">
        <v>2</v>
      </c>
      <c r="G30" s="498">
        <v>4</v>
      </c>
      <c r="H30" s="498"/>
      <c r="I30" s="498">
        <v>2</v>
      </c>
      <c r="J30" s="498"/>
      <c r="K30" s="498"/>
      <c r="L30" s="498">
        <v>1.5</v>
      </c>
      <c r="M30" s="498"/>
      <c r="N30" s="498"/>
      <c r="O30" s="498"/>
      <c r="P30" s="499"/>
      <c r="R30" s="19">
        <v>2</v>
      </c>
      <c r="S30" s="19">
        <v>1</v>
      </c>
      <c r="T30" s="500"/>
      <c r="U30" s="501"/>
      <c r="V30" s="502"/>
      <c r="W30" s="500"/>
      <c r="X30" s="500"/>
      <c r="Y30" s="503"/>
      <c r="Z30" s="500"/>
      <c r="AC30" s="502"/>
      <c r="AD30" s="500"/>
      <c r="AE30" s="500"/>
      <c r="AF30" s="500"/>
      <c r="AG30" s="500"/>
      <c r="AH30" s="500"/>
      <c r="AJ30" s="502"/>
      <c r="AK30" s="500"/>
      <c r="AL30" s="500"/>
      <c r="AM30" s="500"/>
      <c r="AN30" s="500"/>
      <c r="AO30" s="500"/>
      <c r="AQ30" s="502"/>
      <c r="AR30" s="500"/>
      <c r="AS30" s="500"/>
      <c r="AT30" s="500"/>
      <c r="AU30" s="500"/>
      <c r="AV30" s="500"/>
      <c r="AX30" s="504"/>
      <c r="AY30" s="20"/>
    </row>
    <row r="31" spans="2:54" ht="14.5">
      <c r="B31" s="440"/>
      <c r="C31" s="441" t="s">
        <v>26</v>
      </c>
      <c r="D31" s="442">
        <f>SUM(D3:D30)</f>
        <v>20</v>
      </c>
      <c r="E31" s="442">
        <f t="shared" ref="E31:AX31" si="0">SUM(E3:E30)</f>
        <v>37.5</v>
      </c>
      <c r="F31" s="442">
        <f t="shared" si="0"/>
        <v>13.5</v>
      </c>
      <c r="G31" s="442">
        <f t="shared" si="0"/>
        <v>35</v>
      </c>
      <c r="H31" s="442">
        <f t="shared" si="0"/>
        <v>0</v>
      </c>
      <c r="I31" s="442">
        <f t="shared" si="0"/>
        <v>13</v>
      </c>
      <c r="J31" s="442">
        <f t="shared" si="0"/>
        <v>0</v>
      </c>
      <c r="K31" s="442">
        <f t="shared" si="0"/>
        <v>0</v>
      </c>
      <c r="L31" s="442">
        <f t="shared" si="0"/>
        <v>6</v>
      </c>
      <c r="M31" s="442">
        <f t="shared" si="0"/>
        <v>0.5</v>
      </c>
      <c r="N31" s="442">
        <f t="shared" si="0"/>
        <v>0</v>
      </c>
      <c r="O31" s="442">
        <f t="shared" si="0"/>
        <v>2</v>
      </c>
      <c r="P31" s="442">
        <f t="shared" si="0"/>
        <v>3</v>
      </c>
      <c r="Q31" s="442">
        <f t="shared" si="0"/>
        <v>0</v>
      </c>
      <c r="R31" s="442">
        <f>SUM(R3:R30)</f>
        <v>17</v>
      </c>
      <c r="S31" s="442">
        <f t="shared" si="0"/>
        <v>5</v>
      </c>
      <c r="T31" s="442">
        <f t="shared" si="0"/>
        <v>0</v>
      </c>
      <c r="U31" s="442">
        <f t="shared" si="0"/>
        <v>0</v>
      </c>
      <c r="V31" s="442">
        <f t="shared" si="0"/>
        <v>0.5</v>
      </c>
      <c r="W31" s="442">
        <f t="shared" si="0"/>
        <v>0.75</v>
      </c>
      <c r="X31" s="442">
        <f t="shared" si="0"/>
        <v>0</v>
      </c>
      <c r="Y31" s="442">
        <f t="shared" si="0"/>
        <v>0</v>
      </c>
      <c r="Z31" s="442">
        <f t="shared" si="0"/>
        <v>0</v>
      </c>
      <c r="AA31" s="442">
        <f t="shared" si="0"/>
        <v>0</v>
      </c>
      <c r="AB31" s="442">
        <f t="shared" si="0"/>
        <v>0</v>
      </c>
      <c r="AC31" s="442">
        <f t="shared" si="0"/>
        <v>0</v>
      </c>
      <c r="AD31" s="442">
        <f>SUM(AD3:AD30)</f>
        <v>0.5</v>
      </c>
      <c r="AE31" s="442">
        <f t="shared" si="0"/>
        <v>0</v>
      </c>
      <c r="AF31" s="442">
        <f t="shared" si="0"/>
        <v>0</v>
      </c>
      <c r="AG31" s="442">
        <f t="shared" si="0"/>
        <v>0</v>
      </c>
      <c r="AH31" s="442">
        <f t="shared" si="0"/>
        <v>0</v>
      </c>
      <c r="AI31" s="442">
        <f t="shared" si="0"/>
        <v>0</v>
      </c>
      <c r="AJ31" s="442">
        <f t="shared" si="0"/>
        <v>0</v>
      </c>
      <c r="AK31" s="442">
        <f t="shared" si="0"/>
        <v>0.75</v>
      </c>
      <c r="AL31" s="442">
        <f t="shared" si="0"/>
        <v>0.5</v>
      </c>
      <c r="AM31" s="442">
        <f t="shared" si="0"/>
        <v>0</v>
      </c>
      <c r="AN31" s="442">
        <f t="shared" si="0"/>
        <v>0</v>
      </c>
      <c r="AO31" s="442">
        <f t="shared" si="0"/>
        <v>0</v>
      </c>
      <c r="AP31" s="442">
        <f t="shared" si="0"/>
        <v>0</v>
      </c>
      <c r="AQ31" s="442">
        <f t="shared" si="0"/>
        <v>0</v>
      </c>
      <c r="AR31" s="442">
        <f t="shared" si="0"/>
        <v>0.5</v>
      </c>
      <c r="AS31" s="442">
        <f t="shared" si="0"/>
        <v>0</v>
      </c>
      <c r="AT31" s="442">
        <f t="shared" si="0"/>
        <v>0</v>
      </c>
      <c r="AU31" s="442">
        <f t="shared" si="0"/>
        <v>0</v>
      </c>
      <c r="AV31" s="442">
        <f t="shared" si="0"/>
        <v>0</v>
      </c>
      <c r="AW31" s="442">
        <f t="shared" si="0"/>
        <v>0</v>
      </c>
      <c r="AX31" s="442">
        <f t="shared" si="0"/>
        <v>3</v>
      </c>
      <c r="AY31" s="19">
        <f>SUM(D31:AX31)</f>
        <v>159</v>
      </c>
    </row>
    <row r="32" spans="2:54" ht="14.5">
      <c r="B32" s="341"/>
      <c r="C32" s="451" t="s">
        <v>27</v>
      </c>
      <c r="D32" s="453">
        <v>8500</v>
      </c>
      <c r="E32" s="453">
        <v>8500</v>
      </c>
      <c r="F32" s="453">
        <v>14000</v>
      </c>
      <c r="G32" s="453">
        <v>14000</v>
      </c>
      <c r="H32" s="453">
        <v>8500</v>
      </c>
      <c r="I32" s="453">
        <v>8500</v>
      </c>
      <c r="J32" s="453">
        <v>8500</v>
      </c>
      <c r="K32" s="453">
        <v>8500</v>
      </c>
      <c r="L32" s="453">
        <v>8500</v>
      </c>
      <c r="M32" s="453">
        <v>14000</v>
      </c>
      <c r="N32" s="453">
        <v>8500</v>
      </c>
      <c r="O32" s="453">
        <v>8500</v>
      </c>
      <c r="P32" s="454">
        <v>8500</v>
      </c>
      <c r="Q32" s="219">
        <v>14000</v>
      </c>
      <c r="R32" s="220">
        <v>14000</v>
      </c>
      <c r="S32" s="455">
        <v>7500</v>
      </c>
      <c r="T32" s="220">
        <v>8500</v>
      </c>
      <c r="U32" s="455">
        <v>8500</v>
      </c>
      <c r="V32" s="273">
        <v>14000</v>
      </c>
      <c r="W32" s="220">
        <v>8500</v>
      </c>
      <c r="X32" s="220">
        <v>14000</v>
      </c>
      <c r="Y32" s="220">
        <v>8500</v>
      </c>
      <c r="Z32" s="220">
        <v>8500</v>
      </c>
      <c r="AA32" s="220">
        <v>8500</v>
      </c>
      <c r="AB32" s="455">
        <v>8500</v>
      </c>
      <c r="AC32" s="273">
        <v>14000</v>
      </c>
      <c r="AD32" s="220">
        <v>8500</v>
      </c>
      <c r="AE32" s="220">
        <v>14000</v>
      </c>
      <c r="AF32" s="220">
        <v>8500</v>
      </c>
      <c r="AG32" s="220">
        <v>8500</v>
      </c>
      <c r="AH32" s="220">
        <v>8500</v>
      </c>
      <c r="AI32" s="455">
        <v>8500</v>
      </c>
      <c r="AJ32" s="273">
        <v>14000</v>
      </c>
      <c r="AK32" s="220">
        <v>8500</v>
      </c>
      <c r="AL32" s="220">
        <v>8500</v>
      </c>
      <c r="AM32" s="220">
        <v>8500</v>
      </c>
      <c r="AN32" s="220">
        <v>8500</v>
      </c>
      <c r="AO32" s="220">
        <v>8500</v>
      </c>
      <c r="AP32" s="455">
        <v>8500</v>
      </c>
      <c r="AQ32" s="273">
        <v>14000</v>
      </c>
      <c r="AR32" s="220">
        <v>8500</v>
      </c>
      <c r="AS32" s="220">
        <v>14000</v>
      </c>
      <c r="AT32" s="220">
        <v>8500</v>
      </c>
      <c r="AU32" s="220">
        <v>8500</v>
      </c>
      <c r="AV32" s="220">
        <v>8500</v>
      </c>
      <c r="AW32" s="455">
        <v>8500</v>
      </c>
      <c r="AX32" s="293">
        <v>8500</v>
      </c>
    </row>
    <row r="33" spans="2:53" ht="14.5">
      <c r="B33" s="456"/>
      <c r="C33" s="457" t="s">
        <v>28</v>
      </c>
      <c r="D33" s="458">
        <f>D31*D32</f>
        <v>170000</v>
      </c>
      <c r="E33" s="458">
        <f t="shared" ref="E33:AX33" si="1">E31*E32</f>
        <v>318750</v>
      </c>
      <c r="F33" s="458">
        <f t="shared" si="1"/>
        <v>189000</v>
      </c>
      <c r="G33" s="458">
        <f t="shared" si="1"/>
        <v>490000</v>
      </c>
      <c r="H33" s="458">
        <f t="shared" si="1"/>
        <v>0</v>
      </c>
      <c r="I33" s="458">
        <f t="shared" si="1"/>
        <v>110500</v>
      </c>
      <c r="J33" s="458">
        <f t="shared" si="1"/>
        <v>0</v>
      </c>
      <c r="K33" s="458">
        <f t="shared" si="1"/>
        <v>0</v>
      </c>
      <c r="L33" s="458">
        <f t="shared" si="1"/>
        <v>51000</v>
      </c>
      <c r="M33" s="458">
        <f t="shared" si="1"/>
        <v>7000</v>
      </c>
      <c r="N33" s="458">
        <f t="shared" si="1"/>
        <v>0</v>
      </c>
      <c r="O33" s="458">
        <f t="shared" si="1"/>
        <v>17000</v>
      </c>
      <c r="P33" s="458">
        <f t="shared" si="1"/>
        <v>25500</v>
      </c>
      <c r="Q33" s="458">
        <f t="shared" si="1"/>
        <v>0</v>
      </c>
      <c r="R33" s="458">
        <f t="shared" si="1"/>
        <v>238000</v>
      </c>
      <c r="S33" s="458">
        <f t="shared" si="1"/>
        <v>37500</v>
      </c>
      <c r="T33" s="458">
        <f t="shared" si="1"/>
        <v>0</v>
      </c>
      <c r="U33" s="458">
        <f t="shared" si="1"/>
        <v>0</v>
      </c>
      <c r="V33" s="458">
        <f t="shared" si="1"/>
        <v>7000</v>
      </c>
      <c r="W33" s="458">
        <f t="shared" si="1"/>
        <v>6375</v>
      </c>
      <c r="X33" s="458">
        <f t="shared" si="1"/>
        <v>0</v>
      </c>
      <c r="Y33" s="458">
        <f t="shared" si="1"/>
        <v>0</v>
      </c>
      <c r="Z33" s="458">
        <f t="shared" si="1"/>
        <v>0</v>
      </c>
      <c r="AA33" s="458">
        <f t="shared" si="1"/>
        <v>0</v>
      </c>
      <c r="AB33" s="458">
        <f t="shared" si="1"/>
        <v>0</v>
      </c>
      <c r="AC33" s="458">
        <f>AC31*AC32</f>
        <v>0</v>
      </c>
      <c r="AD33" s="458">
        <f>AD31*AD32</f>
        <v>4250</v>
      </c>
      <c r="AE33" s="458">
        <f t="shared" si="1"/>
        <v>0</v>
      </c>
      <c r="AF33" s="458">
        <f t="shared" si="1"/>
        <v>0</v>
      </c>
      <c r="AG33" s="458">
        <f t="shared" si="1"/>
        <v>0</v>
      </c>
      <c r="AH33" s="458">
        <f t="shared" si="1"/>
        <v>0</v>
      </c>
      <c r="AI33" s="458">
        <f t="shared" si="1"/>
        <v>0</v>
      </c>
      <c r="AJ33" s="458">
        <f t="shared" si="1"/>
        <v>0</v>
      </c>
      <c r="AK33" s="458">
        <f>AK31*AK32</f>
        <v>6375</v>
      </c>
      <c r="AL33" s="458">
        <f t="shared" si="1"/>
        <v>4250</v>
      </c>
      <c r="AM33" s="458">
        <f t="shared" si="1"/>
        <v>0</v>
      </c>
      <c r="AN33" s="458">
        <f t="shared" si="1"/>
        <v>0</v>
      </c>
      <c r="AO33" s="458">
        <f t="shared" si="1"/>
        <v>0</v>
      </c>
      <c r="AP33" s="458">
        <f t="shared" si="1"/>
        <v>0</v>
      </c>
      <c r="AQ33" s="458">
        <f t="shared" si="1"/>
        <v>0</v>
      </c>
      <c r="AR33" s="458">
        <f t="shared" si="1"/>
        <v>4250</v>
      </c>
      <c r="AS33" s="458">
        <f t="shared" si="1"/>
        <v>0</v>
      </c>
      <c r="AT33" s="458">
        <f t="shared" si="1"/>
        <v>0</v>
      </c>
      <c r="AU33" s="458">
        <f t="shared" si="1"/>
        <v>0</v>
      </c>
      <c r="AV33" s="458">
        <f t="shared" si="1"/>
        <v>0</v>
      </c>
      <c r="AW33" s="458">
        <f t="shared" si="1"/>
        <v>0</v>
      </c>
      <c r="AX33" s="458">
        <f t="shared" si="1"/>
        <v>25500</v>
      </c>
      <c r="AY33" s="511">
        <f>SUM(D33:AX33)</f>
        <v>1712250</v>
      </c>
      <c r="AZ33" s="281"/>
      <c r="BA33" s="281"/>
    </row>
    <row r="34" spans="2:53" ht="13.5" customHeight="1">
      <c r="D34" s="19" t="s">
        <v>124</v>
      </c>
      <c r="E34" s="19" t="s">
        <v>124</v>
      </c>
      <c r="F34" s="19" t="s">
        <v>124</v>
      </c>
      <c r="G34" s="19" t="s">
        <v>124</v>
      </c>
      <c r="I34" s="19" t="s">
        <v>124</v>
      </c>
      <c r="L34" s="19" t="s">
        <v>124</v>
      </c>
      <c r="M34" s="19" t="s">
        <v>124</v>
      </c>
      <c r="O34" s="19" t="s">
        <v>124</v>
      </c>
      <c r="P34" s="19" t="s">
        <v>124</v>
      </c>
      <c r="V34" s="19" t="s">
        <v>124</v>
      </c>
      <c r="W34" s="19" t="s">
        <v>124</v>
      </c>
      <c r="AD34" s="19" t="s">
        <v>124</v>
      </c>
      <c r="AK34" s="19" t="s">
        <v>124</v>
      </c>
      <c r="AL34" s="19" t="s">
        <v>124</v>
      </c>
      <c r="AR34" s="19" t="s">
        <v>124</v>
      </c>
      <c r="AX34" s="19" t="s">
        <v>124</v>
      </c>
      <c r="BA34" s="281"/>
    </row>
    <row r="35" spans="2:53" ht="14.5">
      <c r="C35" s="20" t="s">
        <v>125</v>
      </c>
      <c r="D35" s="19">
        <f t="shared" ref="D35:P35" si="2">D31*8</f>
        <v>160</v>
      </c>
      <c r="E35" s="19">
        <f t="shared" si="2"/>
        <v>300</v>
      </c>
      <c r="F35" s="19">
        <f t="shared" si="2"/>
        <v>108</v>
      </c>
      <c r="G35" s="19">
        <f t="shared" si="2"/>
        <v>280</v>
      </c>
      <c r="H35" s="19">
        <f t="shared" si="2"/>
        <v>0</v>
      </c>
      <c r="I35" s="19">
        <f t="shared" si="2"/>
        <v>104</v>
      </c>
      <c r="J35" s="19">
        <f t="shared" si="2"/>
        <v>0</v>
      </c>
      <c r="K35" s="19">
        <f t="shared" si="2"/>
        <v>0</v>
      </c>
      <c r="L35" s="19">
        <f t="shared" si="2"/>
        <v>48</v>
      </c>
      <c r="M35" s="19">
        <f t="shared" si="2"/>
        <v>4</v>
      </c>
      <c r="N35" s="19">
        <f t="shared" si="2"/>
        <v>0</v>
      </c>
      <c r="O35" s="19">
        <f t="shared" si="2"/>
        <v>16</v>
      </c>
      <c r="P35" s="19">
        <f t="shared" si="2"/>
        <v>24</v>
      </c>
      <c r="R35" s="19">
        <f>R31*8</f>
        <v>136</v>
      </c>
      <c r="S35" s="19">
        <f>S31*8</f>
        <v>40</v>
      </c>
      <c r="V35" s="19">
        <f>V31*8</f>
        <v>4</v>
      </c>
      <c r="W35" s="19">
        <f>W31*8</f>
        <v>6</v>
      </c>
      <c r="AB35" s="19">
        <f>AB31*8</f>
        <v>0</v>
      </c>
      <c r="AC35" s="19">
        <f>AC31*8</f>
        <v>0</v>
      </c>
      <c r="AD35" s="19">
        <f>AD31*8</f>
        <v>4</v>
      </c>
      <c r="AI35" s="19">
        <f>AI31*8</f>
        <v>0</v>
      </c>
      <c r="AJ35" s="19">
        <f>AJ31*8</f>
        <v>0</v>
      </c>
      <c r="AK35" s="19">
        <f>AK31*8</f>
        <v>6</v>
      </c>
      <c r="AP35" s="19">
        <f>AP31*8</f>
        <v>0</v>
      </c>
      <c r="AQ35" s="19">
        <f>AQ31*8</f>
        <v>0</v>
      </c>
      <c r="AR35" s="19">
        <f>AR31*8</f>
        <v>4</v>
      </c>
      <c r="AW35" s="19">
        <f>AW31*8</f>
        <v>0</v>
      </c>
      <c r="AX35" s="19">
        <f>AX31*8</f>
        <v>24</v>
      </c>
    </row>
    <row r="36" spans="2:53" ht="13.5" customHeight="1" thickBot="1"/>
    <row r="37" spans="2:53" ht="62" thickBot="1">
      <c r="C37" s="228" t="s">
        <v>126</v>
      </c>
      <c r="D37" s="22" t="s">
        <v>127</v>
      </c>
      <c r="E37" s="22" t="s">
        <v>128</v>
      </c>
      <c r="F37" s="22" t="s">
        <v>129</v>
      </c>
      <c r="G37" s="22" t="s">
        <v>130</v>
      </c>
      <c r="H37" s="22" t="s">
        <v>131</v>
      </c>
      <c r="J37" s="514" t="s">
        <v>132</v>
      </c>
      <c r="K37" s="515" t="s">
        <v>133</v>
      </c>
      <c r="L37" s="515" t="s">
        <v>134</v>
      </c>
      <c r="M37" s="515" t="s">
        <v>135</v>
      </c>
      <c r="N37" s="515" t="s">
        <v>136</v>
      </c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</row>
    <row r="38" spans="2:53" ht="43.5" thickBot="1">
      <c r="D38" s="22" t="s">
        <v>137</v>
      </c>
      <c r="E38" s="22" t="s">
        <v>138</v>
      </c>
      <c r="F38" s="22">
        <v>20</v>
      </c>
      <c r="G38" s="508">
        <v>8500</v>
      </c>
      <c r="H38" s="508">
        <f>F38*G38</f>
        <v>170000</v>
      </c>
      <c r="J38" s="56" t="s">
        <v>139</v>
      </c>
      <c r="K38" s="309" t="s">
        <v>140</v>
      </c>
      <c r="L38" s="22">
        <v>20</v>
      </c>
      <c r="M38" s="508">
        <v>8500</v>
      </c>
      <c r="N38" s="508">
        <f>L38*M38</f>
        <v>170000</v>
      </c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</row>
    <row r="39" spans="2:53" ht="13.5" customHeight="1" thickBot="1">
      <c r="D39" s="22" t="s">
        <v>141</v>
      </c>
      <c r="E39" s="22" t="s">
        <v>142</v>
      </c>
      <c r="F39" s="22">
        <v>37.5</v>
      </c>
      <c r="G39" s="508">
        <v>8500</v>
      </c>
      <c r="H39" s="508">
        <f t="shared" ref="H39:H55" si="3">F39*G39</f>
        <v>318750</v>
      </c>
      <c r="J39" s="56" t="s">
        <v>143</v>
      </c>
      <c r="K39" s="309" t="s">
        <v>144</v>
      </c>
      <c r="L39" s="22">
        <v>37.5</v>
      </c>
      <c r="M39" s="508">
        <v>8500</v>
      </c>
      <c r="N39" s="508">
        <f t="shared" ref="N39:N54" si="4">L39*M39</f>
        <v>318750</v>
      </c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</row>
    <row r="40" spans="2:53" ht="13.5" customHeight="1" thickBot="1">
      <c r="D40" s="22" t="s">
        <v>141</v>
      </c>
      <c r="E40" s="22" t="s">
        <v>5</v>
      </c>
      <c r="F40" s="22">
        <v>13.5</v>
      </c>
      <c r="G40" s="508">
        <v>14000</v>
      </c>
      <c r="H40" s="508">
        <f t="shared" si="3"/>
        <v>189000</v>
      </c>
      <c r="J40" s="56" t="s">
        <v>145</v>
      </c>
      <c r="K40" s="309" t="s">
        <v>146</v>
      </c>
      <c r="L40" s="22">
        <v>13.5</v>
      </c>
      <c r="M40" s="508">
        <v>14000</v>
      </c>
      <c r="N40" s="508">
        <f t="shared" si="4"/>
        <v>189000</v>
      </c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</row>
    <row r="41" spans="2:53" ht="13.5" customHeight="1" thickBot="1">
      <c r="D41" s="22" t="s">
        <v>141</v>
      </c>
      <c r="E41" s="22" t="s">
        <v>108</v>
      </c>
      <c r="F41" s="22">
        <v>35</v>
      </c>
      <c r="G41" s="508">
        <v>14000</v>
      </c>
      <c r="H41" s="508">
        <f t="shared" si="3"/>
        <v>490000</v>
      </c>
      <c r="J41" s="56" t="s">
        <v>147</v>
      </c>
      <c r="K41" s="309" t="s">
        <v>148</v>
      </c>
      <c r="L41" s="22">
        <v>35</v>
      </c>
      <c r="M41" s="508">
        <v>14000</v>
      </c>
      <c r="N41" s="508">
        <f t="shared" si="4"/>
        <v>490000</v>
      </c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</row>
    <row r="42" spans="2:53" ht="13.5" customHeight="1" thickBot="1">
      <c r="D42" s="22" t="s">
        <v>141</v>
      </c>
      <c r="E42" s="505" t="s">
        <v>7</v>
      </c>
      <c r="F42" s="22">
        <v>13</v>
      </c>
      <c r="G42" s="508">
        <v>8500</v>
      </c>
      <c r="H42" s="508">
        <f t="shared" si="3"/>
        <v>110500</v>
      </c>
      <c r="J42" s="56" t="s">
        <v>149</v>
      </c>
      <c r="K42" s="309" t="s">
        <v>150</v>
      </c>
      <c r="L42" s="22">
        <v>13</v>
      </c>
      <c r="M42" s="508">
        <v>8500</v>
      </c>
      <c r="N42" s="508">
        <f t="shared" si="4"/>
        <v>110500</v>
      </c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</row>
    <row r="43" spans="2:53" ht="13.5" customHeight="1" thickBot="1">
      <c r="D43" s="22" t="s">
        <v>60</v>
      </c>
      <c r="E43" s="506" t="s">
        <v>71</v>
      </c>
      <c r="F43" s="22">
        <v>17</v>
      </c>
      <c r="G43" s="508">
        <v>14000</v>
      </c>
      <c r="H43" s="508">
        <f t="shared" si="3"/>
        <v>238000</v>
      </c>
      <c r="J43" s="56" t="s">
        <v>151</v>
      </c>
      <c r="K43" s="309" t="s">
        <v>152</v>
      </c>
      <c r="L43" s="22">
        <v>17</v>
      </c>
      <c r="M43" s="508">
        <v>14000</v>
      </c>
      <c r="N43" s="508">
        <f t="shared" si="4"/>
        <v>238000</v>
      </c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</row>
    <row r="44" spans="2:53" ht="13.5" customHeight="1">
      <c r="D44" s="22" t="s">
        <v>60</v>
      </c>
      <c r="E44" s="22" t="s">
        <v>153</v>
      </c>
      <c r="F44" s="22">
        <v>5</v>
      </c>
      <c r="G44" s="508">
        <v>7500</v>
      </c>
      <c r="H44" s="508">
        <f t="shared" si="3"/>
        <v>37500</v>
      </c>
      <c r="J44" s="19" t="s">
        <v>154</v>
      </c>
      <c r="K44" s="19" t="s">
        <v>153</v>
      </c>
      <c r="L44" s="22">
        <v>5</v>
      </c>
      <c r="M44" s="508">
        <v>7500</v>
      </c>
      <c r="N44" s="508">
        <f t="shared" si="4"/>
        <v>37500</v>
      </c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</row>
    <row r="45" spans="2:53" ht="13.5" customHeight="1" thickBot="1">
      <c r="D45" s="22" t="s">
        <v>155</v>
      </c>
      <c r="E45" s="22" t="s">
        <v>74</v>
      </c>
      <c r="F45" s="22">
        <v>0.5</v>
      </c>
      <c r="G45" s="508">
        <v>14000</v>
      </c>
      <c r="H45" s="508">
        <f t="shared" si="3"/>
        <v>7000</v>
      </c>
      <c r="J45" s="56" t="s">
        <v>156</v>
      </c>
      <c r="K45" s="309" t="s">
        <v>157</v>
      </c>
      <c r="L45" s="22">
        <v>0.5</v>
      </c>
      <c r="M45" s="508">
        <v>14000</v>
      </c>
      <c r="N45" s="508">
        <f t="shared" si="4"/>
        <v>7000</v>
      </c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</row>
    <row r="46" spans="2:53" ht="13.5" customHeight="1" thickBot="1">
      <c r="D46" s="22" t="s">
        <v>155</v>
      </c>
      <c r="E46" s="22" t="s">
        <v>142</v>
      </c>
      <c r="F46" s="22">
        <v>0.75</v>
      </c>
      <c r="G46" s="508">
        <v>8500</v>
      </c>
      <c r="H46" s="508">
        <f t="shared" si="3"/>
        <v>6375</v>
      </c>
      <c r="J46" s="56" t="s">
        <v>158</v>
      </c>
      <c r="K46" s="309" t="s">
        <v>150</v>
      </c>
      <c r="L46" s="22">
        <v>0.75</v>
      </c>
      <c r="M46" s="508">
        <v>8500</v>
      </c>
      <c r="N46" s="508">
        <f t="shared" si="4"/>
        <v>6375</v>
      </c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</row>
    <row r="47" spans="2:53" ht="13.5" customHeight="1" thickBot="1">
      <c r="D47" s="22" t="s">
        <v>63</v>
      </c>
      <c r="E47" s="22" t="s">
        <v>142</v>
      </c>
      <c r="F47" s="22">
        <v>0.5</v>
      </c>
      <c r="G47" s="508">
        <v>8500</v>
      </c>
      <c r="H47" s="508">
        <f t="shared" ref="H47" si="5">F47*G47</f>
        <v>4250</v>
      </c>
      <c r="J47" s="56" t="s">
        <v>159</v>
      </c>
      <c r="K47" s="309" t="s">
        <v>150</v>
      </c>
      <c r="L47" s="22">
        <v>0.5</v>
      </c>
      <c r="M47" s="508">
        <v>8500</v>
      </c>
      <c r="N47" s="508">
        <f t="shared" si="4"/>
        <v>4250</v>
      </c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</row>
    <row r="48" spans="2:53" ht="13.5" customHeight="1" thickBot="1">
      <c r="D48" s="22" t="s">
        <v>64</v>
      </c>
      <c r="E48" s="22" t="s">
        <v>142</v>
      </c>
      <c r="F48" s="22">
        <v>0.75</v>
      </c>
      <c r="G48" s="508">
        <v>8500</v>
      </c>
      <c r="H48" s="508">
        <f t="shared" si="3"/>
        <v>6375</v>
      </c>
      <c r="J48" s="56" t="s">
        <v>159</v>
      </c>
      <c r="K48" s="309" t="s">
        <v>150</v>
      </c>
      <c r="L48" s="22">
        <v>0.75</v>
      </c>
      <c r="M48" s="508">
        <v>8500</v>
      </c>
      <c r="N48" s="508">
        <f t="shared" si="4"/>
        <v>6375</v>
      </c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</row>
    <row r="49" spans="4:51" ht="13.5" customHeight="1" thickBot="1">
      <c r="D49" s="22" t="s">
        <v>160</v>
      </c>
      <c r="E49" s="22" t="s">
        <v>161</v>
      </c>
      <c r="F49" s="22">
        <v>0.5</v>
      </c>
      <c r="G49" s="508">
        <v>8500</v>
      </c>
      <c r="H49" s="508">
        <f t="shared" si="3"/>
        <v>4250</v>
      </c>
      <c r="J49" s="56" t="s">
        <v>162</v>
      </c>
      <c r="K49" s="309" t="s">
        <v>163</v>
      </c>
      <c r="L49" s="22">
        <v>0.5</v>
      </c>
      <c r="M49" s="508">
        <v>8500</v>
      </c>
      <c r="N49" s="508">
        <f t="shared" si="4"/>
        <v>4250</v>
      </c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</row>
    <row r="50" spans="4:51" ht="13.5" customHeight="1" thickBot="1">
      <c r="D50" s="22" t="s">
        <v>164</v>
      </c>
      <c r="E50" s="22" t="s">
        <v>142</v>
      </c>
      <c r="F50" s="22">
        <v>0.5</v>
      </c>
      <c r="G50" s="508">
        <v>8500</v>
      </c>
      <c r="H50" s="508">
        <f t="shared" si="3"/>
        <v>4250</v>
      </c>
      <c r="J50" s="56" t="s">
        <v>165</v>
      </c>
      <c r="K50" s="309" t="s">
        <v>144</v>
      </c>
      <c r="L50" s="22">
        <v>0.5</v>
      </c>
      <c r="M50" s="508">
        <v>8500</v>
      </c>
      <c r="N50" s="508">
        <f t="shared" si="4"/>
        <v>4250</v>
      </c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</row>
    <row r="51" spans="4:51" ht="13.5" customHeight="1" thickBot="1">
      <c r="D51" s="22" t="s">
        <v>137</v>
      </c>
      <c r="E51" s="22" t="s">
        <v>166</v>
      </c>
      <c r="F51" s="22">
        <v>6</v>
      </c>
      <c r="G51" s="508">
        <v>8500</v>
      </c>
      <c r="H51" s="508">
        <f t="shared" si="3"/>
        <v>51000</v>
      </c>
      <c r="J51" s="56" t="s">
        <v>167</v>
      </c>
      <c r="K51" s="309" t="s">
        <v>168</v>
      </c>
      <c r="L51" s="22">
        <v>6</v>
      </c>
      <c r="M51" s="508">
        <v>8500</v>
      </c>
      <c r="N51" s="508">
        <f t="shared" si="4"/>
        <v>51000</v>
      </c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</row>
    <row r="52" spans="4:51" ht="13.5" customHeight="1" thickBot="1">
      <c r="D52" s="22" t="s">
        <v>137</v>
      </c>
      <c r="E52" s="22" t="s">
        <v>169</v>
      </c>
      <c r="F52" s="22">
        <v>0.5</v>
      </c>
      <c r="G52" s="508">
        <v>14000</v>
      </c>
      <c r="H52" s="508">
        <f t="shared" si="3"/>
        <v>7000</v>
      </c>
      <c r="J52" s="56" t="s">
        <v>170</v>
      </c>
      <c r="K52" s="309" t="s">
        <v>171</v>
      </c>
      <c r="L52" s="22">
        <v>0.5</v>
      </c>
      <c r="M52" s="508">
        <v>14000</v>
      </c>
      <c r="N52" s="508">
        <f t="shared" si="4"/>
        <v>7000</v>
      </c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</row>
    <row r="53" spans="4:51" ht="13.5" customHeight="1">
      <c r="D53" s="22" t="s">
        <v>137</v>
      </c>
      <c r="E53" s="22" t="s">
        <v>172</v>
      </c>
      <c r="F53" s="22">
        <v>3</v>
      </c>
      <c r="G53" s="508">
        <v>8500</v>
      </c>
      <c r="H53" s="508">
        <f t="shared" si="3"/>
        <v>25500</v>
      </c>
      <c r="J53" s="19" t="s">
        <v>173</v>
      </c>
      <c r="K53" s="19" t="s">
        <v>174</v>
      </c>
      <c r="L53" s="22">
        <v>3</v>
      </c>
      <c r="M53" s="508">
        <v>8500</v>
      </c>
      <c r="N53" s="508">
        <f t="shared" si="4"/>
        <v>25500</v>
      </c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</row>
    <row r="54" spans="4:51" ht="13.5" customHeight="1" thickBot="1">
      <c r="D54" s="22" t="s">
        <v>137</v>
      </c>
      <c r="E54" s="22" t="s">
        <v>35</v>
      </c>
      <c r="F54" s="22">
        <v>2</v>
      </c>
      <c r="G54" s="508">
        <v>8500</v>
      </c>
      <c r="H54" s="508">
        <f t="shared" si="3"/>
        <v>17000</v>
      </c>
      <c r="J54" s="516" t="s">
        <v>175</v>
      </c>
      <c r="K54" s="517" t="s">
        <v>176</v>
      </c>
      <c r="L54" s="22">
        <v>2</v>
      </c>
      <c r="M54" s="508">
        <v>8500</v>
      </c>
      <c r="N54" s="508">
        <f t="shared" si="4"/>
        <v>17000</v>
      </c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</row>
    <row r="55" spans="4:51" ht="13.5" customHeight="1" thickBot="1">
      <c r="D55" s="22" t="s">
        <v>137</v>
      </c>
      <c r="E55" s="22" t="s">
        <v>11</v>
      </c>
      <c r="F55" s="22">
        <v>3</v>
      </c>
      <c r="G55" s="508">
        <v>8500</v>
      </c>
      <c r="H55" s="508">
        <f t="shared" si="3"/>
        <v>25500</v>
      </c>
      <c r="J55" s="516" t="s">
        <v>177</v>
      </c>
      <c r="K55" s="309" t="s">
        <v>178</v>
      </c>
      <c r="L55" s="22">
        <v>3</v>
      </c>
      <c r="M55" s="508">
        <v>8500</v>
      </c>
      <c r="N55" s="508">
        <f>L55*M55</f>
        <v>25500</v>
      </c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</row>
    <row r="56" spans="4:51" ht="13.5" customHeight="1">
      <c r="F56" s="507">
        <f>SUM(F38:F55)</f>
        <v>159</v>
      </c>
      <c r="G56" s="509"/>
      <c r="H56" s="510">
        <f>SUM(H38:H55)</f>
        <v>1712250</v>
      </c>
      <c r="L56" s="507">
        <f>SUM(L38:L55)</f>
        <v>159</v>
      </c>
      <c r="M56" s="509"/>
      <c r="N56" s="510">
        <f>SUM(N38:N55)</f>
        <v>1712250</v>
      </c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</row>
    <row r="57" spans="4:51" ht="13.5" customHeight="1">
      <c r="H57" s="512">
        <f>H56-AY33</f>
        <v>0</v>
      </c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</row>
    <row r="58" spans="4:51" ht="19" customHeight="1"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</row>
    <row r="59" spans="4:51" ht="13.5" customHeight="1">
      <c r="N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</row>
    <row r="60" spans="4:51" ht="13.5" customHeight="1">
      <c r="N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</row>
    <row r="61" spans="4:51" ht="13.5" customHeight="1">
      <c r="N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</row>
    <row r="62" spans="4:51" ht="13.5" customHeight="1">
      <c r="N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</row>
    <row r="63" spans="4:51" ht="13.5" customHeight="1">
      <c r="N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</row>
    <row r="64" spans="4:51" ht="13.5" customHeight="1">
      <c r="N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</row>
    <row r="65" spans="13:51" ht="13.5" customHeight="1"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</row>
    <row r="66" spans="13:51" ht="13.5" customHeight="1"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</row>
    <row r="67" spans="13:51" ht="13.5" customHeight="1"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</row>
    <row r="68" spans="13:51" ht="13.5" customHeight="1"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</row>
    <row r="69" spans="13:51" ht="13.5" customHeight="1"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</row>
    <row r="70" spans="13:51" ht="13.5" customHeight="1"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</row>
    <row r="71" spans="13:51" ht="13.5" customHeight="1"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</row>
    <row r="72" spans="13:51" ht="13.5" customHeight="1"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</row>
    <row r="73" spans="13:51" ht="13.5" customHeight="1">
      <c r="M73" s="513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</row>
    <row r="74" spans="13:51" ht="13.5" customHeight="1"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</row>
    <row r="75" spans="13:51" ht="13.5" customHeight="1"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</row>
    <row r="76" spans="13:51" ht="13.5" customHeight="1"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</row>
    <row r="77" spans="13:51" ht="13.5" customHeight="1"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</row>
    <row r="78" spans="13:51" ht="13.5" customHeight="1"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</row>
    <row r="79" spans="13:51" ht="13.5" customHeight="1"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</row>
    <row r="80" spans="13:51" ht="13.5" customHeight="1"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</row>
    <row r="81" spans="12:51" ht="13.5" customHeight="1"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</row>
    <row r="82" spans="12:51" ht="13.5" customHeight="1"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</row>
    <row r="83" spans="12:51" ht="13.5" customHeight="1"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</row>
    <row r="84" spans="12:51" ht="13.5" customHeight="1"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</row>
    <row r="85" spans="12:51" ht="13.5" customHeight="1"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</row>
    <row r="86" spans="12:51" ht="13.5" customHeight="1"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</row>
    <row r="87" spans="12:51" ht="13.5" customHeight="1"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</row>
    <row r="88" spans="12:51" ht="13.5" customHeight="1"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</row>
    <row r="89" spans="12:51" ht="13.5" customHeight="1">
      <c r="L89" s="513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</row>
    <row r="90" spans="12:51" ht="13.5" customHeight="1"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</row>
    <row r="91" spans="12:51" ht="13.5" customHeight="1"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</row>
    <row r="92" spans="12:51" ht="13.5" customHeight="1"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</row>
    <row r="93" spans="12:51" ht="13.5" customHeight="1"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</row>
    <row r="94" spans="12:51" ht="13.5" customHeight="1"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</row>
    <row r="95" spans="12:51" ht="13.5" customHeight="1"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</row>
    <row r="96" spans="12:51" ht="13.5" customHeight="1"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</row>
    <row r="97" spans="14:51" ht="13.5" customHeight="1"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</row>
    <row r="98" spans="14:51" ht="13.5" customHeight="1"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</row>
    <row r="99" spans="14:51" ht="13.5" customHeight="1"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</row>
    <row r="100" spans="14:51" ht="13.5" customHeight="1"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</row>
    <row r="101" spans="14:51" ht="13.5" customHeight="1"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</row>
    <row r="102" spans="14:51" ht="13.5" customHeight="1"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</row>
    <row r="103" spans="14:51" ht="13.5" customHeight="1"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</row>
    <row r="104" spans="14:51" ht="13.5" customHeight="1"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</row>
    <row r="105" spans="14:51" ht="13.5" customHeight="1"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</row>
    <row r="106" spans="14:51" ht="13.5" customHeight="1"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</row>
    <row r="107" spans="14:51" ht="13.5" customHeight="1"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</row>
    <row r="108" spans="14:51" ht="13.5" customHeight="1"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</row>
    <row r="109" spans="14:51" ht="13.5" customHeight="1"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</row>
    <row r="110" spans="14:51" ht="13.5" customHeight="1"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</row>
    <row r="111" spans="14:51" ht="13.5" customHeight="1"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</row>
    <row r="112" spans="14:51" ht="13.5" customHeight="1"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</row>
    <row r="113" spans="14:51" ht="13.5" customHeight="1"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</row>
    <row r="114" spans="14:51" ht="13.5" customHeight="1"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</row>
    <row r="115" spans="14:51" ht="13.5" customHeight="1"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</row>
    <row r="116" spans="14:51" ht="13.5" customHeight="1"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</row>
    <row r="117" spans="14:51" ht="13.5" customHeight="1"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</row>
  </sheetData>
  <mergeCells count="12">
    <mergeCell ref="D20:D23"/>
    <mergeCell ref="E20:E23"/>
    <mergeCell ref="F20:F23"/>
    <mergeCell ref="G20:G23"/>
    <mergeCell ref="Q1:S1"/>
    <mergeCell ref="L20:L22"/>
    <mergeCell ref="D8:D18"/>
    <mergeCell ref="T1:U1"/>
    <mergeCell ref="V1:AB1"/>
    <mergeCell ref="AC1:AI1"/>
    <mergeCell ref="AJ1:AP1"/>
    <mergeCell ref="AQ1:AW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110A2-8B58-4F46-933E-5EF729A3381F}">
  <sheetPr>
    <tabColor rgb="FFFFFF00"/>
  </sheetPr>
  <dimension ref="A1:DX117"/>
  <sheetViews>
    <sheetView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L57" sqref="L57"/>
    </sheetView>
  </sheetViews>
  <sheetFormatPr defaultColWidth="8.6328125" defaultRowHeight="13.5" customHeight="1"/>
  <cols>
    <col min="1" max="1" width="4.36328125" style="20" customWidth="1"/>
    <col min="2" max="2" width="5.08984375" style="87" customWidth="1"/>
    <col min="3" max="3" width="61.36328125" style="20" customWidth="1"/>
    <col min="4" max="4" width="27.36328125" style="19" bestFit="1" customWidth="1"/>
    <col min="5" max="5" width="12" style="19" customWidth="1"/>
    <col min="6" max="6" width="12.6328125" style="19" customWidth="1"/>
    <col min="7" max="7" width="14.90625" style="19" customWidth="1"/>
    <col min="8" max="8" width="16.6328125" style="19" customWidth="1"/>
    <col min="9" max="10" width="11.6328125" style="19" customWidth="1"/>
    <col min="11" max="11" width="12.6328125" style="19" customWidth="1"/>
    <col min="12" max="12" width="11.90625" style="19" customWidth="1"/>
    <col min="13" max="13" width="11.36328125" style="19" customWidth="1"/>
    <col min="14" max="14" width="14.36328125" style="19" customWidth="1"/>
    <col min="15" max="15" width="11.36328125" style="19" customWidth="1"/>
    <col min="16" max="18" width="12.6328125" style="19" customWidth="1"/>
    <col min="19" max="49" width="13.08984375" style="19" customWidth="1"/>
    <col min="50" max="50" width="22.36328125" style="19" bestFit="1" customWidth="1"/>
    <col min="51" max="51" width="17.36328125" style="19" customWidth="1"/>
    <col min="52" max="52" width="11.08984375" style="20" bestFit="1" customWidth="1"/>
    <col min="53" max="53" width="15.36328125" style="20" bestFit="1" customWidth="1"/>
    <col min="54" max="16383" width="8.6328125" style="20"/>
    <col min="16384" max="16384" width="8.6328125" style="20" bestFit="1"/>
  </cols>
  <sheetData>
    <row r="1" spans="1:128" ht="15" customHeight="1" thickBot="1">
      <c r="B1" s="548"/>
      <c r="C1" s="549"/>
      <c r="D1" s="550"/>
      <c r="E1" s="550"/>
      <c r="F1" s="550"/>
      <c r="G1" s="550"/>
      <c r="H1" s="550"/>
      <c r="I1" s="550"/>
      <c r="J1" s="550"/>
      <c r="K1" s="550"/>
      <c r="L1" s="550"/>
      <c r="M1" s="550"/>
      <c r="N1" s="550"/>
      <c r="O1" s="550"/>
      <c r="P1" s="550"/>
      <c r="Q1" s="1059" t="s">
        <v>60</v>
      </c>
      <c r="R1" s="1055"/>
      <c r="S1" s="1056"/>
      <c r="T1" s="1055" t="s">
        <v>61</v>
      </c>
      <c r="U1" s="1055"/>
      <c r="V1" s="1059" t="s">
        <v>62</v>
      </c>
      <c r="W1" s="1055"/>
      <c r="X1" s="1055"/>
      <c r="Y1" s="1055"/>
      <c r="Z1" s="1055"/>
      <c r="AA1" s="1055"/>
      <c r="AB1" s="1056"/>
      <c r="AC1" s="1055" t="s">
        <v>63</v>
      </c>
      <c r="AD1" s="1055"/>
      <c r="AE1" s="1055"/>
      <c r="AF1" s="1055"/>
      <c r="AG1" s="1055"/>
      <c r="AH1" s="1055"/>
      <c r="AI1" s="1056"/>
      <c r="AJ1" s="1055" t="s">
        <v>64</v>
      </c>
      <c r="AK1" s="1055"/>
      <c r="AL1" s="1055"/>
      <c r="AM1" s="1055"/>
      <c r="AN1" s="1055"/>
      <c r="AO1" s="1055"/>
      <c r="AP1" s="1056"/>
      <c r="AQ1" s="1055" t="s">
        <v>65</v>
      </c>
      <c r="AR1" s="1055"/>
      <c r="AS1" s="1055"/>
      <c r="AT1" s="1055"/>
      <c r="AU1" s="1055"/>
      <c r="AV1" s="1055"/>
      <c r="AW1" s="1055"/>
      <c r="AX1" s="551" t="s">
        <v>114</v>
      </c>
      <c r="AY1" s="20"/>
    </row>
    <row r="2" spans="1:128" ht="29.5" thickBot="1">
      <c r="B2" s="90" t="s">
        <v>29</v>
      </c>
      <c r="C2" s="520" t="s">
        <v>30</v>
      </c>
      <c r="D2" s="521" t="s">
        <v>3</v>
      </c>
      <c r="E2" s="522" t="s">
        <v>31</v>
      </c>
      <c r="F2" s="522" t="s">
        <v>5</v>
      </c>
      <c r="G2" s="522" t="s">
        <v>108</v>
      </c>
      <c r="H2" s="522" t="s">
        <v>32</v>
      </c>
      <c r="I2" s="522" t="s">
        <v>7</v>
      </c>
      <c r="J2" s="522" t="s">
        <v>68</v>
      </c>
      <c r="K2" s="522" t="s">
        <v>69</v>
      </c>
      <c r="L2" s="522" t="s">
        <v>8</v>
      </c>
      <c r="M2" s="522" t="s">
        <v>9</v>
      </c>
      <c r="N2" s="522" t="s">
        <v>10</v>
      </c>
      <c r="O2" s="522" t="s">
        <v>35</v>
      </c>
      <c r="P2" s="523" t="s">
        <v>11</v>
      </c>
      <c r="Q2" s="524" t="s">
        <v>70</v>
      </c>
      <c r="R2" s="525" t="s">
        <v>71</v>
      </c>
      <c r="S2" s="526" t="s">
        <v>34</v>
      </c>
      <c r="T2" s="527" t="s">
        <v>72</v>
      </c>
      <c r="U2" s="528" t="s">
        <v>73</v>
      </c>
      <c r="V2" s="529" t="s">
        <v>74</v>
      </c>
      <c r="W2" s="89" t="s">
        <v>31</v>
      </c>
      <c r="X2" s="89" t="s">
        <v>6</v>
      </c>
      <c r="Y2" s="89" t="s">
        <v>75</v>
      </c>
      <c r="Z2" s="89" t="s">
        <v>7</v>
      </c>
      <c r="AA2" s="89" t="s">
        <v>76</v>
      </c>
      <c r="AB2" s="530" t="s">
        <v>77</v>
      </c>
      <c r="AC2" s="529" t="s">
        <v>74</v>
      </c>
      <c r="AD2" s="89" t="s">
        <v>31</v>
      </c>
      <c r="AE2" s="89" t="s">
        <v>6</v>
      </c>
      <c r="AF2" s="89" t="s">
        <v>75</v>
      </c>
      <c r="AG2" s="89" t="s">
        <v>7</v>
      </c>
      <c r="AH2" s="89" t="s">
        <v>76</v>
      </c>
      <c r="AI2" s="530" t="s">
        <v>77</v>
      </c>
      <c r="AJ2" s="529" t="s">
        <v>74</v>
      </c>
      <c r="AK2" s="89" t="s">
        <v>31</v>
      </c>
      <c r="AL2" s="89" t="s">
        <v>75</v>
      </c>
      <c r="AM2" s="89" t="s">
        <v>75</v>
      </c>
      <c r="AN2" s="89" t="s">
        <v>7</v>
      </c>
      <c r="AO2" s="89" t="s">
        <v>76</v>
      </c>
      <c r="AP2" s="530" t="s">
        <v>77</v>
      </c>
      <c r="AQ2" s="529" t="s">
        <v>74</v>
      </c>
      <c r="AR2" s="89" t="s">
        <v>31</v>
      </c>
      <c r="AS2" s="89" t="s">
        <v>6</v>
      </c>
      <c r="AT2" s="89" t="s">
        <v>75</v>
      </c>
      <c r="AU2" s="89" t="s">
        <v>7</v>
      </c>
      <c r="AV2" s="89" t="s">
        <v>76</v>
      </c>
      <c r="AW2" s="530" t="s">
        <v>77</v>
      </c>
      <c r="AX2" s="531" t="s">
        <v>78</v>
      </c>
      <c r="AY2" s="20"/>
    </row>
    <row r="3" spans="1:128" ht="14.5">
      <c r="B3" s="96">
        <v>1</v>
      </c>
      <c r="C3" s="321" t="s">
        <v>36</v>
      </c>
      <c r="D3" s="233">
        <v>2</v>
      </c>
      <c r="E3" s="62">
        <v>2</v>
      </c>
      <c r="F3" s="322"/>
      <c r="G3" s="322"/>
      <c r="H3" s="322"/>
      <c r="I3" s="322"/>
      <c r="J3" s="322"/>
      <c r="K3" s="322"/>
      <c r="L3" s="322"/>
      <c r="M3" s="322"/>
      <c r="N3" s="322"/>
      <c r="O3" s="322"/>
      <c r="P3" s="323"/>
      <c r="Q3" s="324"/>
      <c r="R3" s="325"/>
      <c r="S3" s="326"/>
      <c r="T3" s="327"/>
      <c r="U3" s="328"/>
      <c r="V3" s="329"/>
      <c r="W3" s="99"/>
      <c r="X3" s="99"/>
      <c r="Y3" s="99"/>
      <c r="Z3" s="99"/>
      <c r="AA3" s="99"/>
      <c r="AB3" s="330"/>
      <c r="AC3" s="329"/>
      <c r="AD3" s="99"/>
      <c r="AE3" s="99"/>
      <c r="AF3" s="99"/>
      <c r="AG3" s="99"/>
      <c r="AH3" s="99"/>
      <c r="AI3" s="330"/>
      <c r="AJ3" s="329"/>
      <c r="AK3" s="99"/>
      <c r="AL3" s="99"/>
      <c r="AM3" s="99"/>
      <c r="AN3" s="99"/>
      <c r="AO3" s="99"/>
      <c r="AP3" s="330"/>
      <c r="AQ3" s="329"/>
      <c r="AR3" s="99"/>
      <c r="AS3" s="99"/>
      <c r="AT3" s="99"/>
      <c r="AU3" s="99"/>
      <c r="AV3" s="99"/>
      <c r="AW3" s="330"/>
      <c r="AX3" s="532"/>
      <c r="AY3" s="20"/>
    </row>
    <row r="4" spans="1:128" s="108" customFormat="1" ht="14.5">
      <c r="A4" s="20"/>
      <c r="B4" s="101">
        <v>2</v>
      </c>
      <c r="C4" s="333" t="s">
        <v>79</v>
      </c>
      <c r="D4" s="229">
        <v>1</v>
      </c>
      <c r="E4" s="230">
        <v>0.5</v>
      </c>
      <c r="F4" s="334"/>
      <c r="G4" s="334"/>
      <c r="H4" s="334"/>
      <c r="I4" s="334"/>
      <c r="J4" s="231"/>
      <c r="K4" s="231"/>
      <c r="L4" s="231"/>
      <c r="M4" s="231"/>
      <c r="N4" s="231"/>
      <c r="O4" s="231"/>
      <c r="P4" s="232"/>
      <c r="Q4" s="335"/>
      <c r="R4" s="334"/>
      <c r="S4" s="336"/>
      <c r="T4" s="337"/>
      <c r="U4" s="338"/>
      <c r="V4" s="337"/>
      <c r="W4" s="105"/>
      <c r="X4" s="105"/>
      <c r="Y4" s="105"/>
      <c r="Z4" s="105"/>
      <c r="AA4" s="105"/>
      <c r="AB4" s="338"/>
      <c r="AC4" s="337"/>
      <c r="AD4" s="105"/>
      <c r="AE4" s="105"/>
      <c r="AF4" s="105"/>
      <c r="AG4" s="105"/>
      <c r="AH4" s="105"/>
      <c r="AI4" s="338"/>
      <c r="AJ4" s="337"/>
      <c r="AK4" s="105"/>
      <c r="AL4" s="105"/>
      <c r="AM4" s="105"/>
      <c r="AN4" s="105"/>
      <c r="AO4" s="105"/>
      <c r="AP4" s="338"/>
      <c r="AQ4" s="337"/>
      <c r="AR4" s="105"/>
      <c r="AS4" s="105"/>
      <c r="AT4" s="105"/>
      <c r="AU4" s="105"/>
      <c r="AV4" s="105"/>
      <c r="AW4" s="338"/>
      <c r="AX4" s="533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</row>
    <row r="5" spans="1:128" s="108" customFormat="1" ht="14.5">
      <c r="A5" s="20"/>
      <c r="B5" s="101">
        <v>2</v>
      </c>
      <c r="C5" s="333" t="s">
        <v>80</v>
      </c>
      <c r="D5" s="229">
        <v>5</v>
      </c>
      <c r="E5" s="230">
        <v>2</v>
      </c>
      <c r="F5" s="334"/>
      <c r="G5" s="334"/>
      <c r="H5" s="334"/>
      <c r="I5" s="334"/>
      <c r="J5" s="334"/>
      <c r="K5" s="334"/>
      <c r="L5" s="334"/>
      <c r="M5" s="334"/>
      <c r="N5" s="334"/>
      <c r="O5" s="334"/>
      <c r="P5" s="340"/>
      <c r="Q5" s="335"/>
      <c r="R5" s="334"/>
      <c r="S5" s="336"/>
      <c r="T5" s="337"/>
      <c r="U5" s="338"/>
      <c r="V5" s="337"/>
      <c r="W5" s="105"/>
      <c r="X5" s="105"/>
      <c r="Y5" s="105"/>
      <c r="Z5" s="105"/>
      <c r="AA5" s="105"/>
      <c r="AB5" s="338"/>
      <c r="AC5" s="337"/>
      <c r="AD5" s="105"/>
      <c r="AE5" s="105"/>
      <c r="AF5" s="105"/>
      <c r="AG5" s="105"/>
      <c r="AH5" s="105"/>
      <c r="AI5" s="338"/>
      <c r="AJ5" s="337"/>
      <c r="AK5" s="105"/>
      <c r="AL5" s="105"/>
      <c r="AM5" s="105"/>
      <c r="AN5" s="105"/>
      <c r="AO5" s="105"/>
      <c r="AP5" s="338"/>
      <c r="AQ5" s="337"/>
      <c r="AR5" s="105"/>
      <c r="AS5" s="105"/>
      <c r="AT5" s="105"/>
      <c r="AU5" s="105"/>
      <c r="AV5" s="105"/>
      <c r="AW5" s="338"/>
      <c r="AX5" s="533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</row>
    <row r="6" spans="1:128" ht="14.5">
      <c r="B6" s="110">
        <v>3</v>
      </c>
      <c r="C6" s="342" t="s">
        <v>38</v>
      </c>
      <c r="D6" s="233">
        <v>1</v>
      </c>
      <c r="E6" s="518">
        <v>5</v>
      </c>
      <c r="F6" s="322">
        <v>1</v>
      </c>
      <c r="G6" s="322"/>
      <c r="H6" s="322"/>
      <c r="I6" s="322">
        <v>1</v>
      </c>
      <c r="J6" s="322"/>
      <c r="K6" s="322"/>
      <c r="L6" s="322"/>
      <c r="M6" s="322"/>
      <c r="N6" s="322"/>
      <c r="O6" s="322"/>
      <c r="P6" s="323"/>
      <c r="Q6" s="343"/>
      <c r="R6" s="322">
        <v>1</v>
      </c>
      <c r="S6" s="344"/>
      <c r="T6" s="345"/>
      <c r="U6" s="346"/>
      <c r="V6" s="239"/>
      <c r="W6" s="22"/>
      <c r="X6" s="22"/>
      <c r="Y6" s="22"/>
      <c r="Z6" s="22"/>
      <c r="AA6" s="22"/>
      <c r="AB6" s="76"/>
      <c r="AC6" s="239"/>
      <c r="AD6" s="22"/>
      <c r="AE6" s="22"/>
      <c r="AF6" s="22"/>
      <c r="AG6" s="22"/>
      <c r="AH6" s="22"/>
      <c r="AI6" s="76"/>
      <c r="AJ6" s="239"/>
      <c r="AK6" s="22"/>
      <c r="AL6" s="22"/>
      <c r="AM6" s="22"/>
      <c r="AN6" s="22"/>
      <c r="AO6" s="22"/>
      <c r="AP6" s="76"/>
      <c r="AQ6" s="239"/>
      <c r="AR6" s="22"/>
      <c r="AS6" s="22"/>
      <c r="AT6" s="22"/>
      <c r="AU6" s="22"/>
      <c r="AV6" s="22"/>
      <c r="AW6" s="76"/>
      <c r="AX6" s="534"/>
      <c r="AY6" s="20"/>
    </row>
    <row r="7" spans="1:128" ht="14.5">
      <c r="B7" s="110">
        <v>4</v>
      </c>
      <c r="C7" s="342" t="s">
        <v>81</v>
      </c>
      <c r="D7" s="233">
        <v>1</v>
      </c>
      <c r="E7" s="62">
        <v>2</v>
      </c>
      <c r="F7" s="322"/>
      <c r="G7" s="322"/>
      <c r="H7" s="322"/>
      <c r="I7" s="322"/>
      <c r="J7" s="322"/>
      <c r="K7" s="322"/>
      <c r="L7" s="322"/>
      <c r="M7" s="322"/>
      <c r="N7" s="322"/>
      <c r="O7" s="322"/>
      <c r="P7" s="323"/>
      <c r="Q7" s="343"/>
      <c r="R7" s="322"/>
      <c r="S7" s="344"/>
      <c r="T7" s="345"/>
      <c r="U7" s="346"/>
      <c r="V7" s="239"/>
      <c r="W7" s="113"/>
      <c r="X7" s="113"/>
      <c r="Y7" s="113"/>
      <c r="Z7" s="113"/>
      <c r="AA7" s="113"/>
      <c r="AB7" s="346"/>
      <c r="AC7" s="239"/>
      <c r="AD7" s="113"/>
      <c r="AE7" s="113"/>
      <c r="AF7" s="113"/>
      <c r="AG7" s="113"/>
      <c r="AH7" s="113"/>
      <c r="AI7" s="346"/>
      <c r="AJ7" s="239"/>
      <c r="AK7" s="113"/>
      <c r="AL7" s="113"/>
      <c r="AM7" s="113"/>
      <c r="AN7" s="113"/>
      <c r="AO7" s="113"/>
      <c r="AP7" s="346"/>
      <c r="AQ7" s="239"/>
      <c r="AR7" s="113"/>
      <c r="AS7" s="113"/>
      <c r="AT7" s="113"/>
      <c r="AU7" s="113"/>
      <c r="AV7" s="113"/>
      <c r="AW7" s="346"/>
      <c r="AX7" s="534"/>
      <c r="AY7" s="20"/>
    </row>
    <row r="8" spans="1:128" s="135" customFormat="1" ht="14.5">
      <c r="A8" s="20"/>
      <c r="B8" s="194">
        <v>6</v>
      </c>
      <c r="C8" s="364" t="s">
        <v>83</v>
      </c>
      <c r="D8" s="1052">
        <v>2</v>
      </c>
      <c r="E8" s="366"/>
      <c r="F8" s="366"/>
      <c r="G8" s="366"/>
      <c r="H8" s="366"/>
      <c r="I8" s="366"/>
      <c r="J8" s="366"/>
      <c r="K8" s="366"/>
      <c r="L8" s="366"/>
      <c r="M8" s="366"/>
      <c r="N8" s="366"/>
      <c r="O8" s="366"/>
      <c r="P8" s="367"/>
      <c r="Q8" s="368"/>
      <c r="R8" s="366"/>
      <c r="S8" s="369"/>
      <c r="T8" s="370"/>
      <c r="U8" s="371"/>
      <c r="V8" s="370"/>
      <c r="W8" s="198"/>
      <c r="X8" s="198"/>
      <c r="Y8" s="198"/>
      <c r="Z8" s="198"/>
      <c r="AA8" s="198"/>
      <c r="AB8" s="371"/>
      <c r="AC8" s="370"/>
      <c r="AD8" s="198"/>
      <c r="AE8" s="198"/>
      <c r="AF8" s="198"/>
      <c r="AG8" s="198"/>
      <c r="AH8" s="198"/>
      <c r="AI8" s="371"/>
      <c r="AJ8" s="370"/>
      <c r="AK8" s="198"/>
      <c r="AL8" s="198"/>
      <c r="AM8" s="198"/>
      <c r="AN8" s="198"/>
      <c r="AO8" s="198"/>
      <c r="AP8" s="371"/>
      <c r="AQ8" s="370"/>
      <c r="AR8" s="198"/>
      <c r="AS8" s="198"/>
      <c r="AT8" s="198"/>
      <c r="AU8" s="198"/>
      <c r="AV8" s="198"/>
      <c r="AW8" s="371"/>
      <c r="AX8" s="535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</row>
    <row r="9" spans="1:128" ht="18.75" customHeight="1">
      <c r="B9" s="130">
        <v>6.1</v>
      </c>
      <c r="C9" s="374" t="s">
        <v>84</v>
      </c>
      <c r="D9" s="1053"/>
      <c r="E9" s="376"/>
      <c r="F9" s="376"/>
      <c r="G9" s="376"/>
      <c r="H9" s="376"/>
      <c r="I9" s="376"/>
      <c r="J9" s="377"/>
      <c r="K9" s="377"/>
      <c r="L9" s="376"/>
      <c r="M9" s="376"/>
      <c r="N9" s="376"/>
      <c r="O9" s="377"/>
      <c r="P9" s="378"/>
      <c r="Q9" s="379"/>
      <c r="R9" s="376"/>
      <c r="S9" s="380"/>
      <c r="T9" s="381"/>
      <c r="U9" s="382"/>
      <c r="V9" s="381"/>
      <c r="W9" s="133"/>
      <c r="X9" s="133"/>
      <c r="Y9" s="133"/>
      <c r="Z9" s="133"/>
      <c r="AA9" s="133"/>
      <c r="AB9" s="382"/>
      <c r="AC9" s="381"/>
      <c r="AD9" s="133"/>
      <c r="AE9" s="133"/>
      <c r="AF9" s="133"/>
      <c r="AG9" s="133"/>
      <c r="AH9" s="133"/>
      <c r="AI9" s="382"/>
      <c r="AJ9" s="381"/>
      <c r="AK9" s="133"/>
      <c r="AL9" s="133"/>
      <c r="AM9" s="133"/>
      <c r="AN9" s="133"/>
      <c r="AO9" s="133"/>
      <c r="AP9" s="382"/>
      <c r="AQ9" s="381"/>
      <c r="AR9" s="133"/>
      <c r="AS9" s="133"/>
      <c r="AT9" s="133"/>
      <c r="AU9" s="133"/>
      <c r="AV9" s="133"/>
      <c r="AW9" s="382"/>
      <c r="AX9" s="536"/>
      <c r="AY9" s="20"/>
    </row>
    <row r="10" spans="1:128" ht="87" customHeight="1">
      <c r="B10" s="130"/>
      <c r="C10" s="374" t="s">
        <v>115</v>
      </c>
      <c r="D10" s="1053"/>
      <c r="E10" s="376"/>
      <c r="F10" s="376"/>
      <c r="G10" s="376"/>
      <c r="H10" s="376"/>
      <c r="I10" s="376"/>
      <c r="J10" s="377"/>
      <c r="K10" s="377"/>
      <c r="L10" s="376">
        <v>3</v>
      </c>
      <c r="M10" s="376">
        <v>0.5</v>
      </c>
      <c r="N10" s="376"/>
      <c r="O10" s="377"/>
      <c r="P10" s="378"/>
      <c r="Q10" s="379"/>
      <c r="R10" s="376">
        <v>6</v>
      </c>
      <c r="S10" s="380">
        <v>4</v>
      </c>
      <c r="T10" s="381"/>
      <c r="U10" s="382"/>
      <c r="V10" s="381"/>
      <c r="W10" s="133"/>
      <c r="X10" s="133"/>
      <c r="Y10" s="133"/>
      <c r="Z10" s="133"/>
      <c r="AA10" s="133"/>
      <c r="AB10" s="382"/>
      <c r="AC10" s="381"/>
      <c r="AD10" s="133"/>
      <c r="AE10" s="133"/>
      <c r="AF10" s="133"/>
      <c r="AG10" s="133"/>
      <c r="AH10" s="133"/>
      <c r="AI10" s="382"/>
      <c r="AJ10" s="381"/>
      <c r="AK10" s="133"/>
      <c r="AL10" s="133"/>
      <c r="AM10" s="133"/>
      <c r="AN10" s="133"/>
      <c r="AO10" s="133"/>
      <c r="AP10" s="382"/>
      <c r="AQ10" s="381"/>
      <c r="AR10" s="133"/>
      <c r="AS10" s="133"/>
      <c r="AT10" s="133"/>
      <c r="AU10" s="133"/>
      <c r="AV10" s="133"/>
      <c r="AW10" s="382"/>
      <c r="AX10" s="536"/>
      <c r="AY10" s="20"/>
    </row>
    <row r="11" spans="1:128" ht="18.5">
      <c r="B11" s="130"/>
      <c r="C11" s="374" t="s">
        <v>116</v>
      </c>
      <c r="D11" s="1053"/>
      <c r="E11" s="376"/>
      <c r="F11" s="376"/>
      <c r="G11" s="376"/>
      <c r="H11" s="376"/>
      <c r="I11" s="376"/>
      <c r="J11" s="377"/>
      <c r="K11" s="377"/>
      <c r="L11" s="376"/>
      <c r="M11" s="376"/>
      <c r="N11" s="376"/>
      <c r="O11" s="377"/>
      <c r="P11" s="378"/>
      <c r="Q11" s="379"/>
      <c r="R11" s="376"/>
      <c r="S11" s="380"/>
      <c r="T11" s="381"/>
      <c r="U11" s="382"/>
      <c r="V11" s="381"/>
      <c r="W11" s="133"/>
      <c r="X11" s="133"/>
      <c r="Y11" s="133"/>
      <c r="Z11" s="133"/>
      <c r="AA11" s="133"/>
      <c r="AB11" s="382"/>
      <c r="AC11" s="381"/>
      <c r="AD11" s="133"/>
      <c r="AE11" s="133"/>
      <c r="AF11" s="133"/>
      <c r="AG11" s="133"/>
      <c r="AH11" s="133"/>
      <c r="AI11" s="382"/>
      <c r="AJ11" s="381"/>
      <c r="AK11" s="133"/>
      <c r="AL11" s="133"/>
      <c r="AM11" s="133"/>
      <c r="AN11" s="133"/>
      <c r="AO11" s="133"/>
      <c r="AP11" s="382"/>
      <c r="AQ11" s="381"/>
      <c r="AR11" s="133"/>
      <c r="AS11" s="133"/>
      <c r="AT11" s="133"/>
      <c r="AU11" s="133"/>
      <c r="AV11" s="133"/>
      <c r="AW11" s="382"/>
      <c r="AX11" s="536"/>
      <c r="AY11" s="20"/>
    </row>
    <row r="12" spans="1:128" ht="18.5">
      <c r="B12" s="130"/>
      <c r="C12" s="374" t="s">
        <v>117</v>
      </c>
      <c r="D12" s="1053"/>
      <c r="E12" s="376"/>
      <c r="F12" s="376"/>
      <c r="G12" s="376"/>
      <c r="H12" s="376"/>
      <c r="I12" s="376"/>
      <c r="J12" s="377"/>
      <c r="K12" s="377"/>
      <c r="L12" s="376"/>
      <c r="M12" s="376"/>
      <c r="N12" s="376"/>
      <c r="O12" s="377"/>
      <c r="P12" s="378"/>
      <c r="Q12" s="379"/>
      <c r="R12" s="376"/>
      <c r="S12" s="380"/>
      <c r="T12" s="381"/>
      <c r="U12" s="382"/>
      <c r="V12" s="381"/>
      <c r="W12" s="133"/>
      <c r="X12" s="133"/>
      <c r="Y12" s="133"/>
      <c r="Z12" s="133"/>
      <c r="AA12" s="133"/>
      <c r="AB12" s="382"/>
      <c r="AC12" s="381"/>
      <c r="AD12" s="133"/>
      <c r="AE12" s="133"/>
      <c r="AF12" s="133"/>
      <c r="AG12" s="133"/>
      <c r="AH12" s="133"/>
      <c r="AI12" s="382"/>
      <c r="AJ12" s="381"/>
      <c r="AK12" s="133"/>
      <c r="AL12" s="133"/>
      <c r="AM12" s="133"/>
      <c r="AN12" s="133"/>
      <c r="AO12" s="133"/>
      <c r="AP12" s="382"/>
      <c r="AQ12" s="381"/>
      <c r="AR12" s="133"/>
      <c r="AS12" s="133"/>
      <c r="AT12" s="133"/>
      <c r="AU12" s="133"/>
      <c r="AV12" s="133"/>
      <c r="AW12" s="382"/>
      <c r="AX12" s="536"/>
      <c r="AY12" s="20"/>
    </row>
    <row r="13" spans="1:128" ht="18.5">
      <c r="B13" s="130"/>
      <c r="C13" s="374" t="s">
        <v>118</v>
      </c>
      <c r="D13" s="1053"/>
      <c r="E13" s="376"/>
      <c r="F13" s="376"/>
      <c r="G13" s="376"/>
      <c r="H13" s="376"/>
      <c r="I13" s="376"/>
      <c r="J13" s="377"/>
      <c r="K13" s="377"/>
      <c r="L13" s="376"/>
      <c r="M13" s="376"/>
      <c r="N13" s="376"/>
      <c r="O13" s="377"/>
      <c r="P13" s="378"/>
      <c r="Q13" s="379"/>
      <c r="R13" s="376"/>
      <c r="S13" s="380"/>
      <c r="T13" s="381"/>
      <c r="U13" s="382"/>
      <c r="V13" s="381"/>
      <c r="W13" s="133"/>
      <c r="X13" s="133"/>
      <c r="Y13" s="133"/>
      <c r="Z13" s="133"/>
      <c r="AA13" s="133"/>
      <c r="AB13" s="382"/>
      <c r="AC13" s="381"/>
      <c r="AD13" s="133"/>
      <c r="AE13" s="133"/>
      <c r="AF13" s="133"/>
      <c r="AG13" s="133"/>
      <c r="AH13" s="133"/>
      <c r="AI13" s="382"/>
      <c r="AJ13" s="381"/>
      <c r="AK13" s="133"/>
      <c r="AL13" s="133"/>
      <c r="AM13" s="133"/>
      <c r="AN13" s="133"/>
      <c r="AO13" s="133"/>
      <c r="AP13" s="382"/>
      <c r="AQ13" s="381"/>
      <c r="AR13" s="133"/>
      <c r="AS13" s="133"/>
      <c r="AT13" s="133"/>
      <c r="AU13" s="133"/>
      <c r="AV13" s="133"/>
      <c r="AW13" s="382"/>
      <c r="AX13" s="536"/>
      <c r="AY13" s="20"/>
    </row>
    <row r="14" spans="1:128" ht="18.5">
      <c r="B14" s="130">
        <v>6.2</v>
      </c>
      <c r="C14" s="374" t="s">
        <v>86</v>
      </c>
      <c r="D14" s="1053"/>
      <c r="E14" s="376"/>
      <c r="F14" s="376"/>
      <c r="G14" s="376"/>
      <c r="H14" s="376"/>
      <c r="I14" s="376"/>
      <c r="J14" s="377"/>
      <c r="K14" s="377"/>
      <c r="L14" s="376"/>
      <c r="M14" s="376"/>
      <c r="N14" s="376"/>
      <c r="O14" s="377"/>
      <c r="P14" s="378"/>
      <c r="Q14" s="379"/>
      <c r="R14" s="376"/>
      <c r="S14" s="380"/>
      <c r="T14" s="381"/>
      <c r="U14" s="382"/>
      <c r="V14" s="381"/>
      <c r="W14" s="133"/>
      <c r="X14" s="133"/>
      <c r="Y14" s="133"/>
      <c r="Z14" s="133"/>
      <c r="AA14" s="133"/>
      <c r="AB14" s="382"/>
      <c r="AC14" s="381"/>
      <c r="AD14" s="133"/>
      <c r="AE14" s="133"/>
      <c r="AF14" s="133"/>
      <c r="AG14" s="133"/>
      <c r="AH14" s="133"/>
      <c r="AI14" s="382"/>
      <c r="AJ14" s="381"/>
      <c r="AK14" s="133"/>
      <c r="AL14" s="133"/>
      <c r="AM14" s="133"/>
      <c r="AN14" s="133"/>
      <c r="AO14" s="133"/>
      <c r="AP14" s="382"/>
      <c r="AQ14" s="381"/>
      <c r="AR14" s="133"/>
      <c r="AS14" s="133"/>
      <c r="AT14" s="133"/>
      <c r="AU14" s="133"/>
      <c r="AV14" s="133"/>
      <c r="AW14" s="382"/>
      <c r="AX14" s="536"/>
      <c r="AY14" s="20"/>
    </row>
    <row r="15" spans="1:128" ht="18.5">
      <c r="B15" s="130"/>
      <c r="C15" s="374" t="s">
        <v>87</v>
      </c>
      <c r="D15" s="1053"/>
      <c r="E15" s="428">
        <v>0.5</v>
      </c>
      <c r="F15" s="376">
        <v>3</v>
      </c>
      <c r="G15" s="376">
        <v>7</v>
      </c>
      <c r="H15" s="376"/>
      <c r="I15" s="376">
        <v>3</v>
      </c>
      <c r="J15" s="377"/>
      <c r="K15" s="377"/>
      <c r="L15" s="376"/>
      <c r="M15" s="376"/>
      <c r="N15" s="376"/>
      <c r="O15" s="377"/>
      <c r="P15" s="378"/>
      <c r="Q15" s="379"/>
      <c r="R15" s="376"/>
      <c r="S15" s="380"/>
      <c r="T15" s="381"/>
      <c r="U15" s="382"/>
      <c r="V15" s="381"/>
      <c r="W15" s="133"/>
      <c r="X15" s="133"/>
      <c r="Y15" s="133"/>
      <c r="Z15" s="133"/>
      <c r="AA15" s="133"/>
      <c r="AB15" s="382"/>
      <c r="AC15" s="381"/>
      <c r="AD15" s="133"/>
      <c r="AE15" s="133"/>
      <c r="AF15" s="133"/>
      <c r="AG15" s="133"/>
      <c r="AH15" s="133"/>
      <c r="AI15" s="382"/>
      <c r="AJ15" s="381"/>
      <c r="AK15" s="133"/>
      <c r="AL15" s="133"/>
      <c r="AM15" s="133"/>
      <c r="AN15" s="133"/>
      <c r="AO15" s="133"/>
      <c r="AP15" s="382"/>
      <c r="AQ15" s="381"/>
      <c r="AR15" s="133"/>
      <c r="AS15" s="133"/>
      <c r="AT15" s="133"/>
      <c r="AU15" s="133"/>
      <c r="AV15" s="133"/>
      <c r="AW15" s="382"/>
      <c r="AX15" s="536"/>
      <c r="AY15" s="20"/>
    </row>
    <row r="16" spans="1:128" ht="18.5">
      <c r="B16" s="130"/>
      <c r="C16" s="374" t="s">
        <v>179</v>
      </c>
      <c r="D16" s="1053"/>
      <c r="E16" s="428">
        <v>0.5</v>
      </c>
      <c r="F16" s="376">
        <v>1</v>
      </c>
      <c r="G16" s="376">
        <v>3</v>
      </c>
      <c r="H16" s="376"/>
      <c r="I16" s="376">
        <v>2</v>
      </c>
      <c r="J16" s="377"/>
      <c r="K16" s="377"/>
      <c r="L16" s="376"/>
      <c r="M16" s="376"/>
      <c r="N16" s="376"/>
      <c r="O16" s="377"/>
      <c r="P16" s="378"/>
      <c r="Q16" s="379"/>
      <c r="R16" s="376"/>
      <c r="S16" s="380"/>
      <c r="T16" s="488"/>
      <c r="U16" s="489"/>
      <c r="V16" s="488"/>
      <c r="W16" s="490"/>
      <c r="X16" s="490"/>
      <c r="Y16" s="490"/>
      <c r="Z16" s="490"/>
      <c r="AA16" s="490"/>
      <c r="AB16" s="489"/>
      <c r="AC16" s="488"/>
      <c r="AD16" s="490"/>
      <c r="AE16" s="490"/>
      <c r="AF16" s="490"/>
      <c r="AG16" s="490"/>
      <c r="AH16" s="490"/>
      <c r="AI16" s="489"/>
      <c r="AJ16" s="488"/>
      <c r="AK16" s="490"/>
      <c r="AL16" s="490"/>
      <c r="AM16" s="490"/>
      <c r="AN16" s="490"/>
      <c r="AO16" s="490"/>
      <c r="AP16" s="489"/>
      <c r="AQ16" s="488"/>
      <c r="AR16" s="490"/>
      <c r="AS16" s="490"/>
      <c r="AT16" s="490"/>
      <c r="AU16" s="490"/>
      <c r="AV16" s="490"/>
      <c r="AW16" s="489"/>
      <c r="AX16" s="537">
        <v>1</v>
      </c>
      <c r="AY16" s="20"/>
    </row>
    <row r="17" spans="2:54" ht="18.5">
      <c r="B17" s="130"/>
      <c r="C17" s="374" t="s">
        <v>180</v>
      </c>
      <c r="D17" s="1053"/>
      <c r="E17" s="428">
        <v>0.5</v>
      </c>
      <c r="F17" s="376">
        <v>2</v>
      </c>
      <c r="G17" s="376">
        <v>6</v>
      </c>
      <c r="H17" s="376"/>
      <c r="I17" s="376">
        <v>2</v>
      </c>
      <c r="J17" s="377"/>
      <c r="K17" s="377"/>
      <c r="L17" s="376"/>
      <c r="M17" s="376"/>
      <c r="N17" s="376"/>
      <c r="O17" s="377"/>
      <c r="P17" s="378"/>
      <c r="Q17" s="379"/>
      <c r="R17" s="376"/>
      <c r="S17" s="380"/>
      <c r="T17" s="488"/>
      <c r="U17" s="489"/>
      <c r="V17" s="488"/>
      <c r="W17" s="490"/>
      <c r="X17" s="490"/>
      <c r="Y17" s="490"/>
      <c r="Z17" s="490"/>
      <c r="AA17" s="490"/>
      <c r="AB17" s="489"/>
      <c r="AC17" s="488"/>
      <c r="AD17" s="490"/>
      <c r="AE17" s="490"/>
      <c r="AF17" s="490"/>
      <c r="AG17" s="490"/>
      <c r="AH17" s="490"/>
      <c r="AI17" s="489"/>
      <c r="AJ17" s="488"/>
      <c r="AK17" s="490"/>
      <c r="AL17" s="490"/>
      <c r="AM17" s="490"/>
      <c r="AN17" s="490"/>
      <c r="AO17" s="490"/>
      <c r="AP17" s="489"/>
      <c r="AQ17" s="488"/>
      <c r="AR17" s="490"/>
      <c r="AS17" s="490"/>
      <c r="AT17" s="490"/>
      <c r="AU17" s="490"/>
      <c r="AV17" s="490"/>
      <c r="AW17" s="489"/>
      <c r="AX17" s="537">
        <v>1</v>
      </c>
      <c r="AY17" s="20"/>
    </row>
    <row r="18" spans="2:54" ht="18.5">
      <c r="B18" s="130"/>
      <c r="C18" s="374" t="s">
        <v>181</v>
      </c>
      <c r="D18" s="1054"/>
      <c r="E18" s="428">
        <v>0.5</v>
      </c>
      <c r="F18" s="376">
        <v>1</v>
      </c>
      <c r="G18" s="376">
        <v>3</v>
      </c>
      <c r="H18" s="376"/>
      <c r="I18" s="376">
        <v>1</v>
      </c>
      <c r="J18" s="377"/>
      <c r="K18" s="377"/>
      <c r="L18" s="376"/>
      <c r="M18" s="376"/>
      <c r="N18" s="376"/>
      <c r="O18" s="377"/>
      <c r="P18" s="378"/>
      <c r="Q18" s="379"/>
      <c r="R18" s="376"/>
      <c r="S18" s="380"/>
      <c r="T18" s="488"/>
      <c r="U18" s="489"/>
      <c r="V18" s="488"/>
      <c r="W18" s="490"/>
      <c r="X18" s="490"/>
      <c r="Y18" s="490"/>
      <c r="Z18" s="490"/>
      <c r="AA18" s="490"/>
      <c r="AB18" s="489"/>
      <c r="AC18" s="488"/>
      <c r="AD18" s="490"/>
      <c r="AE18" s="490"/>
      <c r="AF18" s="490"/>
      <c r="AG18" s="490"/>
      <c r="AH18" s="490"/>
      <c r="AI18" s="489"/>
      <c r="AJ18" s="488"/>
      <c r="AK18" s="490"/>
      <c r="AL18" s="490"/>
      <c r="AM18" s="490"/>
      <c r="AN18" s="490"/>
      <c r="AO18" s="490"/>
      <c r="AP18" s="489"/>
      <c r="AQ18" s="488"/>
      <c r="AR18" s="490"/>
      <c r="AS18" s="490"/>
      <c r="AT18" s="490"/>
      <c r="AU18" s="490"/>
      <c r="AV18" s="490"/>
      <c r="AW18" s="489"/>
      <c r="AX18" s="537"/>
      <c r="AY18" s="20"/>
    </row>
    <row r="19" spans="2:54" ht="18.75" customHeight="1">
      <c r="B19" s="115">
        <v>11</v>
      </c>
      <c r="C19" s="253" t="s">
        <v>122</v>
      </c>
      <c r="D19" s="256"/>
      <c r="E19" s="254"/>
      <c r="F19" s="254"/>
      <c r="G19" s="254"/>
      <c r="H19" s="254"/>
      <c r="I19" s="254"/>
      <c r="J19" s="255"/>
      <c r="K19" s="255"/>
      <c r="L19" s="254"/>
      <c r="M19" s="493"/>
      <c r="N19" s="254"/>
      <c r="O19" s="254"/>
      <c r="P19" s="264"/>
      <c r="Q19" s="437"/>
      <c r="R19" s="254"/>
      <c r="S19" s="267"/>
      <c r="T19" s="265"/>
      <c r="U19" s="277"/>
      <c r="V19" s="265"/>
      <c r="W19" s="248"/>
      <c r="X19" s="248"/>
      <c r="Y19" s="248"/>
      <c r="Z19" s="248"/>
      <c r="AA19" s="248"/>
      <c r="AB19" s="277"/>
      <c r="AC19" s="265"/>
      <c r="AD19" s="248"/>
      <c r="AE19" s="248"/>
      <c r="AF19" s="248"/>
      <c r="AG19" s="248"/>
      <c r="AH19" s="248"/>
      <c r="AI19" s="277"/>
      <c r="AJ19" s="265"/>
      <c r="AK19" s="248"/>
      <c r="AL19" s="248"/>
      <c r="AM19" s="248"/>
      <c r="AN19" s="248"/>
      <c r="AO19" s="248"/>
      <c r="AP19" s="277"/>
      <c r="AQ19" s="265"/>
      <c r="AR19" s="248"/>
      <c r="AS19" s="248"/>
      <c r="AT19" s="248"/>
      <c r="AU19" s="248"/>
      <c r="AV19" s="248"/>
      <c r="AW19" s="277"/>
      <c r="AX19" s="538"/>
      <c r="AY19" s="141"/>
      <c r="AZ19" s="141"/>
      <c r="BA19" s="141"/>
      <c r="BB19" s="141"/>
    </row>
    <row r="20" spans="2:54" ht="18.75" customHeight="1">
      <c r="B20" s="121"/>
      <c r="C20" s="245" t="s">
        <v>95</v>
      </c>
      <c r="D20" s="1043">
        <v>0.5</v>
      </c>
      <c r="E20" s="1044">
        <v>1</v>
      </c>
      <c r="F20" s="1044">
        <v>0.5</v>
      </c>
      <c r="G20" s="1044">
        <v>1</v>
      </c>
      <c r="H20" s="246"/>
      <c r="I20" s="246"/>
      <c r="J20" s="247"/>
      <c r="K20" s="247"/>
      <c r="L20" s="1049">
        <v>1</v>
      </c>
      <c r="M20" s="492"/>
      <c r="N20" s="362"/>
      <c r="O20" s="246"/>
      <c r="P20" s="257"/>
      <c r="Q20" s="438"/>
      <c r="R20" s="246"/>
      <c r="S20" s="268"/>
      <c r="T20" s="266"/>
      <c r="U20" s="268"/>
      <c r="V20" s="266"/>
      <c r="W20" s="246"/>
      <c r="X20" s="246"/>
      <c r="Y20" s="246"/>
      <c r="Z20" s="246"/>
      <c r="AA20" s="246"/>
      <c r="AB20" s="268"/>
      <c r="AC20" s="266"/>
      <c r="AD20" s="246"/>
      <c r="AE20" s="246"/>
      <c r="AF20" s="246"/>
      <c r="AG20" s="246"/>
      <c r="AH20" s="246"/>
      <c r="AI20" s="268"/>
      <c r="AJ20" s="266"/>
      <c r="AK20" s="246"/>
      <c r="AL20" s="246"/>
      <c r="AM20" s="246"/>
      <c r="AN20" s="246"/>
      <c r="AO20" s="246"/>
      <c r="AP20" s="268"/>
      <c r="AQ20" s="266"/>
      <c r="AR20" s="246"/>
      <c r="AS20" s="246"/>
      <c r="AT20" s="246"/>
      <c r="AU20" s="246"/>
      <c r="AV20" s="246"/>
      <c r="AW20" s="268"/>
      <c r="AX20" s="539"/>
      <c r="AY20" s="141"/>
      <c r="AZ20" s="141"/>
      <c r="BA20" s="141"/>
      <c r="BB20" s="141"/>
    </row>
    <row r="21" spans="2:54" ht="18.75" customHeight="1">
      <c r="B21" s="121"/>
      <c r="C21" s="245" t="s">
        <v>96</v>
      </c>
      <c r="D21" s="1043"/>
      <c r="E21" s="1044"/>
      <c r="F21" s="1044"/>
      <c r="G21" s="1044"/>
      <c r="H21" s="246"/>
      <c r="I21" s="246"/>
      <c r="J21" s="247"/>
      <c r="K21" s="247"/>
      <c r="L21" s="1050"/>
      <c r="M21" s="492"/>
      <c r="N21" s="362"/>
      <c r="O21" s="246"/>
      <c r="P21" s="257"/>
      <c r="Q21" s="438"/>
      <c r="R21" s="246"/>
      <c r="S21" s="268"/>
      <c r="T21" s="266"/>
      <c r="U21" s="268"/>
      <c r="V21" s="266"/>
      <c r="W21" s="246"/>
      <c r="X21" s="246"/>
      <c r="Y21" s="246"/>
      <c r="Z21" s="246"/>
      <c r="AA21" s="246"/>
      <c r="AB21" s="268"/>
      <c r="AC21" s="266"/>
      <c r="AD21" s="246"/>
      <c r="AE21" s="246"/>
      <c r="AF21" s="246"/>
      <c r="AG21" s="246"/>
      <c r="AH21" s="246"/>
      <c r="AI21" s="268"/>
      <c r="AJ21" s="266"/>
      <c r="AK21" s="246"/>
      <c r="AL21" s="246"/>
      <c r="AM21" s="246"/>
      <c r="AN21" s="246"/>
      <c r="AO21" s="246"/>
      <c r="AP21" s="268"/>
      <c r="AQ21" s="266"/>
      <c r="AR21" s="246"/>
      <c r="AS21" s="246"/>
      <c r="AT21" s="246"/>
      <c r="AU21" s="246"/>
      <c r="AV21" s="246"/>
      <c r="AW21" s="268"/>
      <c r="AX21" s="539"/>
      <c r="AY21" s="141"/>
      <c r="AZ21" s="141"/>
      <c r="BA21" s="141"/>
      <c r="BB21" s="141"/>
    </row>
    <row r="22" spans="2:54" ht="18.75" customHeight="1">
      <c r="B22" s="121"/>
      <c r="C22" s="245" t="s">
        <v>97</v>
      </c>
      <c r="D22" s="1043"/>
      <c r="E22" s="1044"/>
      <c r="F22" s="1044"/>
      <c r="G22" s="1044"/>
      <c r="H22" s="246"/>
      <c r="I22" s="246"/>
      <c r="J22" s="247"/>
      <c r="K22" s="247"/>
      <c r="L22" s="1051"/>
      <c r="M22" s="492"/>
      <c r="N22" s="362"/>
      <c r="O22" s="246"/>
      <c r="P22" s="257"/>
      <c r="Q22" s="438"/>
      <c r="R22" s="246"/>
      <c r="S22" s="268"/>
      <c r="T22" s="266"/>
      <c r="U22" s="268"/>
      <c r="V22" s="266"/>
      <c r="W22" s="246"/>
      <c r="X22" s="246"/>
      <c r="Y22" s="246"/>
      <c r="Z22" s="246"/>
      <c r="AA22" s="246"/>
      <c r="AB22" s="268"/>
      <c r="AC22" s="266"/>
      <c r="AD22" s="246"/>
      <c r="AE22" s="246"/>
      <c r="AF22" s="246"/>
      <c r="AG22" s="246"/>
      <c r="AH22" s="246"/>
      <c r="AI22" s="268"/>
      <c r="AJ22" s="266"/>
      <c r="AK22" s="246"/>
      <c r="AL22" s="246"/>
      <c r="AM22" s="246"/>
      <c r="AN22" s="246"/>
      <c r="AO22" s="246"/>
      <c r="AP22" s="268"/>
      <c r="AQ22" s="266"/>
      <c r="AR22" s="246"/>
      <c r="AS22" s="246"/>
      <c r="AT22" s="246"/>
      <c r="AU22" s="246"/>
      <c r="AV22" s="246"/>
      <c r="AW22" s="268"/>
      <c r="AX22" s="539"/>
      <c r="AY22" s="141"/>
      <c r="AZ22" s="141"/>
      <c r="BA22" s="141"/>
      <c r="BB22" s="141"/>
    </row>
    <row r="23" spans="2:54" ht="18.75" customHeight="1">
      <c r="B23" s="121"/>
      <c r="C23" s="245" t="s">
        <v>98</v>
      </c>
      <c r="D23" s="1043"/>
      <c r="E23" s="1044"/>
      <c r="F23" s="1044"/>
      <c r="G23" s="1044"/>
      <c r="H23" s="246"/>
      <c r="I23" s="246"/>
      <c r="J23" s="247"/>
      <c r="K23" s="247"/>
      <c r="L23" s="246"/>
      <c r="M23" s="494"/>
      <c r="N23" s="246"/>
      <c r="O23" s="246"/>
      <c r="P23" s="257"/>
      <c r="Q23" s="438"/>
      <c r="R23" s="246"/>
      <c r="S23" s="268"/>
      <c r="T23" s="266"/>
      <c r="U23" s="268"/>
      <c r="V23" s="266"/>
      <c r="W23" s="246"/>
      <c r="X23" s="246"/>
      <c r="Y23" s="246"/>
      <c r="Z23" s="246"/>
      <c r="AA23" s="246"/>
      <c r="AB23" s="268"/>
      <c r="AC23" s="266"/>
      <c r="AD23" s="246"/>
      <c r="AE23" s="246"/>
      <c r="AF23" s="246"/>
      <c r="AG23" s="246"/>
      <c r="AH23" s="246"/>
      <c r="AI23" s="268"/>
      <c r="AJ23" s="266"/>
      <c r="AK23" s="246"/>
      <c r="AL23" s="246"/>
      <c r="AM23" s="246"/>
      <c r="AN23" s="246"/>
      <c r="AO23" s="246"/>
      <c r="AP23" s="268"/>
      <c r="AQ23" s="266"/>
      <c r="AR23" s="246"/>
      <c r="AS23" s="246"/>
      <c r="AT23" s="246"/>
      <c r="AU23" s="246"/>
      <c r="AV23" s="246"/>
      <c r="AW23" s="268"/>
      <c r="AX23" s="539">
        <v>1</v>
      </c>
      <c r="AY23" s="141"/>
      <c r="AZ23" s="141"/>
      <c r="BA23" s="141"/>
      <c r="BB23" s="141"/>
    </row>
    <row r="24" spans="2:54" ht="14.5">
      <c r="B24" s="110">
        <v>11</v>
      </c>
      <c r="C24" s="342" t="s">
        <v>53</v>
      </c>
      <c r="D24" s="519">
        <v>0</v>
      </c>
      <c r="E24" s="518">
        <v>0</v>
      </c>
      <c r="F24" s="518">
        <v>0</v>
      </c>
      <c r="G24" s="518">
        <v>0</v>
      </c>
      <c r="H24" s="73"/>
      <c r="I24" s="73"/>
      <c r="J24" s="73"/>
      <c r="K24" s="73"/>
      <c r="L24" s="73"/>
      <c r="M24" s="73"/>
      <c r="N24" s="73"/>
      <c r="O24" s="73"/>
      <c r="P24" s="235"/>
      <c r="Q24" s="270"/>
      <c r="R24" s="73">
        <v>3</v>
      </c>
      <c r="S24" s="261"/>
      <c r="T24" s="249"/>
      <c r="U24" s="278"/>
      <c r="V24" s="236"/>
      <c r="W24" s="236"/>
      <c r="X24" s="23"/>
      <c r="Y24" s="62"/>
      <c r="Z24" s="73"/>
      <c r="AA24" s="282"/>
      <c r="AB24" s="237"/>
      <c r="AC24" s="249"/>
      <c r="AD24" s="23"/>
      <c r="AE24" s="23"/>
      <c r="AF24" s="65"/>
      <c r="AG24" s="65"/>
      <c r="AH24" s="65"/>
      <c r="AI24" s="278"/>
      <c r="AJ24" s="249"/>
      <c r="AK24" s="23"/>
      <c r="AL24" s="23"/>
      <c r="AM24" s="65"/>
      <c r="AN24" s="65"/>
      <c r="AO24" s="65"/>
      <c r="AP24" s="278"/>
      <c r="AQ24" s="249"/>
      <c r="AR24" s="73"/>
      <c r="AS24" s="284"/>
      <c r="AT24" s="284"/>
      <c r="AU24" s="284"/>
      <c r="AV24" s="65"/>
      <c r="AW24" s="278"/>
      <c r="AX24" s="540"/>
      <c r="AY24" s="20"/>
    </row>
    <row r="25" spans="2:54" ht="14.5">
      <c r="B25" s="110">
        <v>12</v>
      </c>
      <c r="C25" s="342" t="s">
        <v>54</v>
      </c>
      <c r="D25" s="519">
        <v>1</v>
      </c>
      <c r="E25" s="73">
        <v>2</v>
      </c>
      <c r="F25" s="73">
        <v>1</v>
      </c>
      <c r="G25" s="73">
        <v>2</v>
      </c>
      <c r="H25" s="73"/>
      <c r="I25" s="62">
        <v>1</v>
      </c>
      <c r="J25" s="73"/>
      <c r="K25" s="73"/>
      <c r="L25" s="73"/>
      <c r="M25" s="73"/>
      <c r="N25" s="73"/>
      <c r="O25" s="73"/>
      <c r="P25" s="235"/>
      <c r="Q25" s="270"/>
      <c r="R25" s="73">
        <v>2</v>
      </c>
      <c r="S25" s="261"/>
      <c r="T25" s="236"/>
      <c r="U25" s="78"/>
      <c r="V25" s="236">
        <v>0.25</v>
      </c>
      <c r="W25" s="23">
        <v>0.5</v>
      </c>
      <c r="X25" s="23"/>
      <c r="Y25" s="62"/>
      <c r="Z25" s="73"/>
      <c r="AA25" s="282"/>
      <c r="AB25" s="237"/>
      <c r="AC25" s="236"/>
      <c r="AD25" s="23">
        <v>0.25</v>
      </c>
      <c r="AE25" s="23"/>
      <c r="AF25" s="23"/>
      <c r="AG25" s="23"/>
      <c r="AH25" s="23"/>
      <c r="AI25" s="78"/>
      <c r="AJ25" s="236"/>
      <c r="AK25" s="23">
        <v>0.25</v>
      </c>
      <c r="AL25" s="23">
        <v>0.25</v>
      </c>
      <c r="AM25" s="23"/>
      <c r="AN25" s="23"/>
      <c r="AO25" s="23"/>
      <c r="AP25" s="78"/>
      <c r="AQ25" s="236"/>
      <c r="AR25" s="23">
        <v>0.25</v>
      </c>
      <c r="AS25" s="73"/>
      <c r="AT25" s="73"/>
      <c r="AU25" s="73"/>
      <c r="AV25" s="206"/>
      <c r="AW25" s="78"/>
      <c r="AX25" s="541"/>
      <c r="AY25" s="20"/>
    </row>
    <row r="26" spans="2:54" ht="14.5">
      <c r="B26" s="110">
        <v>13</v>
      </c>
      <c r="C26" s="342" t="s">
        <v>55</v>
      </c>
      <c r="D26" s="519">
        <v>0.5</v>
      </c>
      <c r="E26" s="518">
        <v>1</v>
      </c>
      <c r="F26" s="73">
        <v>1</v>
      </c>
      <c r="G26" s="73">
        <v>1</v>
      </c>
      <c r="H26" s="73"/>
      <c r="I26" s="73">
        <v>1</v>
      </c>
      <c r="J26" s="73"/>
      <c r="K26" s="73"/>
      <c r="L26" s="73"/>
      <c r="M26" s="73"/>
      <c r="N26" s="73"/>
      <c r="O26" s="73"/>
      <c r="P26" s="235"/>
      <c r="Q26" s="270"/>
      <c r="R26" s="518">
        <v>1</v>
      </c>
      <c r="S26" s="261"/>
      <c r="T26" s="236"/>
      <c r="U26" s="78"/>
      <c r="V26" s="23">
        <v>0.25</v>
      </c>
      <c r="W26" s="23">
        <v>0.25</v>
      </c>
      <c r="X26" s="23"/>
      <c r="Y26" s="62"/>
      <c r="Z26" s="73"/>
      <c r="AA26" s="282"/>
      <c r="AB26" s="237"/>
      <c r="AC26" s="236"/>
      <c r="AD26" s="23">
        <v>0.25</v>
      </c>
      <c r="AE26" s="23"/>
      <c r="AF26" s="23"/>
      <c r="AG26" s="23"/>
      <c r="AH26" s="23"/>
      <c r="AI26" s="78"/>
      <c r="AJ26" s="236"/>
      <c r="AK26" s="23">
        <v>0.25</v>
      </c>
      <c r="AL26" s="23">
        <v>0.25</v>
      </c>
      <c r="AM26" s="23"/>
      <c r="AN26" s="23"/>
      <c r="AO26" s="23"/>
      <c r="AP26" s="78"/>
      <c r="AQ26" s="236"/>
      <c r="AR26" s="23">
        <v>0.25</v>
      </c>
      <c r="AS26" s="73"/>
      <c r="AT26" s="73"/>
      <c r="AU26" s="73"/>
      <c r="AV26" s="206"/>
      <c r="AW26" s="78"/>
      <c r="AX26" s="541"/>
      <c r="AY26" s="20"/>
    </row>
    <row r="27" spans="2:54" ht="14.5">
      <c r="B27" s="110">
        <v>14</v>
      </c>
      <c r="C27" s="342" t="s">
        <v>56</v>
      </c>
      <c r="D27" s="234"/>
      <c r="E27" s="73"/>
      <c r="F27" s="73"/>
      <c r="G27" s="73">
        <v>1</v>
      </c>
      <c r="H27" s="73"/>
      <c r="I27" s="73"/>
      <c r="J27" s="73"/>
      <c r="K27" s="73"/>
      <c r="L27" s="73"/>
      <c r="M27" s="73"/>
      <c r="N27" s="73"/>
      <c r="O27" s="73"/>
      <c r="P27" s="235"/>
      <c r="Q27" s="270"/>
      <c r="R27" s="73"/>
      <c r="S27" s="261"/>
      <c r="T27" s="236"/>
      <c r="U27" s="78"/>
      <c r="V27" s="236"/>
      <c r="W27" s="23"/>
      <c r="X27" s="23"/>
      <c r="Y27" s="73"/>
      <c r="Z27" s="73"/>
      <c r="AA27" s="282"/>
      <c r="AB27" s="237"/>
      <c r="AC27" s="236"/>
      <c r="AD27" s="23"/>
      <c r="AE27" s="23"/>
      <c r="AF27" s="23"/>
      <c r="AG27" s="23"/>
      <c r="AH27" s="23"/>
      <c r="AI27" s="78"/>
      <c r="AJ27" s="236"/>
      <c r="AK27" s="23"/>
      <c r="AL27" s="23"/>
      <c r="AM27" s="23"/>
      <c r="AN27" s="23"/>
      <c r="AO27" s="23"/>
      <c r="AP27" s="78"/>
      <c r="AQ27" s="236"/>
      <c r="AR27" s="23"/>
      <c r="AS27" s="65"/>
      <c r="AT27" s="65"/>
      <c r="AU27" s="65"/>
      <c r="AV27" s="23"/>
      <c r="AW27" s="78"/>
      <c r="AX27" s="541"/>
      <c r="AY27" s="20"/>
    </row>
    <row r="28" spans="2:54" ht="14.5">
      <c r="B28" s="110">
        <v>15</v>
      </c>
      <c r="C28" s="342" t="s">
        <v>57</v>
      </c>
      <c r="D28" s="233"/>
      <c r="E28" s="62">
        <v>1</v>
      </c>
      <c r="F28" s="62"/>
      <c r="G28" s="62">
        <v>1</v>
      </c>
      <c r="H28" s="62"/>
      <c r="I28" s="62"/>
      <c r="J28" s="62"/>
      <c r="K28" s="62"/>
      <c r="L28" s="62"/>
      <c r="M28" s="62"/>
      <c r="N28" s="62"/>
      <c r="O28" s="62"/>
      <c r="P28" s="238">
        <v>3</v>
      </c>
      <c r="Q28" s="271"/>
      <c r="R28" s="62"/>
      <c r="S28" s="262"/>
      <c r="T28" s="239"/>
      <c r="U28" s="76"/>
      <c r="V28" s="239"/>
      <c r="W28" s="23"/>
      <c r="X28" s="22"/>
      <c r="Y28" s="64"/>
      <c r="Z28" s="64"/>
      <c r="AA28" s="76"/>
      <c r="AB28" s="240"/>
      <c r="AC28" s="239"/>
      <c r="AD28" s="22"/>
      <c r="AE28" s="22"/>
      <c r="AF28" s="22"/>
      <c r="AG28" s="22"/>
      <c r="AH28" s="22"/>
      <c r="AI28" s="76"/>
      <c r="AJ28" s="239"/>
      <c r="AK28" s="22"/>
      <c r="AL28" s="22"/>
      <c r="AM28" s="22"/>
      <c r="AN28" s="22"/>
      <c r="AO28" s="22"/>
      <c r="AP28" s="76"/>
      <c r="AQ28" s="239"/>
      <c r="AR28" s="22"/>
      <c r="AS28" s="22"/>
      <c r="AT28" s="22"/>
      <c r="AU28" s="22"/>
      <c r="AV28" s="22"/>
      <c r="AW28" s="76"/>
      <c r="AX28" s="534"/>
      <c r="AY28" s="20"/>
    </row>
    <row r="29" spans="2:54" ht="15" thickBot="1">
      <c r="B29" s="222">
        <v>16</v>
      </c>
      <c r="C29" s="552" t="s">
        <v>106</v>
      </c>
      <c r="D29" s="553">
        <v>0.5</v>
      </c>
      <c r="E29" s="554">
        <f>2+5</f>
        <v>7</v>
      </c>
      <c r="F29" s="554"/>
      <c r="G29" s="554">
        <f>2+2</f>
        <v>4</v>
      </c>
      <c r="H29" s="554"/>
      <c r="I29" s="554"/>
      <c r="J29" s="554"/>
      <c r="K29" s="554"/>
      <c r="L29" s="554">
        <v>0.5</v>
      </c>
      <c r="M29" s="554"/>
      <c r="N29" s="554"/>
      <c r="O29" s="554">
        <v>2</v>
      </c>
      <c r="P29" s="555"/>
      <c r="Q29" s="556"/>
      <c r="R29" s="554">
        <v>1</v>
      </c>
      <c r="S29" s="557"/>
      <c r="T29" s="558"/>
      <c r="U29" s="559"/>
      <c r="V29" s="558"/>
      <c r="W29" s="560"/>
      <c r="X29" s="560"/>
      <c r="Y29" s="561"/>
      <c r="Z29" s="560"/>
      <c r="AA29" s="559"/>
      <c r="AB29" s="562"/>
      <c r="AC29" s="558"/>
      <c r="AD29" s="560"/>
      <c r="AE29" s="560"/>
      <c r="AF29" s="560"/>
      <c r="AG29" s="560"/>
      <c r="AH29" s="560"/>
      <c r="AI29" s="559"/>
      <c r="AJ29" s="558"/>
      <c r="AK29" s="561">
        <v>0.25</v>
      </c>
      <c r="AL29" s="560"/>
      <c r="AM29" s="560"/>
      <c r="AN29" s="560"/>
      <c r="AO29" s="560"/>
      <c r="AP29" s="559"/>
      <c r="AQ29" s="558"/>
      <c r="AR29" s="560"/>
      <c r="AS29" s="560"/>
      <c r="AT29" s="560"/>
      <c r="AU29" s="560"/>
      <c r="AV29" s="560"/>
      <c r="AW29" s="559"/>
      <c r="AX29" s="563"/>
      <c r="AY29" s="20"/>
    </row>
    <row r="30" spans="2:54" ht="15" thickBot="1">
      <c r="B30" s="542"/>
      <c r="C30" s="543" t="s">
        <v>123</v>
      </c>
      <c r="D30" s="564">
        <f>15%*SUM(D3:D29)</f>
        <v>2.1749999999999998</v>
      </c>
      <c r="E30" s="564">
        <f t="shared" ref="E30:AX30" si="0">15%*SUM(E3:E29)</f>
        <v>3.8249999999999997</v>
      </c>
      <c r="F30" s="564">
        <f t="shared" si="0"/>
        <v>1.575</v>
      </c>
      <c r="G30" s="564">
        <f t="shared" si="0"/>
        <v>4.3499999999999996</v>
      </c>
      <c r="H30" s="564">
        <f t="shared" si="0"/>
        <v>0</v>
      </c>
      <c r="I30" s="564">
        <f t="shared" si="0"/>
        <v>1.65</v>
      </c>
      <c r="J30" s="564">
        <f t="shared" si="0"/>
        <v>0</v>
      </c>
      <c r="K30" s="564">
        <f t="shared" si="0"/>
        <v>0</v>
      </c>
      <c r="L30" s="564">
        <f t="shared" si="0"/>
        <v>0.67499999999999993</v>
      </c>
      <c r="M30" s="564">
        <f t="shared" si="0"/>
        <v>7.4999999999999997E-2</v>
      </c>
      <c r="N30" s="564">
        <f t="shared" si="0"/>
        <v>0</v>
      </c>
      <c r="O30" s="564">
        <f t="shared" si="0"/>
        <v>0.3</v>
      </c>
      <c r="P30" s="564">
        <f t="shared" si="0"/>
        <v>0.44999999999999996</v>
      </c>
      <c r="Q30" s="564">
        <f t="shared" si="0"/>
        <v>0</v>
      </c>
      <c r="R30" s="564">
        <f t="shared" si="0"/>
        <v>2.1</v>
      </c>
      <c r="S30" s="564">
        <f t="shared" si="0"/>
        <v>0.6</v>
      </c>
      <c r="T30" s="564">
        <f t="shared" si="0"/>
        <v>0</v>
      </c>
      <c r="U30" s="564">
        <f t="shared" si="0"/>
        <v>0</v>
      </c>
      <c r="V30" s="564">
        <f t="shared" si="0"/>
        <v>7.4999999999999997E-2</v>
      </c>
      <c r="W30" s="564">
        <f t="shared" si="0"/>
        <v>0.11249999999999999</v>
      </c>
      <c r="X30" s="564">
        <f t="shared" si="0"/>
        <v>0</v>
      </c>
      <c r="Y30" s="564">
        <f t="shared" si="0"/>
        <v>0</v>
      </c>
      <c r="Z30" s="564">
        <f t="shared" si="0"/>
        <v>0</v>
      </c>
      <c r="AA30" s="564">
        <f t="shared" si="0"/>
        <v>0</v>
      </c>
      <c r="AB30" s="564">
        <f t="shared" si="0"/>
        <v>0</v>
      </c>
      <c r="AC30" s="564">
        <f t="shared" si="0"/>
        <v>0</v>
      </c>
      <c r="AD30" s="564">
        <f t="shared" si="0"/>
        <v>7.4999999999999997E-2</v>
      </c>
      <c r="AE30" s="564">
        <f t="shared" si="0"/>
        <v>0</v>
      </c>
      <c r="AF30" s="564">
        <f t="shared" si="0"/>
        <v>0</v>
      </c>
      <c r="AG30" s="564">
        <f t="shared" si="0"/>
        <v>0</v>
      </c>
      <c r="AH30" s="564">
        <f t="shared" si="0"/>
        <v>0</v>
      </c>
      <c r="AI30" s="564">
        <f t="shared" si="0"/>
        <v>0</v>
      </c>
      <c r="AJ30" s="564">
        <f t="shared" si="0"/>
        <v>0</v>
      </c>
      <c r="AK30" s="564">
        <f t="shared" si="0"/>
        <v>0.11249999999999999</v>
      </c>
      <c r="AL30" s="564">
        <f t="shared" si="0"/>
        <v>7.4999999999999997E-2</v>
      </c>
      <c r="AM30" s="564">
        <f t="shared" si="0"/>
        <v>0</v>
      </c>
      <c r="AN30" s="564">
        <f t="shared" si="0"/>
        <v>0</v>
      </c>
      <c r="AO30" s="564">
        <f t="shared" si="0"/>
        <v>0</v>
      </c>
      <c r="AP30" s="564">
        <f t="shared" si="0"/>
        <v>0</v>
      </c>
      <c r="AQ30" s="564">
        <f t="shared" si="0"/>
        <v>0</v>
      </c>
      <c r="AR30" s="564">
        <f t="shared" si="0"/>
        <v>7.4999999999999997E-2</v>
      </c>
      <c r="AS30" s="564">
        <f t="shared" si="0"/>
        <v>0</v>
      </c>
      <c r="AT30" s="564">
        <f t="shared" si="0"/>
        <v>0</v>
      </c>
      <c r="AU30" s="564">
        <f t="shared" si="0"/>
        <v>0</v>
      </c>
      <c r="AV30" s="564">
        <f t="shared" si="0"/>
        <v>0</v>
      </c>
      <c r="AW30" s="564">
        <f t="shared" si="0"/>
        <v>0</v>
      </c>
      <c r="AX30" s="564">
        <f t="shared" si="0"/>
        <v>0.44999999999999996</v>
      </c>
      <c r="AY30" s="20"/>
    </row>
    <row r="31" spans="2:54" ht="14.5">
      <c r="B31" s="213"/>
      <c r="C31" s="441" t="s">
        <v>26</v>
      </c>
      <c r="D31" s="565">
        <f>SUM(D3:D30)</f>
        <v>16.675000000000001</v>
      </c>
      <c r="E31" s="565">
        <f t="shared" ref="E31:AX31" si="1">SUM(E3:E30)</f>
        <v>29.324999999999999</v>
      </c>
      <c r="F31" s="565">
        <f t="shared" si="1"/>
        <v>12.074999999999999</v>
      </c>
      <c r="G31" s="565">
        <f t="shared" si="1"/>
        <v>33.35</v>
      </c>
      <c r="H31" s="565">
        <f t="shared" si="1"/>
        <v>0</v>
      </c>
      <c r="I31" s="565">
        <f t="shared" si="1"/>
        <v>12.65</v>
      </c>
      <c r="J31" s="565">
        <f t="shared" si="1"/>
        <v>0</v>
      </c>
      <c r="K31" s="565">
        <f t="shared" si="1"/>
        <v>0</v>
      </c>
      <c r="L31" s="565">
        <f t="shared" si="1"/>
        <v>5.1749999999999998</v>
      </c>
      <c r="M31" s="565">
        <f t="shared" si="1"/>
        <v>0.57499999999999996</v>
      </c>
      <c r="N31" s="565">
        <f t="shared" si="1"/>
        <v>0</v>
      </c>
      <c r="O31" s="565">
        <f t="shared" si="1"/>
        <v>2.2999999999999998</v>
      </c>
      <c r="P31" s="565">
        <f t="shared" si="1"/>
        <v>3.45</v>
      </c>
      <c r="Q31" s="565">
        <f t="shared" si="1"/>
        <v>0</v>
      </c>
      <c r="R31" s="565">
        <f>SUM(R3:R30)</f>
        <v>16.100000000000001</v>
      </c>
      <c r="S31" s="565">
        <f t="shared" si="1"/>
        <v>4.5999999999999996</v>
      </c>
      <c r="T31" s="565">
        <f t="shared" si="1"/>
        <v>0</v>
      </c>
      <c r="U31" s="565">
        <f t="shared" si="1"/>
        <v>0</v>
      </c>
      <c r="V31" s="565">
        <f t="shared" si="1"/>
        <v>0.57499999999999996</v>
      </c>
      <c r="W31" s="565">
        <f t="shared" si="1"/>
        <v>0.86250000000000004</v>
      </c>
      <c r="X31" s="565">
        <f t="shared" si="1"/>
        <v>0</v>
      </c>
      <c r="Y31" s="565">
        <f t="shared" si="1"/>
        <v>0</v>
      </c>
      <c r="Z31" s="565">
        <f t="shared" si="1"/>
        <v>0</v>
      </c>
      <c r="AA31" s="565">
        <f t="shared" si="1"/>
        <v>0</v>
      </c>
      <c r="AB31" s="565">
        <f t="shared" si="1"/>
        <v>0</v>
      </c>
      <c r="AC31" s="565">
        <f t="shared" si="1"/>
        <v>0</v>
      </c>
      <c r="AD31" s="565">
        <f>SUM(AD3:AD30)</f>
        <v>0.57499999999999996</v>
      </c>
      <c r="AE31" s="565">
        <f t="shared" si="1"/>
        <v>0</v>
      </c>
      <c r="AF31" s="565">
        <f t="shared" si="1"/>
        <v>0</v>
      </c>
      <c r="AG31" s="565">
        <f t="shared" si="1"/>
        <v>0</v>
      </c>
      <c r="AH31" s="565">
        <f t="shared" si="1"/>
        <v>0</v>
      </c>
      <c r="AI31" s="565">
        <f t="shared" si="1"/>
        <v>0</v>
      </c>
      <c r="AJ31" s="565">
        <f t="shared" si="1"/>
        <v>0</v>
      </c>
      <c r="AK31" s="565">
        <f t="shared" si="1"/>
        <v>0.86250000000000004</v>
      </c>
      <c r="AL31" s="565">
        <f t="shared" si="1"/>
        <v>0.57499999999999996</v>
      </c>
      <c r="AM31" s="565">
        <f t="shared" si="1"/>
        <v>0</v>
      </c>
      <c r="AN31" s="565">
        <f t="shared" si="1"/>
        <v>0</v>
      </c>
      <c r="AO31" s="565">
        <f t="shared" si="1"/>
        <v>0</v>
      </c>
      <c r="AP31" s="565">
        <f t="shared" si="1"/>
        <v>0</v>
      </c>
      <c r="AQ31" s="565">
        <f t="shared" si="1"/>
        <v>0</v>
      </c>
      <c r="AR31" s="565">
        <f t="shared" si="1"/>
        <v>0.57499999999999996</v>
      </c>
      <c r="AS31" s="565">
        <f t="shared" si="1"/>
        <v>0</v>
      </c>
      <c r="AT31" s="565">
        <f t="shared" si="1"/>
        <v>0</v>
      </c>
      <c r="AU31" s="565">
        <f t="shared" si="1"/>
        <v>0</v>
      </c>
      <c r="AV31" s="565">
        <f t="shared" si="1"/>
        <v>0</v>
      </c>
      <c r="AW31" s="565">
        <f t="shared" si="1"/>
        <v>0</v>
      </c>
      <c r="AX31" s="566">
        <f t="shared" si="1"/>
        <v>3.45</v>
      </c>
      <c r="AY31" s="567">
        <f>SUM(D31:AX31)</f>
        <v>143.74999999999997</v>
      </c>
    </row>
    <row r="32" spans="2:54" ht="14.5">
      <c r="B32" s="110"/>
      <c r="C32" s="451" t="s">
        <v>27</v>
      </c>
      <c r="D32" s="453">
        <v>8500</v>
      </c>
      <c r="E32" s="453">
        <v>8500</v>
      </c>
      <c r="F32" s="453">
        <v>14000</v>
      </c>
      <c r="G32" s="453">
        <v>14000</v>
      </c>
      <c r="H32" s="453">
        <v>8500</v>
      </c>
      <c r="I32" s="453">
        <v>8500</v>
      </c>
      <c r="J32" s="453">
        <v>8500</v>
      </c>
      <c r="K32" s="453">
        <v>8500</v>
      </c>
      <c r="L32" s="453">
        <v>8500</v>
      </c>
      <c r="M32" s="453">
        <v>14000</v>
      </c>
      <c r="N32" s="453">
        <v>8500</v>
      </c>
      <c r="O32" s="453">
        <v>8500</v>
      </c>
      <c r="P32" s="454">
        <v>8500</v>
      </c>
      <c r="Q32" s="219">
        <v>14000</v>
      </c>
      <c r="R32" s="220">
        <v>14000</v>
      </c>
      <c r="S32" s="455">
        <v>7500</v>
      </c>
      <c r="T32" s="220">
        <v>8500</v>
      </c>
      <c r="U32" s="455">
        <v>8500</v>
      </c>
      <c r="V32" s="273">
        <v>14000</v>
      </c>
      <c r="W32" s="220">
        <v>8500</v>
      </c>
      <c r="X32" s="220">
        <v>14000</v>
      </c>
      <c r="Y32" s="220">
        <v>8500</v>
      </c>
      <c r="Z32" s="220">
        <v>8500</v>
      </c>
      <c r="AA32" s="220">
        <v>8500</v>
      </c>
      <c r="AB32" s="455">
        <v>8500</v>
      </c>
      <c r="AC32" s="273">
        <v>14000</v>
      </c>
      <c r="AD32" s="220">
        <v>8500</v>
      </c>
      <c r="AE32" s="220">
        <v>14000</v>
      </c>
      <c r="AF32" s="220">
        <v>8500</v>
      </c>
      <c r="AG32" s="220">
        <v>8500</v>
      </c>
      <c r="AH32" s="220">
        <v>8500</v>
      </c>
      <c r="AI32" s="455">
        <v>8500</v>
      </c>
      <c r="AJ32" s="273">
        <v>14000</v>
      </c>
      <c r="AK32" s="220">
        <v>8500</v>
      </c>
      <c r="AL32" s="220">
        <v>8500</v>
      </c>
      <c r="AM32" s="220">
        <v>8500</v>
      </c>
      <c r="AN32" s="220">
        <v>8500</v>
      </c>
      <c r="AO32" s="220">
        <v>8500</v>
      </c>
      <c r="AP32" s="455">
        <v>8500</v>
      </c>
      <c r="AQ32" s="273">
        <v>14000</v>
      </c>
      <c r="AR32" s="220">
        <v>8500</v>
      </c>
      <c r="AS32" s="220">
        <v>14000</v>
      </c>
      <c r="AT32" s="220">
        <v>8500</v>
      </c>
      <c r="AU32" s="220">
        <v>8500</v>
      </c>
      <c r="AV32" s="220">
        <v>8500</v>
      </c>
      <c r="AW32" s="455">
        <v>8500</v>
      </c>
      <c r="AX32" s="544">
        <v>8500</v>
      </c>
    </row>
    <row r="33" spans="2:53" ht="15" thickBot="1">
      <c r="B33" s="222"/>
      <c r="C33" s="545" t="s">
        <v>28</v>
      </c>
      <c r="D33" s="546">
        <f>D31*D32</f>
        <v>141737.5</v>
      </c>
      <c r="E33" s="546">
        <f t="shared" ref="E33:AX33" si="2">E31*E32</f>
        <v>249262.5</v>
      </c>
      <c r="F33" s="546">
        <f t="shared" si="2"/>
        <v>169050</v>
      </c>
      <c r="G33" s="546">
        <f t="shared" si="2"/>
        <v>466900</v>
      </c>
      <c r="H33" s="546">
        <f t="shared" si="2"/>
        <v>0</v>
      </c>
      <c r="I33" s="546">
        <f t="shared" si="2"/>
        <v>107525</v>
      </c>
      <c r="J33" s="546">
        <f t="shared" si="2"/>
        <v>0</v>
      </c>
      <c r="K33" s="546">
        <f t="shared" si="2"/>
        <v>0</v>
      </c>
      <c r="L33" s="546">
        <f t="shared" si="2"/>
        <v>43987.5</v>
      </c>
      <c r="M33" s="546">
        <f t="shared" si="2"/>
        <v>8049.9999999999991</v>
      </c>
      <c r="N33" s="546">
        <f t="shared" si="2"/>
        <v>0</v>
      </c>
      <c r="O33" s="546">
        <f t="shared" si="2"/>
        <v>19550</v>
      </c>
      <c r="P33" s="546">
        <f t="shared" si="2"/>
        <v>29325</v>
      </c>
      <c r="Q33" s="546">
        <f t="shared" si="2"/>
        <v>0</v>
      </c>
      <c r="R33" s="546">
        <f t="shared" si="2"/>
        <v>225400.00000000003</v>
      </c>
      <c r="S33" s="546">
        <f t="shared" si="2"/>
        <v>34500</v>
      </c>
      <c r="T33" s="546">
        <f t="shared" si="2"/>
        <v>0</v>
      </c>
      <c r="U33" s="546">
        <f t="shared" si="2"/>
        <v>0</v>
      </c>
      <c r="V33" s="546">
        <f t="shared" si="2"/>
        <v>8049.9999999999991</v>
      </c>
      <c r="W33" s="546">
        <f t="shared" si="2"/>
        <v>7331.25</v>
      </c>
      <c r="X33" s="546">
        <f t="shared" si="2"/>
        <v>0</v>
      </c>
      <c r="Y33" s="546">
        <f t="shared" si="2"/>
        <v>0</v>
      </c>
      <c r="Z33" s="546">
        <f t="shared" si="2"/>
        <v>0</v>
      </c>
      <c r="AA33" s="546">
        <f t="shared" si="2"/>
        <v>0</v>
      </c>
      <c r="AB33" s="546">
        <f t="shared" si="2"/>
        <v>0</v>
      </c>
      <c r="AC33" s="546">
        <f>AC31*AC32</f>
        <v>0</v>
      </c>
      <c r="AD33" s="546">
        <f>AD31*AD32</f>
        <v>4887.5</v>
      </c>
      <c r="AE33" s="546">
        <f t="shared" si="2"/>
        <v>0</v>
      </c>
      <c r="AF33" s="546">
        <f t="shared" si="2"/>
        <v>0</v>
      </c>
      <c r="AG33" s="546">
        <f t="shared" si="2"/>
        <v>0</v>
      </c>
      <c r="AH33" s="546">
        <f t="shared" si="2"/>
        <v>0</v>
      </c>
      <c r="AI33" s="546">
        <f t="shared" si="2"/>
        <v>0</v>
      </c>
      <c r="AJ33" s="546">
        <f t="shared" si="2"/>
        <v>0</v>
      </c>
      <c r="AK33" s="546">
        <f>AK31*AK32</f>
        <v>7331.25</v>
      </c>
      <c r="AL33" s="546">
        <f t="shared" si="2"/>
        <v>4887.5</v>
      </c>
      <c r="AM33" s="546">
        <f t="shared" si="2"/>
        <v>0</v>
      </c>
      <c r="AN33" s="546">
        <f t="shared" si="2"/>
        <v>0</v>
      </c>
      <c r="AO33" s="546">
        <f t="shared" si="2"/>
        <v>0</v>
      </c>
      <c r="AP33" s="546">
        <f t="shared" si="2"/>
        <v>0</v>
      </c>
      <c r="AQ33" s="546">
        <f t="shared" si="2"/>
        <v>0</v>
      </c>
      <c r="AR33" s="546">
        <f t="shared" si="2"/>
        <v>4887.5</v>
      </c>
      <c r="AS33" s="546">
        <f t="shared" si="2"/>
        <v>0</v>
      </c>
      <c r="AT33" s="546">
        <f t="shared" si="2"/>
        <v>0</v>
      </c>
      <c r="AU33" s="546">
        <f t="shared" si="2"/>
        <v>0</v>
      </c>
      <c r="AV33" s="546">
        <f t="shared" si="2"/>
        <v>0</v>
      </c>
      <c r="AW33" s="546">
        <f t="shared" si="2"/>
        <v>0</v>
      </c>
      <c r="AX33" s="547">
        <f t="shared" si="2"/>
        <v>29325</v>
      </c>
      <c r="AY33" s="511">
        <f>SUM(D33:AX33)</f>
        <v>1561987.5</v>
      </c>
      <c r="AZ33" s="281"/>
      <c r="BA33" s="281"/>
    </row>
    <row r="34" spans="2:53" ht="13.5" customHeight="1">
      <c r="D34" s="19" t="s">
        <v>124</v>
      </c>
      <c r="E34" s="19" t="s">
        <v>124</v>
      </c>
      <c r="F34" s="19" t="s">
        <v>124</v>
      </c>
      <c r="G34" s="19" t="s">
        <v>124</v>
      </c>
      <c r="I34" s="19" t="s">
        <v>124</v>
      </c>
      <c r="L34" s="19" t="s">
        <v>124</v>
      </c>
      <c r="M34" s="19" t="s">
        <v>124</v>
      </c>
      <c r="O34" s="19" t="s">
        <v>124</v>
      </c>
      <c r="P34" s="19" t="s">
        <v>124</v>
      </c>
      <c r="V34" s="19" t="s">
        <v>124</v>
      </c>
      <c r="W34" s="19" t="s">
        <v>124</v>
      </c>
      <c r="AD34" s="19" t="s">
        <v>124</v>
      </c>
      <c r="AK34" s="19" t="s">
        <v>124</v>
      </c>
      <c r="AL34" s="19" t="s">
        <v>124</v>
      </c>
      <c r="AR34" s="19" t="s">
        <v>124</v>
      </c>
      <c r="AX34" s="19" t="s">
        <v>124</v>
      </c>
      <c r="BA34" s="281"/>
    </row>
    <row r="35" spans="2:53" ht="14.5">
      <c r="C35" s="20" t="s">
        <v>125</v>
      </c>
      <c r="D35" s="19">
        <f t="shared" ref="D35:P35" si="3">D31*8</f>
        <v>133.4</v>
      </c>
      <c r="E35" s="19">
        <f t="shared" si="3"/>
        <v>234.6</v>
      </c>
      <c r="F35" s="19">
        <f t="shared" si="3"/>
        <v>96.6</v>
      </c>
      <c r="G35" s="19">
        <f t="shared" si="3"/>
        <v>266.8</v>
      </c>
      <c r="H35" s="19">
        <f t="shared" si="3"/>
        <v>0</v>
      </c>
      <c r="I35" s="19">
        <f t="shared" si="3"/>
        <v>101.2</v>
      </c>
      <c r="J35" s="19">
        <f t="shared" si="3"/>
        <v>0</v>
      </c>
      <c r="K35" s="19">
        <f t="shared" si="3"/>
        <v>0</v>
      </c>
      <c r="L35" s="19">
        <f t="shared" si="3"/>
        <v>41.4</v>
      </c>
      <c r="M35" s="19">
        <f t="shared" si="3"/>
        <v>4.5999999999999996</v>
      </c>
      <c r="N35" s="19">
        <f t="shared" si="3"/>
        <v>0</v>
      </c>
      <c r="O35" s="19">
        <f t="shared" si="3"/>
        <v>18.399999999999999</v>
      </c>
      <c r="P35" s="19">
        <f t="shared" si="3"/>
        <v>27.6</v>
      </c>
      <c r="R35" s="19">
        <f>R31*8</f>
        <v>128.80000000000001</v>
      </c>
      <c r="S35" s="19">
        <f>S31*8</f>
        <v>36.799999999999997</v>
      </c>
      <c r="V35" s="19">
        <f>V31*8</f>
        <v>4.5999999999999996</v>
      </c>
      <c r="W35" s="19">
        <f>W31*8</f>
        <v>6.9</v>
      </c>
      <c r="AB35" s="19">
        <f>AB31*8</f>
        <v>0</v>
      </c>
      <c r="AC35" s="19">
        <f>AC31*8</f>
        <v>0</v>
      </c>
      <c r="AD35" s="19">
        <f>AD31*8</f>
        <v>4.5999999999999996</v>
      </c>
      <c r="AI35" s="19">
        <f>AI31*8</f>
        <v>0</v>
      </c>
      <c r="AJ35" s="19">
        <f>AJ31*8</f>
        <v>0</v>
      </c>
      <c r="AK35" s="19">
        <f>AK31*8</f>
        <v>6.9</v>
      </c>
      <c r="AP35" s="19">
        <f>AP31*8</f>
        <v>0</v>
      </c>
      <c r="AQ35" s="19">
        <f>AQ31*8</f>
        <v>0</v>
      </c>
      <c r="AR35" s="19">
        <f>AR31*8</f>
        <v>4.5999999999999996</v>
      </c>
      <c r="AW35" s="19">
        <f>AW31*8</f>
        <v>0</v>
      </c>
      <c r="AX35" s="19">
        <f>AX31*8</f>
        <v>27.6</v>
      </c>
    </row>
    <row r="36" spans="2:53" ht="13.5" customHeight="1" thickBot="1"/>
    <row r="37" spans="2:53" ht="62" thickBot="1">
      <c r="C37" s="228" t="s">
        <v>126</v>
      </c>
      <c r="D37" s="22" t="s">
        <v>127</v>
      </c>
      <c r="E37" s="22" t="s">
        <v>128</v>
      </c>
      <c r="F37" s="22" t="s">
        <v>129</v>
      </c>
      <c r="G37" s="22" t="s">
        <v>130</v>
      </c>
      <c r="H37" s="22" t="s">
        <v>131</v>
      </c>
      <c r="J37" s="514" t="s">
        <v>132</v>
      </c>
      <c r="K37" s="515" t="s">
        <v>133</v>
      </c>
      <c r="L37" s="515" t="s">
        <v>134</v>
      </c>
      <c r="M37" s="515" t="s">
        <v>135</v>
      </c>
      <c r="N37" s="515" t="s">
        <v>136</v>
      </c>
      <c r="P37" s="20"/>
      <c r="Q37" s="514" t="s">
        <v>132</v>
      </c>
      <c r="R37" s="515" t="s">
        <v>133</v>
      </c>
      <c r="S37" s="515" t="s">
        <v>134</v>
      </c>
      <c r="T37" s="515" t="s">
        <v>135</v>
      </c>
      <c r="U37" s="515" t="s">
        <v>136</v>
      </c>
      <c r="V37" s="20"/>
      <c r="W37" s="514" t="s">
        <v>132</v>
      </c>
      <c r="X37" s="515" t="s">
        <v>133</v>
      </c>
      <c r="Y37" s="515" t="s">
        <v>134</v>
      </c>
      <c r="Z37" s="515" t="s">
        <v>135</v>
      </c>
      <c r="AA37" s="515" t="s">
        <v>136</v>
      </c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</row>
    <row r="38" spans="2:53" ht="43.5" thickBot="1">
      <c r="D38" s="22" t="s">
        <v>137</v>
      </c>
      <c r="E38" s="22" t="s">
        <v>138</v>
      </c>
      <c r="F38" s="22">
        <v>20</v>
      </c>
      <c r="G38" s="508">
        <v>8500</v>
      </c>
      <c r="H38" s="508">
        <f>F38*G38</f>
        <v>170000</v>
      </c>
      <c r="J38" s="56" t="s">
        <v>139</v>
      </c>
      <c r="K38" s="309" t="s">
        <v>140</v>
      </c>
      <c r="L38" s="82">
        <v>17</v>
      </c>
      <c r="M38" s="508">
        <v>8500</v>
      </c>
      <c r="N38" s="508">
        <f>L38*M38</f>
        <v>144500</v>
      </c>
      <c r="P38" s="20"/>
      <c r="Q38" s="56" t="s">
        <v>139</v>
      </c>
      <c r="R38" s="309" t="s">
        <v>140</v>
      </c>
      <c r="S38" s="309">
        <v>17</v>
      </c>
      <c r="T38" s="569">
        <v>8500</v>
      </c>
      <c r="U38" s="569">
        <f t="shared" ref="U38:U54" si="4">S38*T38</f>
        <v>144500</v>
      </c>
      <c r="V38" s="20"/>
      <c r="W38" s="685" t="s">
        <v>139</v>
      </c>
      <c r="X38" s="686" t="s">
        <v>140</v>
      </c>
      <c r="Y38" s="309">
        <v>17</v>
      </c>
      <c r="Z38" s="569">
        <v>8500</v>
      </c>
      <c r="AA38" s="569">
        <v>144500</v>
      </c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</row>
    <row r="39" spans="2:53" ht="13.5" customHeight="1" thickBot="1">
      <c r="D39" s="22" t="s">
        <v>141</v>
      </c>
      <c r="E39" s="22" t="s">
        <v>142</v>
      </c>
      <c r="F39" s="22">
        <v>37.5</v>
      </c>
      <c r="G39" s="508">
        <v>8500</v>
      </c>
      <c r="H39" s="508">
        <f t="shared" ref="H39:H55" si="5">F39*G39</f>
        <v>318750</v>
      </c>
      <c r="J39" s="56" t="s">
        <v>143</v>
      </c>
      <c r="K39" s="309" t="s">
        <v>144</v>
      </c>
      <c r="L39" s="82">
        <v>29</v>
      </c>
      <c r="M39" s="508">
        <v>8500</v>
      </c>
      <c r="N39" s="508">
        <f t="shared" ref="N39:N54" si="6">L39*M39</f>
        <v>246500</v>
      </c>
      <c r="P39" s="20"/>
      <c r="Q39" s="56" t="s">
        <v>143</v>
      </c>
      <c r="R39" s="309" t="s">
        <v>144</v>
      </c>
      <c r="S39" s="309">
        <v>29</v>
      </c>
      <c r="T39" s="569">
        <v>8500</v>
      </c>
      <c r="U39" s="569">
        <f t="shared" si="4"/>
        <v>246500</v>
      </c>
      <c r="V39" s="20"/>
      <c r="W39" s="685" t="s">
        <v>143</v>
      </c>
      <c r="X39" s="686" t="s">
        <v>144</v>
      </c>
      <c r="Y39" s="309">
        <v>29</v>
      </c>
      <c r="Z39" s="569">
        <v>8500</v>
      </c>
      <c r="AA39" s="569">
        <v>246500</v>
      </c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</row>
    <row r="40" spans="2:53" ht="13.5" customHeight="1" thickBot="1">
      <c r="D40" s="22" t="s">
        <v>141</v>
      </c>
      <c r="E40" s="22" t="s">
        <v>5</v>
      </c>
      <c r="F40" s="22">
        <v>13.5</v>
      </c>
      <c r="G40" s="508">
        <v>14000</v>
      </c>
      <c r="H40" s="508">
        <f t="shared" si="5"/>
        <v>189000</v>
      </c>
      <c r="J40" s="56" t="s">
        <v>145</v>
      </c>
      <c r="K40" s="309" t="s">
        <v>146</v>
      </c>
      <c r="L40" s="82">
        <v>12</v>
      </c>
      <c r="M40" s="508">
        <v>14000</v>
      </c>
      <c r="N40" s="508">
        <f t="shared" si="6"/>
        <v>168000</v>
      </c>
      <c r="P40" s="20"/>
      <c r="Q40" s="56" t="s">
        <v>145</v>
      </c>
      <c r="R40" s="309" t="s">
        <v>146</v>
      </c>
      <c r="S40" s="309">
        <v>12</v>
      </c>
      <c r="T40" s="569">
        <v>14000</v>
      </c>
      <c r="U40" s="569">
        <f t="shared" si="4"/>
        <v>168000</v>
      </c>
      <c r="V40" s="20"/>
      <c r="W40" s="685" t="s">
        <v>145</v>
      </c>
      <c r="X40" s="686" t="s">
        <v>146</v>
      </c>
      <c r="Y40" s="309">
        <v>12</v>
      </c>
      <c r="Z40" s="569">
        <v>14000</v>
      </c>
      <c r="AA40" s="569">
        <v>168000</v>
      </c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</row>
    <row r="41" spans="2:53" ht="13.5" customHeight="1" thickBot="1">
      <c r="D41" s="22" t="s">
        <v>141</v>
      </c>
      <c r="E41" s="22" t="s">
        <v>108</v>
      </c>
      <c r="F41" s="22">
        <v>35</v>
      </c>
      <c r="G41" s="508">
        <v>14000</v>
      </c>
      <c r="H41" s="508">
        <f t="shared" si="5"/>
        <v>490000</v>
      </c>
      <c r="J41" s="56" t="s">
        <v>147</v>
      </c>
      <c r="K41" s="309" t="s">
        <v>148</v>
      </c>
      <c r="L41" s="82">
        <v>33</v>
      </c>
      <c r="M41" s="508">
        <v>14000</v>
      </c>
      <c r="N41" s="508">
        <f t="shared" si="6"/>
        <v>462000</v>
      </c>
      <c r="P41" s="20"/>
      <c r="Q41" s="56" t="s">
        <v>147</v>
      </c>
      <c r="R41" s="309" t="s">
        <v>148</v>
      </c>
      <c r="S41" s="309">
        <v>33</v>
      </c>
      <c r="T41" s="569">
        <v>14000</v>
      </c>
      <c r="U41" s="569">
        <f t="shared" si="4"/>
        <v>462000</v>
      </c>
      <c r="V41" s="20"/>
      <c r="W41" s="685" t="s">
        <v>147</v>
      </c>
      <c r="X41" s="686" t="s">
        <v>148</v>
      </c>
      <c r="Y41" s="309">
        <v>33</v>
      </c>
      <c r="Z41" s="569">
        <v>14000</v>
      </c>
      <c r="AA41" s="569">
        <v>462000</v>
      </c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</row>
    <row r="42" spans="2:53" ht="13.5" customHeight="1" thickBot="1">
      <c r="D42" s="22" t="s">
        <v>141</v>
      </c>
      <c r="E42" s="505" t="s">
        <v>7</v>
      </c>
      <c r="F42" s="22">
        <v>13</v>
      </c>
      <c r="G42" s="508">
        <v>8500</v>
      </c>
      <c r="H42" s="508">
        <f t="shared" si="5"/>
        <v>110500</v>
      </c>
      <c r="J42" s="56" t="s">
        <v>149</v>
      </c>
      <c r="K42" s="309" t="s">
        <v>150</v>
      </c>
      <c r="L42" s="82">
        <v>13</v>
      </c>
      <c r="M42" s="508">
        <v>8500</v>
      </c>
      <c r="N42" s="508">
        <f t="shared" si="6"/>
        <v>110500</v>
      </c>
      <c r="P42" s="20"/>
      <c r="Q42" s="56" t="s">
        <v>149</v>
      </c>
      <c r="R42" s="309" t="s">
        <v>150</v>
      </c>
      <c r="S42" s="309">
        <v>13</v>
      </c>
      <c r="T42" s="569">
        <v>8500</v>
      </c>
      <c r="U42" s="569">
        <f t="shared" si="4"/>
        <v>110500</v>
      </c>
      <c r="V42" s="20"/>
      <c r="W42" s="685" t="s">
        <v>149</v>
      </c>
      <c r="X42" s="686" t="s">
        <v>150</v>
      </c>
      <c r="Y42" s="309">
        <v>13</v>
      </c>
      <c r="Z42" s="569">
        <v>8500</v>
      </c>
      <c r="AA42" s="569">
        <v>110500</v>
      </c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</row>
    <row r="43" spans="2:53" ht="13.5" customHeight="1" thickBot="1">
      <c r="D43" s="22" t="s">
        <v>60</v>
      </c>
      <c r="E43" s="506" t="s">
        <v>71</v>
      </c>
      <c r="F43" s="22">
        <v>17</v>
      </c>
      <c r="G43" s="508">
        <v>14000</v>
      </c>
      <c r="H43" s="508">
        <f t="shared" si="5"/>
        <v>238000</v>
      </c>
      <c r="J43" s="56" t="s">
        <v>151</v>
      </c>
      <c r="K43" s="309" t="s">
        <v>152</v>
      </c>
      <c r="L43" s="82">
        <v>16</v>
      </c>
      <c r="M43" s="508">
        <v>14000</v>
      </c>
      <c r="N43" s="508">
        <f t="shared" si="6"/>
        <v>224000</v>
      </c>
      <c r="P43" s="20"/>
      <c r="Q43" s="56" t="s">
        <v>182</v>
      </c>
      <c r="R43" s="309" t="s">
        <v>152</v>
      </c>
      <c r="S43" s="309">
        <v>16</v>
      </c>
      <c r="T43" s="569">
        <v>14000</v>
      </c>
      <c r="U43" s="569">
        <f t="shared" si="4"/>
        <v>224000</v>
      </c>
      <c r="V43" s="20"/>
      <c r="W43" s="685" t="s">
        <v>182</v>
      </c>
      <c r="X43" s="686" t="s">
        <v>152</v>
      </c>
      <c r="Y43" s="309">
        <v>16</v>
      </c>
      <c r="Z43" s="569">
        <v>14000</v>
      </c>
      <c r="AA43" s="569">
        <v>224000</v>
      </c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</row>
    <row r="44" spans="2:53" ht="13.5" customHeight="1" thickBot="1">
      <c r="D44" s="22" t="s">
        <v>60</v>
      </c>
      <c r="E44" s="22" t="s">
        <v>153</v>
      </c>
      <c r="F44" s="22">
        <v>5</v>
      </c>
      <c r="G44" s="508">
        <v>7500</v>
      </c>
      <c r="H44" s="508">
        <f t="shared" si="5"/>
        <v>37500</v>
      </c>
      <c r="J44" s="19" t="s">
        <v>154</v>
      </c>
      <c r="K44" s="19" t="s">
        <v>153</v>
      </c>
      <c r="L44" s="82">
        <v>5</v>
      </c>
      <c r="M44" s="508">
        <v>7500</v>
      </c>
      <c r="N44" s="508">
        <f t="shared" si="6"/>
        <v>37500</v>
      </c>
      <c r="P44" s="20"/>
      <c r="Q44" s="56" t="s">
        <v>154</v>
      </c>
      <c r="R44" s="309" t="s">
        <v>153</v>
      </c>
      <c r="S44" s="309">
        <v>5</v>
      </c>
      <c r="T44" s="569">
        <v>7500</v>
      </c>
      <c r="U44" s="569">
        <f t="shared" si="4"/>
        <v>37500</v>
      </c>
      <c r="V44" s="20"/>
      <c r="W44" s="685" t="s">
        <v>154</v>
      </c>
      <c r="X44" s="686" t="s">
        <v>153</v>
      </c>
      <c r="Y44" s="309">
        <v>5</v>
      </c>
      <c r="Z44" s="569">
        <v>7500</v>
      </c>
      <c r="AA44" s="569">
        <v>37500</v>
      </c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</row>
    <row r="45" spans="2:53" ht="13.5" customHeight="1" thickBot="1">
      <c r="D45" s="22" t="s">
        <v>155</v>
      </c>
      <c r="E45" s="22" t="s">
        <v>74</v>
      </c>
      <c r="F45" s="22">
        <v>0.5</v>
      </c>
      <c r="G45" s="508">
        <v>14000</v>
      </c>
      <c r="H45" s="508">
        <f t="shared" si="5"/>
        <v>7000</v>
      </c>
      <c r="J45" s="56" t="s">
        <v>156</v>
      </c>
      <c r="K45" s="309" t="s">
        <v>157</v>
      </c>
      <c r="L45" s="82">
        <v>1</v>
      </c>
      <c r="M45" s="508">
        <v>14000</v>
      </c>
      <c r="N45" s="508">
        <f t="shared" si="6"/>
        <v>14000</v>
      </c>
      <c r="P45" s="20"/>
      <c r="Q45" s="56" t="s">
        <v>156</v>
      </c>
      <c r="R45" s="309" t="s">
        <v>157</v>
      </c>
      <c r="S45" s="309">
        <v>1</v>
      </c>
      <c r="T45" s="569">
        <v>14000</v>
      </c>
      <c r="U45" s="569">
        <f t="shared" si="4"/>
        <v>14000</v>
      </c>
      <c r="V45" s="20"/>
      <c r="W45" s="685" t="s">
        <v>156</v>
      </c>
      <c r="X45" s="686" t="s">
        <v>157</v>
      </c>
      <c r="Y45" s="309">
        <v>1</v>
      </c>
      <c r="Z45" s="569">
        <v>14000</v>
      </c>
      <c r="AA45" s="569">
        <v>14000</v>
      </c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</row>
    <row r="46" spans="2:53" ht="13.5" customHeight="1" thickBot="1">
      <c r="D46" s="22" t="s">
        <v>155</v>
      </c>
      <c r="E46" s="22" t="s">
        <v>142</v>
      </c>
      <c r="F46" s="22">
        <v>0.75</v>
      </c>
      <c r="G46" s="508">
        <v>8500</v>
      </c>
      <c r="H46" s="508">
        <f t="shared" si="5"/>
        <v>6375</v>
      </c>
      <c r="J46" s="56" t="s">
        <v>158</v>
      </c>
      <c r="K46" s="309" t="s">
        <v>150</v>
      </c>
      <c r="L46" s="82">
        <v>1</v>
      </c>
      <c r="M46" s="508">
        <v>8500</v>
      </c>
      <c r="N46" s="508">
        <f t="shared" si="6"/>
        <v>8500</v>
      </c>
      <c r="P46" s="20"/>
      <c r="Q46" s="56" t="s">
        <v>158</v>
      </c>
      <c r="R46" s="309" t="s">
        <v>150</v>
      </c>
      <c r="S46" s="309">
        <v>1</v>
      </c>
      <c r="T46" s="569">
        <v>8500</v>
      </c>
      <c r="U46" s="569">
        <f t="shared" si="4"/>
        <v>8500</v>
      </c>
      <c r="V46" s="20"/>
      <c r="W46" s="685" t="s">
        <v>158</v>
      </c>
      <c r="X46" s="686" t="s">
        <v>150</v>
      </c>
      <c r="Y46" s="309">
        <v>1</v>
      </c>
      <c r="Z46" s="569">
        <v>8500</v>
      </c>
      <c r="AA46" s="569">
        <v>8500</v>
      </c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</row>
    <row r="47" spans="2:53" ht="13.5" customHeight="1" thickBot="1">
      <c r="D47" s="22" t="s">
        <v>63</v>
      </c>
      <c r="E47" s="22" t="s">
        <v>142</v>
      </c>
      <c r="F47" s="22">
        <v>0.5</v>
      </c>
      <c r="G47" s="508">
        <v>8500</v>
      </c>
      <c r="H47" s="508">
        <f t="shared" si="5"/>
        <v>4250</v>
      </c>
      <c r="J47" s="56" t="s">
        <v>159</v>
      </c>
      <c r="K47" s="309" t="s">
        <v>150</v>
      </c>
      <c r="L47" s="82">
        <v>1</v>
      </c>
      <c r="M47" s="508">
        <v>8500</v>
      </c>
      <c r="N47" s="508">
        <f t="shared" si="6"/>
        <v>8500</v>
      </c>
      <c r="P47" s="20"/>
      <c r="Q47" s="56" t="s">
        <v>159</v>
      </c>
      <c r="R47" s="309" t="s">
        <v>150</v>
      </c>
      <c r="S47" s="309">
        <v>2</v>
      </c>
      <c r="T47" s="569">
        <v>8500</v>
      </c>
      <c r="U47" s="569">
        <f t="shared" si="4"/>
        <v>17000</v>
      </c>
      <c r="V47" s="20"/>
      <c r="W47" s="685" t="s">
        <v>159</v>
      </c>
      <c r="X47" s="686" t="s">
        <v>150</v>
      </c>
      <c r="Y47" s="309">
        <v>2</v>
      </c>
      <c r="Z47" s="569">
        <v>8500</v>
      </c>
      <c r="AA47" s="569">
        <v>17000</v>
      </c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</row>
    <row r="48" spans="2:53" ht="13.5" customHeight="1" thickBot="1">
      <c r="D48" s="22" t="s">
        <v>64</v>
      </c>
      <c r="E48" s="22" t="s">
        <v>142</v>
      </c>
      <c r="F48" s="22">
        <v>0.75</v>
      </c>
      <c r="G48" s="508">
        <v>8500</v>
      </c>
      <c r="H48" s="508">
        <f t="shared" si="5"/>
        <v>6375</v>
      </c>
      <c r="J48" s="56" t="s">
        <v>159</v>
      </c>
      <c r="K48" s="309" t="s">
        <v>150</v>
      </c>
      <c r="L48" s="82">
        <v>1</v>
      </c>
      <c r="M48" s="508">
        <v>8500</v>
      </c>
      <c r="N48" s="508">
        <f t="shared" si="6"/>
        <v>8500</v>
      </c>
      <c r="P48" s="20"/>
      <c r="Q48" s="56" t="s">
        <v>162</v>
      </c>
      <c r="R48" s="309" t="s">
        <v>163</v>
      </c>
      <c r="S48" s="309">
        <v>1</v>
      </c>
      <c r="T48" s="569">
        <v>8500</v>
      </c>
      <c r="U48" s="569">
        <f t="shared" si="4"/>
        <v>8500</v>
      </c>
      <c r="V48" s="20"/>
      <c r="W48" s="685" t="s">
        <v>162</v>
      </c>
      <c r="X48" s="686" t="s">
        <v>163</v>
      </c>
      <c r="Y48" s="309">
        <v>1</v>
      </c>
      <c r="Z48" s="569">
        <v>8500</v>
      </c>
      <c r="AA48" s="569">
        <v>8500</v>
      </c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</row>
    <row r="49" spans="4:51" ht="13.5" customHeight="1" thickBot="1">
      <c r="D49" s="22" t="s">
        <v>160</v>
      </c>
      <c r="E49" s="22" t="s">
        <v>161</v>
      </c>
      <c r="F49" s="22">
        <v>0.5</v>
      </c>
      <c r="G49" s="508">
        <v>8500</v>
      </c>
      <c r="H49" s="508">
        <f t="shared" si="5"/>
        <v>4250</v>
      </c>
      <c r="J49" s="56" t="s">
        <v>162</v>
      </c>
      <c r="K49" s="309" t="s">
        <v>163</v>
      </c>
      <c r="L49" s="82">
        <v>1</v>
      </c>
      <c r="M49" s="508">
        <v>8500</v>
      </c>
      <c r="N49" s="508">
        <f t="shared" si="6"/>
        <v>8500</v>
      </c>
      <c r="P49" s="20"/>
      <c r="Q49" s="56" t="s">
        <v>165</v>
      </c>
      <c r="R49" s="309" t="s">
        <v>144</v>
      </c>
      <c r="S49" s="309">
        <v>1</v>
      </c>
      <c r="T49" s="569">
        <v>8500</v>
      </c>
      <c r="U49" s="569">
        <f t="shared" si="4"/>
        <v>8500</v>
      </c>
      <c r="V49" s="20"/>
      <c r="W49" s="685" t="s">
        <v>165</v>
      </c>
      <c r="X49" s="686" t="s">
        <v>144</v>
      </c>
      <c r="Y49" s="309">
        <v>1</v>
      </c>
      <c r="Z49" s="569">
        <v>8500</v>
      </c>
      <c r="AA49" s="569">
        <v>8500</v>
      </c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</row>
    <row r="50" spans="4:51" ht="13.5" customHeight="1" thickBot="1">
      <c r="D50" s="22" t="s">
        <v>164</v>
      </c>
      <c r="E50" s="22" t="s">
        <v>142</v>
      </c>
      <c r="F50" s="22">
        <v>0.5</v>
      </c>
      <c r="G50" s="508">
        <v>8500</v>
      </c>
      <c r="H50" s="508">
        <f t="shared" si="5"/>
        <v>4250</v>
      </c>
      <c r="J50" s="56" t="s">
        <v>165</v>
      </c>
      <c r="K50" s="309" t="s">
        <v>144</v>
      </c>
      <c r="L50" s="82">
        <v>1</v>
      </c>
      <c r="M50" s="508">
        <v>8500</v>
      </c>
      <c r="N50" s="508">
        <f t="shared" si="6"/>
        <v>8500</v>
      </c>
      <c r="P50" s="20"/>
      <c r="Q50" s="56" t="s">
        <v>167</v>
      </c>
      <c r="R50" s="309" t="s">
        <v>168</v>
      </c>
      <c r="S50" s="309">
        <v>5</v>
      </c>
      <c r="T50" s="569">
        <v>8500</v>
      </c>
      <c r="U50" s="569">
        <f t="shared" si="4"/>
        <v>42500</v>
      </c>
      <c r="V50" s="20"/>
      <c r="W50" s="685" t="s">
        <v>167</v>
      </c>
      <c r="X50" s="686" t="s">
        <v>168</v>
      </c>
      <c r="Y50" s="309">
        <v>5</v>
      </c>
      <c r="Z50" s="569">
        <v>8500</v>
      </c>
      <c r="AA50" s="569">
        <v>42500</v>
      </c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</row>
    <row r="51" spans="4:51" ht="13.5" customHeight="1" thickBot="1">
      <c r="D51" s="22" t="s">
        <v>137</v>
      </c>
      <c r="E51" s="22" t="s">
        <v>166</v>
      </c>
      <c r="F51" s="22">
        <v>6</v>
      </c>
      <c r="G51" s="508">
        <v>8500</v>
      </c>
      <c r="H51" s="508">
        <f t="shared" si="5"/>
        <v>51000</v>
      </c>
      <c r="J51" s="56" t="s">
        <v>167</v>
      </c>
      <c r="K51" s="309" t="s">
        <v>168</v>
      </c>
      <c r="L51" s="82">
        <v>5</v>
      </c>
      <c r="M51" s="508">
        <v>8500</v>
      </c>
      <c r="N51" s="508">
        <f t="shared" si="6"/>
        <v>42500</v>
      </c>
      <c r="P51" s="20"/>
      <c r="Q51" s="56" t="s">
        <v>170</v>
      </c>
      <c r="R51" s="309" t="s">
        <v>171</v>
      </c>
      <c r="S51" s="309">
        <v>1</v>
      </c>
      <c r="T51" s="569">
        <v>14000</v>
      </c>
      <c r="U51" s="569">
        <f t="shared" si="4"/>
        <v>14000</v>
      </c>
      <c r="V51" s="20"/>
      <c r="W51" s="685" t="s">
        <v>170</v>
      </c>
      <c r="X51" s="686" t="s">
        <v>171</v>
      </c>
      <c r="Y51" s="309">
        <v>1</v>
      </c>
      <c r="Z51" s="569">
        <v>14000</v>
      </c>
      <c r="AA51" s="569">
        <v>14000</v>
      </c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</row>
    <row r="52" spans="4:51" ht="13.5" customHeight="1" thickBot="1">
      <c r="D52" s="22" t="s">
        <v>137</v>
      </c>
      <c r="E52" s="22" t="s">
        <v>169</v>
      </c>
      <c r="F52" s="22">
        <v>0.5</v>
      </c>
      <c r="G52" s="508">
        <v>14000</v>
      </c>
      <c r="H52" s="508">
        <f t="shared" si="5"/>
        <v>7000</v>
      </c>
      <c r="J52" s="56" t="s">
        <v>170</v>
      </c>
      <c r="K52" s="309" t="s">
        <v>171</v>
      </c>
      <c r="L52" s="82">
        <v>1</v>
      </c>
      <c r="M52" s="508">
        <v>14000</v>
      </c>
      <c r="N52" s="508">
        <f t="shared" si="6"/>
        <v>14000</v>
      </c>
      <c r="P52" s="20"/>
      <c r="Q52" s="56" t="s">
        <v>173</v>
      </c>
      <c r="R52" s="309" t="s">
        <v>174</v>
      </c>
      <c r="S52" s="309">
        <v>3</v>
      </c>
      <c r="T52" s="569">
        <v>8500</v>
      </c>
      <c r="U52" s="569">
        <f t="shared" si="4"/>
        <v>25500</v>
      </c>
      <c r="V52" s="20"/>
      <c r="W52" s="685" t="s">
        <v>173</v>
      </c>
      <c r="X52" s="686" t="s">
        <v>174</v>
      </c>
      <c r="Y52" s="309">
        <v>3</v>
      </c>
      <c r="Z52" s="569">
        <v>8500</v>
      </c>
      <c r="AA52" s="569">
        <v>25500</v>
      </c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</row>
    <row r="53" spans="4:51" ht="13.5" customHeight="1" thickBot="1">
      <c r="D53" s="22" t="s">
        <v>137</v>
      </c>
      <c r="E53" s="22" t="s">
        <v>172</v>
      </c>
      <c r="F53" s="22">
        <v>3</v>
      </c>
      <c r="G53" s="508">
        <v>8500</v>
      </c>
      <c r="H53" s="508">
        <f t="shared" si="5"/>
        <v>25500</v>
      </c>
      <c r="J53" s="19" t="s">
        <v>173</v>
      </c>
      <c r="K53" s="19" t="s">
        <v>174</v>
      </c>
      <c r="L53" s="82">
        <v>3</v>
      </c>
      <c r="M53" s="508">
        <v>8500</v>
      </c>
      <c r="N53" s="508">
        <f t="shared" si="6"/>
        <v>25500</v>
      </c>
      <c r="P53" s="20"/>
      <c r="Q53" s="56" t="s">
        <v>175</v>
      </c>
      <c r="R53" s="309" t="s">
        <v>176</v>
      </c>
      <c r="S53" s="309">
        <v>2</v>
      </c>
      <c r="T53" s="569">
        <v>8500</v>
      </c>
      <c r="U53" s="569">
        <f t="shared" si="4"/>
        <v>17000</v>
      </c>
      <c r="V53" s="20"/>
      <c r="W53" s="685" t="s">
        <v>175</v>
      </c>
      <c r="X53" s="686" t="s">
        <v>176</v>
      </c>
      <c r="Y53" s="309">
        <v>2</v>
      </c>
      <c r="Z53" s="569">
        <v>8500</v>
      </c>
      <c r="AA53" s="569">
        <v>17000</v>
      </c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</row>
    <row r="54" spans="4:51" ht="13.5" customHeight="1" thickBot="1">
      <c r="D54" s="22" t="s">
        <v>137</v>
      </c>
      <c r="E54" s="22" t="s">
        <v>35</v>
      </c>
      <c r="F54" s="22">
        <v>2</v>
      </c>
      <c r="G54" s="508">
        <v>8500</v>
      </c>
      <c r="H54" s="508">
        <f t="shared" si="5"/>
        <v>17000</v>
      </c>
      <c r="J54" s="516" t="s">
        <v>175</v>
      </c>
      <c r="K54" s="517" t="s">
        <v>176</v>
      </c>
      <c r="L54" s="82">
        <v>2</v>
      </c>
      <c r="M54" s="508">
        <v>8500</v>
      </c>
      <c r="N54" s="508">
        <f t="shared" si="6"/>
        <v>17000</v>
      </c>
      <c r="P54" s="20"/>
      <c r="Q54" s="56" t="s">
        <v>183</v>
      </c>
      <c r="R54" s="309" t="s">
        <v>178</v>
      </c>
      <c r="S54" s="309">
        <v>3</v>
      </c>
      <c r="T54" s="569">
        <v>8500</v>
      </c>
      <c r="U54" s="569">
        <f t="shared" si="4"/>
        <v>25500</v>
      </c>
      <c r="V54" s="20"/>
      <c r="W54" s="685" t="s">
        <v>183</v>
      </c>
      <c r="X54" s="686" t="s">
        <v>178</v>
      </c>
      <c r="Y54" s="309">
        <v>3</v>
      </c>
      <c r="Z54" s="569">
        <v>8500</v>
      </c>
      <c r="AA54" s="569">
        <v>25500</v>
      </c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</row>
    <row r="55" spans="4:51" ht="21.65" customHeight="1" thickBot="1">
      <c r="D55" s="22" t="s">
        <v>137</v>
      </c>
      <c r="E55" s="22" t="s">
        <v>11</v>
      </c>
      <c r="F55" s="22">
        <v>3</v>
      </c>
      <c r="G55" s="508">
        <v>8500</v>
      </c>
      <c r="H55" s="508">
        <f t="shared" si="5"/>
        <v>25500</v>
      </c>
      <c r="J55" s="516" t="s">
        <v>177</v>
      </c>
      <c r="K55" s="309" t="s">
        <v>178</v>
      </c>
      <c r="L55" s="82">
        <v>3</v>
      </c>
      <c r="M55" s="508">
        <v>8500</v>
      </c>
      <c r="N55" s="508">
        <f>L55*M55</f>
        <v>25500</v>
      </c>
      <c r="P55" s="20"/>
      <c r="Q55" s="1057" t="s">
        <v>184</v>
      </c>
      <c r="R55" s="1058"/>
      <c r="S55" s="309">
        <v>145</v>
      </c>
      <c r="T55" s="570"/>
      <c r="U55" s="569">
        <f>SUM(U38:U54)</f>
        <v>1574000</v>
      </c>
      <c r="V55" s="20"/>
      <c r="W55" s="1057" t="s">
        <v>184</v>
      </c>
      <c r="X55" s="1058"/>
      <c r="Y55" s="309">
        <v>145</v>
      </c>
      <c r="Z55" s="570"/>
      <c r="AA55" s="569">
        <v>1574000</v>
      </c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</row>
    <row r="56" spans="4:51" ht="13.5" customHeight="1">
      <c r="F56" s="507">
        <f>SUM(F38:F55)</f>
        <v>159</v>
      </c>
      <c r="G56" s="509"/>
      <c r="H56" s="510">
        <f>SUM(H38:H55)</f>
        <v>1712250</v>
      </c>
      <c r="L56" s="568">
        <f>SUM(L38:L55)</f>
        <v>145</v>
      </c>
      <c r="M56" s="509"/>
      <c r="N56" s="510">
        <f>SUM(N38:N55)</f>
        <v>1574000</v>
      </c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</row>
    <row r="57" spans="4:51" ht="13.5" customHeight="1">
      <c r="H57" s="512">
        <f>H56-AY33</f>
        <v>150262.5</v>
      </c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</row>
    <row r="58" spans="4:51" ht="19" customHeight="1"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</row>
    <row r="59" spans="4:51" ht="13.5" customHeight="1">
      <c r="N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</row>
    <row r="60" spans="4:51" ht="13.5" customHeight="1">
      <c r="N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</row>
    <row r="61" spans="4:51" ht="13.5" customHeight="1">
      <c r="N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</row>
    <row r="62" spans="4:51" ht="13.5" customHeight="1">
      <c r="N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</row>
    <row r="63" spans="4:51" ht="13.5" customHeight="1">
      <c r="N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</row>
    <row r="64" spans="4:51" ht="13.5" customHeight="1">
      <c r="N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</row>
    <row r="65" spans="13:51" ht="13.5" customHeight="1"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</row>
    <row r="66" spans="13:51" ht="13.5" customHeight="1"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</row>
    <row r="67" spans="13:51" ht="13.5" customHeight="1"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</row>
    <row r="68" spans="13:51" ht="13.5" customHeight="1"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</row>
    <row r="69" spans="13:51" ht="13.5" customHeight="1"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</row>
    <row r="70" spans="13:51" ht="13.5" customHeight="1"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</row>
    <row r="71" spans="13:51" ht="13.5" customHeight="1"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</row>
    <row r="72" spans="13:51" ht="13.5" customHeight="1"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</row>
    <row r="73" spans="13:51" ht="13.5" customHeight="1">
      <c r="M73" s="513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</row>
    <row r="74" spans="13:51" ht="13.5" customHeight="1"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</row>
    <row r="75" spans="13:51" ht="13.5" customHeight="1"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</row>
    <row r="76" spans="13:51" ht="13.5" customHeight="1"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</row>
    <row r="77" spans="13:51" ht="13.5" customHeight="1"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</row>
    <row r="78" spans="13:51" ht="13.5" customHeight="1"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</row>
    <row r="79" spans="13:51" ht="13.5" customHeight="1"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</row>
    <row r="80" spans="13:51" ht="13.5" customHeight="1"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</row>
    <row r="81" spans="12:51" ht="13.5" customHeight="1"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</row>
    <row r="82" spans="12:51" ht="13.5" customHeight="1"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</row>
    <row r="83" spans="12:51" ht="13.5" customHeight="1"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</row>
    <row r="84" spans="12:51" ht="13.5" customHeight="1"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</row>
    <row r="85" spans="12:51" ht="13.5" customHeight="1"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</row>
    <row r="86" spans="12:51" ht="13.5" customHeight="1"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</row>
    <row r="87" spans="12:51" ht="13.5" customHeight="1"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</row>
    <row r="88" spans="12:51" ht="13.5" customHeight="1"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</row>
    <row r="89" spans="12:51" ht="13.5" customHeight="1">
      <c r="L89" s="513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</row>
    <row r="90" spans="12:51" ht="13.5" customHeight="1"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</row>
    <row r="91" spans="12:51" ht="13.5" customHeight="1"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</row>
    <row r="92" spans="12:51" ht="13.5" customHeight="1"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</row>
    <row r="93" spans="12:51" ht="13.5" customHeight="1"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</row>
    <row r="94" spans="12:51" ht="13.5" customHeight="1"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</row>
    <row r="95" spans="12:51" ht="13.5" customHeight="1"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</row>
    <row r="96" spans="12:51" ht="13.5" customHeight="1"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</row>
    <row r="97" spans="14:51" ht="13.5" customHeight="1"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</row>
    <row r="98" spans="14:51" ht="13.5" customHeight="1"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</row>
    <row r="99" spans="14:51" ht="13.5" customHeight="1"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</row>
    <row r="100" spans="14:51" ht="13.5" customHeight="1"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</row>
    <row r="101" spans="14:51" ht="13.5" customHeight="1"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</row>
    <row r="102" spans="14:51" ht="13.5" customHeight="1"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</row>
    <row r="103" spans="14:51" ht="13.5" customHeight="1"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</row>
    <row r="104" spans="14:51" ht="13.5" customHeight="1"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</row>
    <row r="105" spans="14:51" ht="13.5" customHeight="1"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</row>
    <row r="106" spans="14:51" ht="13.5" customHeight="1"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</row>
    <row r="107" spans="14:51" ht="13.5" customHeight="1"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</row>
    <row r="108" spans="14:51" ht="13.5" customHeight="1"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</row>
    <row r="109" spans="14:51" ht="13.5" customHeight="1"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</row>
    <row r="110" spans="14:51" ht="13.5" customHeight="1"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</row>
    <row r="111" spans="14:51" ht="13.5" customHeight="1"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</row>
    <row r="112" spans="14:51" ht="13.5" customHeight="1"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</row>
    <row r="113" spans="14:51" ht="13.5" customHeight="1"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</row>
    <row r="114" spans="14:51" ht="13.5" customHeight="1"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</row>
    <row r="115" spans="14:51" ht="13.5" customHeight="1"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</row>
    <row r="116" spans="14:51" ht="13.5" customHeight="1"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</row>
    <row r="117" spans="14:51" ht="13.5" customHeight="1"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</row>
  </sheetData>
  <mergeCells count="14">
    <mergeCell ref="AJ1:AP1"/>
    <mergeCell ref="AQ1:AW1"/>
    <mergeCell ref="Q55:R55"/>
    <mergeCell ref="W55:X55"/>
    <mergeCell ref="L20:L22"/>
    <mergeCell ref="Q1:S1"/>
    <mergeCell ref="T1:U1"/>
    <mergeCell ref="V1:AB1"/>
    <mergeCell ref="AC1:AI1"/>
    <mergeCell ref="D8:D18"/>
    <mergeCell ref="D20:D23"/>
    <mergeCell ref="E20:E23"/>
    <mergeCell ref="F20:F23"/>
    <mergeCell ref="G20:G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BCAE2-646F-4F06-A64B-7FD1C6AEE955}">
  <sheetPr>
    <tabColor theme="5"/>
  </sheetPr>
  <dimension ref="A1:DX153"/>
  <sheetViews>
    <sheetView zoomScale="70" zoomScaleNormal="70" workbookViewId="0">
      <pane xSplit="3" ySplit="2" topLeftCell="D20" activePane="bottomRight" state="frozen"/>
      <selection pane="topRight" activeCell="D1" sqref="D1"/>
      <selection pane="bottomLeft" activeCell="A3" sqref="A3"/>
      <selection pane="bottomRight" sqref="A1:XFD1048576"/>
    </sheetView>
  </sheetViews>
  <sheetFormatPr defaultColWidth="8.6328125" defaultRowHeight="14.5"/>
  <cols>
    <col min="1" max="1" width="4.36328125" style="20" customWidth="1"/>
    <col min="2" max="2" width="5.08984375" style="87" customWidth="1"/>
    <col min="3" max="3" width="61.36328125" style="20" customWidth="1"/>
    <col min="4" max="4" width="27.36328125" style="19" bestFit="1" customWidth="1"/>
    <col min="5" max="5" width="12" style="19" customWidth="1"/>
    <col min="6" max="6" width="12.6328125" style="19" customWidth="1"/>
    <col min="7" max="7" width="14.90625" style="19" customWidth="1"/>
    <col min="8" max="8" width="16.6328125" style="19" customWidth="1"/>
    <col min="9" max="10" width="11.6328125" style="19" customWidth="1"/>
    <col min="11" max="11" width="12.6328125" style="19" customWidth="1"/>
    <col min="12" max="12" width="11.90625" style="19" customWidth="1"/>
    <col min="13" max="13" width="11.36328125" style="19" customWidth="1"/>
    <col min="14" max="14" width="14.36328125" style="19" customWidth="1"/>
    <col min="15" max="15" width="11.36328125" style="19" customWidth="1"/>
    <col min="16" max="18" width="12.6328125" style="19" customWidth="1"/>
    <col min="19" max="49" width="13.08984375" style="19" customWidth="1"/>
    <col min="50" max="50" width="22.36328125" style="19" bestFit="1" customWidth="1"/>
    <col min="51" max="51" width="17.36328125" style="19" customWidth="1"/>
    <col min="52" max="52" width="11.08984375" style="20" bestFit="1" customWidth="1"/>
    <col min="53" max="53" width="15.36328125" style="20" bestFit="1" customWidth="1"/>
    <col min="54" max="16384" width="8.6328125" style="20"/>
  </cols>
  <sheetData>
    <row r="1" spans="1:128" ht="15" customHeight="1" thickBot="1">
      <c r="B1" s="548"/>
      <c r="C1" s="549"/>
      <c r="D1" s="550"/>
      <c r="E1" s="550"/>
      <c r="F1" s="550"/>
      <c r="G1" s="550"/>
      <c r="H1" s="550"/>
      <c r="I1" s="550"/>
      <c r="J1" s="550"/>
      <c r="K1" s="550"/>
      <c r="L1" s="550"/>
      <c r="M1" s="550"/>
      <c r="N1" s="550"/>
      <c r="O1" s="550"/>
      <c r="P1" s="550"/>
      <c r="Q1" s="1059" t="s">
        <v>60</v>
      </c>
      <c r="R1" s="1055"/>
      <c r="S1" s="1056"/>
      <c r="T1" s="1055" t="s">
        <v>61</v>
      </c>
      <c r="U1" s="1055"/>
      <c r="V1" s="1059" t="s">
        <v>62</v>
      </c>
      <c r="W1" s="1055"/>
      <c r="X1" s="1055"/>
      <c r="Y1" s="1055"/>
      <c r="Z1" s="1055"/>
      <c r="AA1" s="1055"/>
      <c r="AB1" s="1056"/>
      <c r="AC1" s="1055" t="s">
        <v>63</v>
      </c>
      <c r="AD1" s="1055"/>
      <c r="AE1" s="1055"/>
      <c r="AF1" s="1055"/>
      <c r="AG1" s="1055"/>
      <c r="AH1" s="1055"/>
      <c r="AI1" s="1056"/>
      <c r="AJ1" s="1055" t="s">
        <v>64</v>
      </c>
      <c r="AK1" s="1055"/>
      <c r="AL1" s="1055"/>
      <c r="AM1" s="1055"/>
      <c r="AN1" s="1055"/>
      <c r="AO1" s="1055"/>
      <c r="AP1" s="1056"/>
      <c r="AQ1" s="1055" t="s">
        <v>65</v>
      </c>
      <c r="AR1" s="1055"/>
      <c r="AS1" s="1055"/>
      <c r="AT1" s="1055"/>
      <c r="AU1" s="1055"/>
      <c r="AV1" s="1055"/>
      <c r="AW1" s="1055"/>
      <c r="AX1" s="551" t="s">
        <v>114</v>
      </c>
      <c r="AY1" s="20"/>
    </row>
    <row r="2" spans="1:128" ht="29.5" thickBot="1">
      <c r="B2" s="90" t="s">
        <v>29</v>
      </c>
      <c r="C2" s="520" t="s">
        <v>30</v>
      </c>
      <c r="D2" s="521" t="s">
        <v>3</v>
      </c>
      <c r="E2" s="522" t="s">
        <v>31</v>
      </c>
      <c r="F2" s="522" t="s">
        <v>5</v>
      </c>
      <c r="G2" s="522" t="s">
        <v>108</v>
      </c>
      <c r="H2" s="522" t="s">
        <v>32</v>
      </c>
      <c r="I2" s="522" t="s">
        <v>7</v>
      </c>
      <c r="J2" s="522" t="s">
        <v>68</v>
      </c>
      <c r="K2" s="522" t="s">
        <v>69</v>
      </c>
      <c r="L2" s="522" t="s">
        <v>8</v>
      </c>
      <c r="M2" s="522" t="s">
        <v>9</v>
      </c>
      <c r="N2" s="522" t="s">
        <v>10</v>
      </c>
      <c r="O2" s="522" t="s">
        <v>35</v>
      </c>
      <c r="P2" s="523" t="s">
        <v>11</v>
      </c>
      <c r="Q2" s="524" t="s">
        <v>70</v>
      </c>
      <c r="R2" s="525" t="s">
        <v>71</v>
      </c>
      <c r="S2" s="526" t="s">
        <v>34</v>
      </c>
      <c r="T2" s="527" t="s">
        <v>72</v>
      </c>
      <c r="U2" s="528" t="s">
        <v>73</v>
      </c>
      <c r="V2" s="529" t="s">
        <v>74</v>
      </c>
      <c r="W2" s="89" t="s">
        <v>31</v>
      </c>
      <c r="X2" s="89" t="s">
        <v>6</v>
      </c>
      <c r="Y2" s="89" t="s">
        <v>75</v>
      </c>
      <c r="Z2" s="89" t="s">
        <v>7</v>
      </c>
      <c r="AA2" s="89" t="s">
        <v>76</v>
      </c>
      <c r="AB2" s="530" t="s">
        <v>77</v>
      </c>
      <c r="AC2" s="529" t="s">
        <v>74</v>
      </c>
      <c r="AD2" s="89" t="s">
        <v>31</v>
      </c>
      <c r="AE2" s="89" t="s">
        <v>6</v>
      </c>
      <c r="AF2" s="89" t="s">
        <v>75</v>
      </c>
      <c r="AG2" s="89" t="s">
        <v>7</v>
      </c>
      <c r="AH2" s="89" t="s">
        <v>76</v>
      </c>
      <c r="AI2" s="530" t="s">
        <v>77</v>
      </c>
      <c r="AJ2" s="529" t="s">
        <v>74</v>
      </c>
      <c r="AK2" s="89" t="s">
        <v>31</v>
      </c>
      <c r="AL2" s="89" t="s">
        <v>75</v>
      </c>
      <c r="AM2" s="89" t="s">
        <v>75</v>
      </c>
      <c r="AN2" s="89" t="s">
        <v>7</v>
      </c>
      <c r="AO2" s="89" t="s">
        <v>76</v>
      </c>
      <c r="AP2" s="530" t="s">
        <v>77</v>
      </c>
      <c r="AQ2" s="529" t="s">
        <v>74</v>
      </c>
      <c r="AR2" s="89" t="s">
        <v>31</v>
      </c>
      <c r="AS2" s="89" t="s">
        <v>6</v>
      </c>
      <c r="AT2" s="89" t="s">
        <v>75</v>
      </c>
      <c r="AU2" s="89" t="s">
        <v>7</v>
      </c>
      <c r="AV2" s="89" t="s">
        <v>76</v>
      </c>
      <c r="AW2" s="530" t="s">
        <v>77</v>
      </c>
      <c r="AX2" s="531" t="s">
        <v>78</v>
      </c>
      <c r="AY2" s="20"/>
    </row>
    <row r="3" spans="1:128">
      <c r="B3" s="96">
        <v>1</v>
      </c>
      <c r="C3" s="321" t="s">
        <v>36</v>
      </c>
      <c r="D3" s="233">
        <v>2</v>
      </c>
      <c r="E3" s="62">
        <v>2</v>
      </c>
      <c r="F3" s="322"/>
      <c r="G3" s="322"/>
      <c r="H3" s="322"/>
      <c r="I3" s="322"/>
      <c r="J3" s="322"/>
      <c r="K3" s="322"/>
      <c r="L3" s="322"/>
      <c r="M3" s="322"/>
      <c r="N3" s="322"/>
      <c r="O3" s="322"/>
      <c r="P3" s="323"/>
      <c r="Q3" s="324"/>
      <c r="R3" s="325"/>
      <c r="S3" s="326"/>
      <c r="T3" s="327"/>
      <c r="U3" s="328"/>
      <c r="V3" s="329"/>
      <c r="W3" s="99"/>
      <c r="X3" s="99"/>
      <c r="Y3" s="99"/>
      <c r="Z3" s="99"/>
      <c r="AA3" s="99"/>
      <c r="AB3" s="330"/>
      <c r="AC3" s="329"/>
      <c r="AD3" s="99"/>
      <c r="AE3" s="99"/>
      <c r="AF3" s="99"/>
      <c r="AG3" s="99"/>
      <c r="AH3" s="99"/>
      <c r="AI3" s="330"/>
      <c r="AJ3" s="329"/>
      <c r="AK3" s="99"/>
      <c r="AL3" s="99"/>
      <c r="AM3" s="99"/>
      <c r="AN3" s="99"/>
      <c r="AO3" s="99"/>
      <c r="AP3" s="330"/>
      <c r="AQ3" s="329"/>
      <c r="AR3" s="99"/>
      <c r="AS3" s="99"/>
      <c r="AT3" s="99"/>
      <c r="AU3" s="99"/>
      <c r="AV3" s="99"/>
      <c r="AW3" s="330"/>
      <c r="AX3" s="532"/>
      <c r="AY3" s="20"/>
    </row>
    <row r="4" spans="1:128" s="108" customFormat="1">
      <c r="A4" s="20"/>
      <c r="B4" s="101">
        <v>2</v>
      </c>
      <c r="C4" s="333" t="s">
        <v>79</v>
      </c>
      <c r="D4" s="229">
        <v>1</v>
      </c>
      <c r="E4" s="230">
        <v>0.5</v>
      </c>
      <c r="F4" s="334"/>
      <c r="G4" s="334"/>
      <c r="H4" s="334"/>
      <c r="I4" s="334"/>
      <c r="J4" s="231"/>
      <c r="K4" s="231"/>
      <c r="L4" s="231"/>
      <c r="M4" s="231"/>
      <c r="N4" s="231"/>
      <c r="O4" s="231"/>
      <c r="P4" s="232"/>
      <c r="Q4" s="335"/>
      <c r="R4" s="334"/>
      <c r="S4" s="336"/>
      <c r="T4" s="337"/>
      <c r="U4" s="338"/>
      <c r="V4" s="337"/>
      <c r="W4" s="105"/>
      <c r="X4" s="105"/>
      <c r="Y4" s="105"/>
      <c r="Z4" s="105"/>
      <c r="AA4" s="105"/>
      <c r="AB4" s="338"/>
      <c r="AC4" s="337"/>
      <c r="AD4" s="105"/>
      <c r="AE4" s="105"/>
      <c r="AF4" s="105"/>
      <c r="AG4" s="105"/>
      <c r="AH4" s="105"/>
      <c r="AI4" s="338"/>
      <c r="AJ4" s="337"/>
      <c r="AK4" s="105"/>
      <c r="AL4" s="105"/>
      <c r="AM4" s="105"/>
      <c r="AN4" s="105"/>
      <c r="AO4" s="105"/>
      <c r="AP4" s="338"/>
      <c r="AQ4" s="337"/>
      <c r="AR4" s="105"/>
      <c r="AS4" s="105"/>
      <c r="AT4" s="105"/>
      <c r="AU4" s="105"/>
      <c r="AV4" s="105"/>
      <c r="AW4" s="338"/>
      <c r="AX4" s="533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</row>
    <row r="5" spans="1:128" s="108" customFormat="1">
      <c r="A5" s="20"/>
      <c r="B5" s="101">
        <v>2</v>
      </c>
      <c r="C5" s="333" t="s">
        <v>80</v>
      </c>
      <c r="D5" s="229">
        <v>10</v>
      </c>
      <c r="E5" s="230">
        <v>4</v>
      </c>
      <c r="F5" s="334"/>
      <c r="G5" s="334"/>
      <c r="H5" s="334"/>
      <c r="I5" s="334"/>
      <c r="J5" s="334"/>
      <c r="K5" s="334"/>
      <c r="L5" s="334"/>
      <c r="M5" s="334"/>
      <c r="N5" s="334"/>
      <c r="O5" s="334"/>
      <c r="P5" s="340"/>
      <c r="Q5" s="335"/>
      <c r="R5" s="334"/>
      <c r="S5" s="336"/>
      <c r="T5" s="337"/>
      <c r="U5" s="338"/>
      <c r="V5" s="337"/>
      <c r="W5" s="105"/>
      <c r="X5" s="105"/>
      <c r="Y5" s="105"/>
      <c r="Z5" s="105"/>
      <c r="AA5" s="105"/>
      <c r="AB5" s="338"/>
      <c r="AC5" s="337"/>
      <c r="AD5" s="105"/>
      <c r="AE5" s="105"/>
      <c r="AF5" s="105"/>
      <c r="AG5" s="105"/>
      <c r="AH5" s="105"/>
      <c r="AI5" s="338"/>
      <c r="AJ5" s="337"/>
      <c r="AK5" s="105"/>
      <c r="AL5" s="105"/>
      <c r="AM5" s="105"/>
      <c r="AN5" s="105"/>
      <c r="AO5" s="105"/>
      <c r="AP5" s="338"/>
      <c r="AQ5" s="337"/>
      <c r="AR5" s="105"/>
      <c r="AS5" s="105"/>
      <c r="AT5" s="105"/>
      <c r="AU5" s="105"/>
      <c r="AV5" s="105"/>
      <c r="AW5" s="338"/>
      <c r="AX5" s="533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</row>
    <row r="6" spans="1:128">
      <c r="B6" s="110">
        <v>3</v>
      </c>
      <c r="C6" s="342" t="s">
        <v>38</v>
      </c>
      <c r="D6" s="233">
        <v>2</v>
      </c>
      <c r="E6" s="518">
        <v>6</v>
      </c>
      <c r="F6" s="322">
        <v>2</v>
      </c>
      <c r="G6" s="322"/>
      <c r="H6" s="322"/>
      <c r="I6" s="322">
        <v>1</v>
      </c>
      <c r="J6" s="322"/>
      <c r="K6" s="322"/>
      <c r="L6" s="322"/>
      <c r="M6" s="322"/>
      <c r="N6" s="322"/>
      <c r="O6" s="322"/>
      <c r="P6" s="323"/>
      <c r="Q6" s="343"/>
      <c r="R6" s="322">
        <v>1</v>
      </c>
      <c r="S6" s="344"/>
      <c r="T6" s="345"/>
      <c r="U6" s="346"/>
      <c r="V6" s="239"/>
      <c r="W6" s="22"/>
      <c r="X6" s="22"/>
      <c r="Y6" s="22"/>
      <c r="Z6" s="22"/>
      <c r="AA6" s="22"/>
      <c r="AB6" s="76"/>
      <c r="AC6" s="239"/>
      <c r="AD6" s="22"/>
      <c r="AE6" s="22"/>
      <c r="AF6" s="22"/>
      <c r="AG6" s="22"/>
      <c r="AH6" s="22"/>
      <c r="AI6" s="76"/>
      <c r="AJ6" s="239"/>
      <c r="AK6" s="22"/>
      <c r="AL6" s="22"/>
      <c r="AM6" s="22"/>
      <c r="AN6" s="22"/>
      <c r="AO6" s="22"/>
      <c r="AP6" s="76"/>
      <c r="AQ6" s="239"/>
      <c r="AR6" s="22"/>
      <c r="AS6" s="22"/>
      <c r="AT6" s="22"/>
      <c r="AU6" s="22"/>
      <c r="AV6" s="22"/>
      <c r="AW6" s="76"/>
      <c r="AX6" s="534"/>
      <c r="AY6" s="20"/>
    </row>
    <row r="7" spans="1:128">
      <c r="B7" s="110">
        <v>4</v>
      </c>
      <c r="C7" s="342" t="s">
        <v>81</v>
      </c>
      <c r="D7" s="233">
        <v>1</v>
      </c>
      <c r="E7" s="62">
        <v>2</v>
      </c>
      <c r="F7" s="322"/>
      <c r="G7" s="322"/>
      <c r="H7" s="322"/>
      <c r="I7" s="322"/>
      <c r="J7" s="322"/>
      <c r="K7" s="322"/>
      <c r="L7" s="322"/>
      <c r="M7" s="322"/>
      <c r="N7" s="322"/>
      <c r="O7" s="322"/>
      <c r="P7" s="323"/>
      <c r="Q7" s="343"/>
      <c r="R7" s="322"/>
      <c r="S7" s="344"/>
      <c r="T7" s="345"/>
      <c r="U7" s="346"/>
      <c r="V7" s="239"/>
      <c r="W7" s="113"/>
      <c r="X7" s="113"/>
      <c r="Y7" s="113"/>
      <c r="Z7" s="113"/>
      <c r="AA7" s="113"/>
      <c r="AB7" s="346"/>
      <c r="AC7" s="239"/>
      <c r="AD7" s="113"/>
      <c r="AE7" s="113"/>
      <c r="AF7" s="113"/>
      <c r="AG7" s="113"/>
      <c r="AH7" s="113"/>
      <c r="AI7" s="346"/>
      <c r="AJ7" s="239"/>
      <c r="AK7" s="113"/>
      <c r="AL7" s="113"/>
      <c r="AM7" s="113"/>
      <c r="AN7" s="113"/>
      <c r="AO7" s="113"/>
      <c r="AP7" s="346"/>
      <c r="AQ7" s="239"/>
      <c r="AR7" s="113"/>
      <c r="AS7" s="113"/>
      <c r="AT7" s="113"/>
      <c r="AU7" s="113"/>
      <c r="AV7" s="113"/>
      <c r="AW7" s="346"/>
      <c r="AX7" s="534"/>
      <c r="AY7" s="20"/>
    </row>
    <row r="8" spans="1:128" s="135" customFormat="1">
      <c r="A8" s="20"/>
      <c r="B8" s="194">
        <v>6</v>
      </c>
      <c r="C8" s="364" t="s">
        <v>83</v>
      </c>
      <c r="D8" s="1052">
        <v>2</v>
      </c>
      <c r="E8" s="366"/>
      <c r="F8" s="366"/>
      <c r="G8" s="366"/>
      <c r="H8" s="366"/>
      <c r="I8" s="366"/>
      <c r="J8" s="366"/>
      <c r="K8" s="366"/>
      <c r="L8" s="366"/>
      <c r="M8" s="366"/>
      <c r="N8" s="366"/>
      <c r="O8" s="366"/>
      <c r="P8" s="367"/>
      <c r="Q8" s="368"/>
      <c r="R8" s="366"/>
      <c r="S8" s="369"/>
      <c r="T8" s="370"/>
      <c r="U8" s="371"/>
      <c r="V8" s="370"/>
      <c r="W8" s="198"/>
      <c r="X8" s="198"/>
      <c r="Y8" s="198"/>
      <c r="Z8" s="198"/>
      <c r="AA8" s="198"/>
      <c r="AB8" s="371"/>
      <c r="AC8" s="370"/>
      <c r="AD8" s="198"/>
      <c r="AE8" s="198"/>
      <c r="AF8" s="198"/>
      <c r="AG8" s="198"/>
      <c r="AH8" s="198"/>
      <c r="AI8" s="371"/>
      <c r="AJ8" s="370"/>
      <c r="AK8" s="198"/>
      <c r="AL8" s="198"/>
      <c r="AM8" s="198"/>
      <c r="AN8" s="198"/>
      <c r="AO8" s="198"/>
      <c r="AP8" s="371"/>
      <c r="AQ8" s="370"/>
      <c r="AR8" s="198"/>
      <c r="AS8" s="198"/>
      <c r="AT8" s="198"/>
      <c r="AU8" s="198"/>
      <c r="AV8" s="198"/>
      <c r="AW8" s="371"/>
      <c r="AX8" s="535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</row>
    <row r="9" spans="1:128" ht="18.75" customHeight="1">
      <c r="B9" s="130">
        <v>6.1</v>
      </c>
      <c r="C9" s="374" t="s">
        <v>84</v>
      </c>
      <c r="D9" s="1053"/>
      <c r="E9" s="376"/>
      <c r="F9" s="376"/>
      <c r="G9" s="376"/>
      <c r="H9" s="376"/>
      <c r="I9" s="376"/>
      <c r="J9" s="377"/>
      <c r="K9" s="377"/>
      <c r="L9" s="376"/>
      <c r="M9" s="376"/>
      <c r="N9" s="376"/>
      <c r="O9" s="377"/>
      <c r="P9" s="378"/>
      <c r="Q9" s="379"/>
      <c r="R9" s="376"/>
      <c r="S9" s="380"/>
      <c r="T9" s="381"/>
      <c r="U9" s="382"/>
      <c r="V9" s="381"/>
      <c r="W9" s="133"/>
      <c r="X9" s="133"/>
      <c r="Y9" s="133"/>
      <c r="Z9" s="133"/>
      <c r="AA9" s="133"/>
      <c r="AB9" s="382"/>
      <c r="AC9" s="381"/>
      <c r="AD9" s="133"/>
      <c r="AE9" s="133"/>
      <c r="AF9" s="133"/>
      <c r="AG9" s="133"/>
      <c r="AH9" s="133"/>
      <c r="AI9" s="382"/>
      <c r="AJ9" s="381"/>
      <c r="AK9" s="133"/>
      <c r="AL9" s="133"/>
      <c r="AM9" s="133"/>
      <c r="AN9" s="133"/>
      <c r="AO9" s="133"/>
      <c r="AP9" s="382"/>
      <c r="AQ9" s="381"/>
      <c r="AR9" s="133"/>
      <c r="AS9" s="133"/>
      <c r="AT9" s="133"/>
      <c r="AU9" s="133"/>
      <c r="AV9" s="133"/>
      <c r="AW9" s="382"/>
      <c r="AX9" s="536"/>
      <c r="AY9" s="20"/>
    </row>
    <row r="10" spans="1:128" ht="87" customHeight="1">
      <c r="B10" s="130"/>
      <c r="C10" s="374" t="s">
        <v>115</v>
      </c>
      <c r="D10" s="1053"/>
      <c r="E10" s="376"/>
      <c r="F10" s="376"/>
      <c r="G10" s="376"/>
      <c r="H10" s="376"/>
      <c r="I10" s="376"/>
      <c r="J10" s="377"/>
      <c r="K10" s="377"/>
      <c r="L10" s="376">
        <v>3</v>
      </c>
      <c r="M10" s="376">
        <v>0.5</v>
      </c>
      <c r="N10" s="376"/>
      <c r="O10" s="377"/>
      <c r="P10" s="378"/>
      <c r="Q10" s="379"/>
      <c r="R10" s="376">
        <v>6</v>
      </c>
      <c r="S10" s="380">
        <v>4</v>
      </c>
      <c r="T10" s="381"/>
      <c r="U10" s="382"/>
      <c r="V10" s="381"/>
      <c r="W10" s="133"/>
      <c r="X10" s="133"/>
      <c r="Y10" s="133"/>
      <c r="Z10" s="133"/>
      <c r="AA10" s="133"/>
      <c r="AB10" s="382"/>
      <c r="AC10" s="381"/>
      <c r="AD10" s="133"/>
      <c r="AE10" s="133"/>
      <c r="AF10" s="133"/>
      <c r="AG10" s="133"/>
      <c r="AH10" s="133"/>
      <c r="AI10" s="382"/>
      <c r="AJ10" s="381"/>
      <c r="AK10" s="133"/>
      <c r="AL10" s="133"/>
      <c r="AM10" s="133"/>
      <c r="AN10" s="133"/>
      <c r="AO10" s="133"/>
      <c r="AP10" s="382"/>
      <c r="AQ10" s="381"/>
      <c r="AR10" s="133"/>
      <c r="AS10" s="133"/>
      <c r="AT10" s="133"/>
      <c r="AU10" s="133"/>
      <c r="AV10" s="133"/>
      <c r="AW10" s="382"/>
      <c r="AX10" s="536"/>
      <c r="AY10" s="20"/>
    </row>
    <row r="11" spans="1:128" ht="18.5">
      <c r="B11" s="130"/>
      <c r="C11" s="374" t="s">
        <v>116</v>
      </c>
      <c r="D11" s="1053"/>
      <c r="E11" s="376"/>
      <c r="F11" s="376"/>
      <c r="G11" s="376"/>
      <c r="H11" s="376"/>
      <c r="I11" s="376"/>
      <c r="J11" s="377"/>
      <c r="K11" s="377"/>
      <c r="L11" s="376"/>
      <c r="M11" s="376"/>
      <c r="N11" s="376"/>
      <c r="O11" s="377"/>
      <c r="P11" s="378"/>
      <c r="Q11" s="379"/>
      <c r="R11" s="376"/>
      <c r="S11" s="380"/>
      <c r="T11" s="381"/>
      <c r="U11" s="382"/>
      <c r="V11" s="381"/>
      <c r="W11" s="133"/>
      <c r="X11" s="133"/>
      <c r="Y11" s="133"/>
      <c r="Z11" s="133"/>
      <c r="AA11" s="133"/>
      <c r="AB11" s="382"/>
      <c r="AC11" s="381"/>
      <c r="AD11" s="133"/>
      <c r="AE11" s="133"/>
      <c r="AF11" s="133"/>
      <c r="AG11" s="133"/>
      <c r="AH11" s="133"/>
      <c r="AI11" s="382"/>
      <c r="AJ11" s="381"/>
      <c r="AK11" s="133"/>
      <c r="AL11" s="133"/>
      <c r="AM11" s="133"/>
      <c r="AN11" s="133"/>
      <c r="AO11" s="133"/>
      <c r="AP11" s="382"/>
      <c r="AQ11" s="381"/>
      <c r="AR11" s="133"/>
      <c r="AS11" s="133"/>
      <c r="AT11" s="133"/>
      <c r="AU11" s="133"/>
      <c r="AV11" s="133"/>
      <c r="AW11" s="382"/>
      <c r="AX11" s="536"/>
      <c r="AY11" s="20"/>
    </row>
    <row r="12" spans="1:128" ht="18.5">
      <c r="B12" s="130"/>
      <c r="C12" s="374" t="s">
        <v>117</v>
      </c>
      <c r="D12" s="1053"/>
      <c r="E12" s="376"/>
      <c r="F12" s="376"/>
      <c r="G12" s="376"/>
      <c r="H12" s="376"/>
      <c r="I12" s="376"/>
      <c r="J12" s="377"/>
      <c r="K12" s="377"/>
      <c r="L12" s="376"/>
      <c r="M12" s="376"/>
      <c r="N12" s="376"/>
      <c r="O12" s="377"/>
      <c r="P12" s="378"/>
      <c r="Q12" s="379"/>
      <c r="R12" s="376"/>
      <c r="S12" s="380"/>
      <c r="T12" s="381"/>
      <c r="U12" s="382"/>
      <c r="V12" s="381"/>
      <c r="W12" s="133"/>
      <c r="X12" s="133"/>
      <c r="Y12" s="133"/>
      <c r="Z12" s="133"/>
      <c r="AA12" s="133"/>
      <c r="AB12" s="382"/>
      <c r="AC12" s="381"/>
      <c r="AD12" s="133"/>
      <c r="AE12" s="133"/>
      <c r="AF12" s="133"/>
      <c r="AG12" s="133"/>
      <c r="AH12" s="133"/>
      <c r="AI12" s="382"/>
      <c r="AJ12" s="381"/>
      <c r="AK12" s="133"/>
      <c r="AL12" s="133"/>
      <c r="AM12" s="133"/>
      <c r="AN12" s="133"/>
      <c r="AO12" s="133"/>
      <c r="AP12" s="382"/>
      <c r="AQ12" s="381"/>
      <c r="AR12" s="133"/>
      <c r="AS12" s="133"/>
      <c r="AT12" s="133"/>
      <c r="AU12" s="133"/>
      <c r="AV12" s="133"/>
      <c r="AW12" s="382"/>
      <c r="AX12" s="536"/>
      <c r="AY12" s="20"/>
    </row>
    <row r="13" spans="1:128" ht="18.5">
      <c r="B13" s="130"/>
      <c r="C13" s="374" t="s">
        <v>118</v>
      </c>
      <c r="D13" s="1053"/>
      <c r="E13" s="376"/>
      <c r="F13" s="376"/>
      <c r="G13" s="376"/>
      <c r="H13" s="376"/>
      <c r="I13" s="376"/>
      <c r="J13" s="377"/>
      <c r="K13" s="377"/>
      <c r="L13" s="376"/>
      <c r="M13" s="376"/>
      <c r="N13" s="376"/>
      <c r="O13" s="377"/>
      <c r="P13" s="378"/>
      <c r="Q13" s="379"/>
      <c r="R13" s="376"/>
      <c r="S13" s="380"/>
      <c r="T13" s="381"/>
      <c r="U13" s="382"/>
      <c r="V13" s="381"/>
      <c r="W13" s="133"/>
      <c r="X13" s="133"/>
      <c r="Y13" s="133"/>
      <c r="Z13" s="133"/>
      <c r="AA13" s="133"/>
      <c r="AB13" s="382"/>
      <c r="AC13" s="381"/>
      <c r="AD13" s="133"/>
      <c r="AE13" s="133"/>
      <c r="AF13" s="133"/>
      <c r="AG13" s="133"/>
      <c r="AH13" s="133"/>
      <c r="AI13" s="382"/>
      <c r="AJ13" s="381"/>
      <c r="AK13" s="133"/>
      <c r="AL13" s="133"/>
      <c r="AM13" s="133"/>
      <c r="AN13" s="133"/>
      <c r="AO13" s="133"/>
      <c r="AP13" s="382"/>
      <c r="AQ13" s="381"/>
      <c r="AR13" s="133"/>
      <c r="AS13" s="133"/>
      <c r="AT13" s="133"/>
      <c r="AU13" s="133"/>
      <c r="AV13" s="133"/>
      <c r="AW13" s="382"/>
      <c r="AX13" s="536"/>
      <c r="AY13" s="20"/>
    </row>
    <row r="14" spans="1:128" ht="18.5">
      <c r="B14" s="130">
        <v>6.2</v>
      </c>
      <c r="C14" s="374" t="s">
        <v>86</v>
      </c>
      <c r="D14" s="1053"/>
      <c r="E14" s="376"/>
      <c r="F14" s="376"/>
      <c r="G14" s="376"/>
      <c r="H14" s="376"/>
      <c r="I14" s="376"/>
      <c r="J14" s="377"/>
      <c r="K14" s="377"/>
      <c r="L14" s="376"/>
      <c r="M14" s="376"/>
      <c r="N14" s="376"/>
      <c r="O14" s="377"/>
      <c r="P14" s="378"/>
      <c r="Q14" s="379"/>
      <c r="R14" s="376"/>
      <c r="S14" s="380"/>
      <c r="T14" s="381"/>
      <c r="U14" s="382"/>
      <c r="V14" s="381"/>
      <c r="W14" s="133"/>
      <c r="X14" s="133"/>
      <c r="Y14" s="133"/>
      <c r="Z14" s="133"/>
      <c r="AA14" s="133"/>
      <c r="AB14" s="382"/>
      <c r="AC14" s="381"/>
      <c r="AD14" s="133"/>
      <c r="AE14" s="133"/>
      <c r="AF14" s="133"/>
      <c r="AG14" s="133"/>
      <c r="AH14" s="133"/>
      <c r="AI14" s="382"/>
      <c r="AJ14" s="381"/>
      <c r="AK14" s="133"/>
      <c r="AL14" s="133"/>
      <c r="AM14" s="133"/>
      <c r="AN14" s="133"/>
      <c r="AO14" s="133"/>
      <c r="AP14" s="382"/>
      <c r="AQ14" s="381"/>
      <c r="AR14" s="133"/>
      <c r="AS14" s="133"/>
      <c r="AT14" s="133"/>
      <c r="AU14" s="133"/>
      <c r="AV14" s="133"/>
      <c r="AW14" s="382"/>
      <c r="AX14" s="536"/>
      <c r="AY14" s="20"/>
    </row>
    <row r="15" spans="1:128" ht="18.5">
      <c r="B15" s="130"/>
      <c r="C15" s="374" t="s">
        <v>87</v>
      </c>
      <c r="D15" s="1053"/>
      <c r="E15" s="428">
        <v>0.5</v>
      </c>
      <c r="F15" s="376">
        <v>3</v>
      </c>
      <c r="G15" s="376">
        <v>7</v>
      </c>
      <c r="H15" s="376"/>
      <c r="I15" s="376">
        <v>3</v>
      </c>
      <c r="J15" s="377"/>
      <c r="K15" s="377"/>
      <c r="L15" s="376"/>
      <c r="M15" s="376"/>
      <c r="N15" s="376"/>
      <c r="O15" s="377"/>
      <c r="P15" s="378"/>
      <c r="Q15" s="379"/>
      <c r="R15" s="376"/>
      <c r="S15" s="380"/>
      <c r="T15" s="381"/>
      <c r="U15" s="382"/>
      <c r="V15" s="381"/>
      <c r="W15" s="133"/>
      <c r="X15" s="133"/>
      <c r="Y15" s="133"/>
      <c r="Z15" s="133"/>
      <c r="AA15" s="133"/>
      <c r="AB15" s="382"/>
      <c r="AC15" s="381"/>
      <c r="AD15" s="133"/>
      <c r="AE15" s="133"/>
      <c r="AF15" s="133"/>
      <c r="AG15" s="133"/>
      <c r="AH15" s="133"/>
      <c r="AI15" s="382"/>
      <c r="AJ15" s="381"/>
      <c r="AK15" s="133"/>
      <c r="AL15" s="133"/>
      <c r="AM15" s="133"/>
      <c r="AN15" s="133"/>
      <c r="AO15" s="133"/>
      <c r="AP15" s="382"/>
      <c r="AQ15" s="381"/>
      <c r="AR15" s="133"/>
      <c r="AS15" s="133"/>
      <c r="AT15" s="133"/>
      <c r="AU15" s="133"/>
      <c r="AV15" s="133"/>
      <c r="AW15" s="382"/>
      <c r="AX15" s="536"/>
      <c r="AY15" s="20"/>
    </row>
    <row r="16" spans="1:128" ht="18.5">
      <c r="B16" s="130"/>
      <c r="C16" s="374" t="s">
        <v>179</v>
      </c>
      <c r="D16" s="1053"/>
      <c r="E16" s="428">
        <v>0.5</v>
      </c>
      <c r="F16" s="376">
        <v>1</v>
      </c>
      <c r="G16" s="376">
        <v>3</v>
      </c>
      <c r="H16" s="376"/>
      <c r="I16" s="376">
        <v>2</v>
      </c>
      <c r="J16" s="377"/>
      <c r="K16" s="377"/>
      <c r="L16" s="376"/>
      <c r="M16" s="376"/>
      <c r="N16" s="376"/>
      <c r="O16" s="377"/>
      <c r="P16" s="378"/>
      <c r="Q16" s="379"/>
      <c r="R16" s="376"/>
      <c r="S16" s="380"/>
      <c r="T16" s="488"/>
      <c r="U16" s="489"/>
      <c r="V16" s="488"/>
      <c r="W16" s="490"/>
      <c r="X16" s="490"/>
      <c r="Y16" s="490"/>
      <c r="Z16" s="490"/>
      <c r="AA16" s="490"/>
      <c r="AB16" s="489"/>
      <c r="AC16" s="488"/>
      <c r="AD16" s="490"/>
      <c r="AE16" s="490"/>
      <c r="AF16" s="490"/>
      <c r="AG16" s="490"/>
      <c r="AH16" s="490"/>
      <c r="AI16" s="489"/>
      <c r="AJ16" s="488"/>
      <c r="AK16" s="490"/>
      <c r="AL16" s="490"/>
      <c r="AM16" s="490"/>
      <c r="AN16" s="490"/>
      <c r="AO16" s="490"/>
      <c r="AP16" s="489"/>
      <c r="AQ16" s="488"/>
      <c r="AR16" s="490"/>
      <c r="AS16" s="490"/>
      <c r="AT16" s="490"/>
      <c r="AU16" s="490"/>
      <c r="AV16" s="490"/>
      <c r="AW16" s="489"/>
      <c r="AX16" s="537">
        <v>1</v>
      </c>
      <c r="AY16" s="20"/>
    </row>
    <row r="17" spans="1:128" ht="18.5">
      <c r="B17" s="130"/>
      <c r="C17" s="374" t="s">
        <v>180</v>
      </c>
      <c r="D17" s="1053"/>
      <c r="E17" s="428">
        <v>0.5</v>
      </c>
      <c r="F17" s="376">
        <v>2</v>
      </c>
      <c r="G17" s="376">
        <v>6</v>
      </c>
      <c r="H17" s="376"/>
      <c r="I17" s="376">
        <v>2</v>
      </c>
      <c r="J17" s="377"/>
      <c r="K17" s="377"/>
      <c r="L17" s="376"/>
      <c r="M17" s="376"/>
      <c r="N17" s="376"/>
      <c r="O17" s="377"/>
      <c r="P17" s="378"/>
      <c r="Q17" s="379"/>
      <c r="R17" s="376"/>
      <c r="S17" s="380"/>
      <c r="T17" s="488"/>
      <c r="U17" s="489"/>
      <c r="V17" s="488"/>
      <c r="W17" s="490"/>
      <c r="X17" s="490"/>
      <c r="Y17" s="490"/>
      <c r="Z17" s="490"/>
      <c r="AA17" s="490"/>
      <c r="AB17" s="489"/>
      <c r="AC17" s="488"/>
      <c r="AD17" s="490"/>
      <c r="AE17" s="490"/>
      <c r="AF17" s="490"/>
      <c r="AG17" s="490"/>
      <c r="AH17" s="490"/>
      <c r="AI17" s="489"/>
      <c r="AJ17" s="488"/>
      <c r="AK17" s="490"/>
      <c r="AL17" s="490"/>
      <c r="AM17" s="490"/>
      <c r="AN17" s="490"/>
      <c r="AO17" s="490"/>
      <c r="AP17" s="489"/>
      <c r="AQ17" s="488"/>
      <c r="AR17" s="490"/>
      <c r="AS17" s="490"/>
      <c r="AT17" s="490"/>
      <c r="AU17" s="490"/>
      <c r="AV17" s="490"/>
      <c r="AW17" s="489"/>
      <c r="AX17" s="537">
        <v>1</v>
      </c>
      <c r="AY17" s="20"/>
    </row>
    <row r="18" spans="1:128" ht="18.5">
      <c r="B18" s="130"/>
      <c r="C18" s="374" t="s">
        <v>181</v>
      </c>
      <c r="D18" s="1054"/>
      <c r="E18" s="428">
        <v>0.5</v>
      </c>
      <c r="F18" s="376">
        <v>1</v>
      </c>
      <c r="G18" s="376">
        <v>3</v>
      </c>
      <c r="H18" s="376"/>
      <c r="I18" s="376">
        <v>1</v>
      </c>
      <c r="J18" s="377"/>
      <c r="K18" s="377"/>
      <c r="L18" s="376"/>
      <c r="M18" s="376"/>
      <c r="N18" s="376"/>
      <c r="O18" s="377"/>
      <c r="P18" s="378"/>
      <c r="Q18" s="379"/>
      <c r="R18" s="376"/>
      <c r="S18" s="380"/>
      <c r="T18" s="488"/>
      <c r="U18" s="489"/>
      <c r="V18" s="488"/>
      <c r="W18" s="490"/>
      <c r="X18" s="490"/>
      <c r="Y18" s="490"/>
      <c r="Z18" s="490"/>
      <c r="AA18" s="490"/>
      <c r="AB18" s="489"/>
      <c r="AC18" s="488"/>
      <c r="AD18" s="490"/>
      <c r="AE18" s="490"/>
      <c r="AF18" s="490"/>
      <c r="AG18" s="490"/>
      <c r="AH18" s="490"/>
      <c r="AI18" s="489"/>
      <c r="AJ18" s="488"/>
      <c r="AK18" s="490"/>
      <c r="AL18" s="490"/>
      <c r="AM18" s="490"/>
      <c r="AN18" s="490"/>
      <c r="AO18" s="490"/>
      <c r="AP18" s="489"/>
      <c r="AQ18" s="488"/>
      <c r="AR18" s="490"/>
      <c r="AS18" s="490"/>
      <c r="AT18" s="490"/>
      <c r="AU18" s="490"/>
      <c r="AV18" s="490"/>
      <c r="AW18" s="489"/>
      <c r="AX18" s="537"/>
      <c r="AY18" s="20"/>
    </row>
    <row r="19" spans="1:128" ht="18.75" customHeight="1">
      <c r="B19" s="115">
        <v>11</v>
      </c>
      <c r="C19" s="253" t="s">
        <v>122</v>
      </c>
      <c r="D19" s="256"/>
      <c r="E19" s="254"/>
      <c r="F19" s="254"/>
      <c r="G19" s="254"/>
      <c r="H19" s="254"/>
      <c r="I19" s="254"/>
      <c r="J19" s="255"/>
      <c r="K19" s="255"/>
      <c r="L19" s="254"/>
      <c r="M19" s="493"/>
      <c r="N19" s="254"/>
      <c r="O19" s="254"/>
      <c r="P19" s="264"/>
      <c r="Q19" s="437"/>
      <c r="R19" s="254"/>
      <c r="S19" s="267"/>
      <c r="T19" s="265"/>
      <c r="U19" s="277"/>
      <c r="V19" s="265"/>
      <c r="W19" s="248"/>
      <c r="X19" s="248"/>
      <c r="Y19" s="248"/>
      <c r="Z19" s="248"/>
      <c r="AA19" s="248"/>
      <c r="AB19" s="277"/>
      <c r="AC19" s="265"/>
      <c r="AD19" s="248"/>
      <c r="AE19" s="248"/>
      <c r="AF19" s="248"/>
      <c r="AG19" s="248"/>
      <c r="AH19" s="248"/>
      <c r="AI19" s="277"/>
      <c r="AJ19" s="265"/>
      <c r="AK19" s="248"/>
      <c r="AL19" s="248"/>
      <c r="AM19" s="248"/>
      <c r="AN19" s="248"/>
      <c r="AO19" s="248"/>
      <c r="AP19" s="277"/>
      <c r="AQ19" s="265"/>
      <c r="AR19" s="248"/>
      <c r="AS19" s="248"/>
      <c r="AT19" s="248"/>
      <c r="AU19" s="248"/>
      <c r="AV19" s="248"/>
      <c r="AW19" s="277"/>
      <c r="AX19" s="538"/>
      <c r="AY19" s="141"/>
      <c r="AZ19" s="141"/>
      <c r="BA19" s="141"/>
      <c r="BB19" s="141"/>
    </row>
    <row r="20" spans="1:128" ht="18.75" customHeight="1">
      <c r="B20" s="121"/>
      <c r="C20" s="245" t="s">
        <v>95</v>
      </c>
      <c r="D20" s="1043">
        <v>0.5</v>
      </c>
      <c r="E20" s="1044">
        <v>1</v>
      </c>
      <c r="F20" s="1044">
        <v>0.5</v>
      </c>
      <c r="G20" s="1044">
        <v>1</v>
      </c>
      <c r="H20" s="246"/>
      <c r="I20" s="246"/>
      <c r="J20" s="247"/>
      <c r="K20" s="247"/>
      <c r="L20" s="1049">
        <v>1</v>
      </c>
      <c r="M20" s="492"/>
      <c r="N20" s="362"/>
      <c r="O20" s="246"/>
      <c r="P20" s="257"/>
      <c r="Q20" s="438"/>
      <c r="R20" s="246"/>
      <c r="S20" s="268"/>
      <c r="T20" s="266"/>
      <c r="U20" s="268"/>
      <c r="V20" s="266"/>
      <c r="W20" s="246"/>
      <c r="X20" s="246"/>
      <c r="Y20" s="246"/>
      <c r="Z20" s="246"/>
      <c r="AA20" s="246"/>
      <c r="AB20" s="268"/>
      <c r="AC20" s="266"/>
      <c r="AD20" s="246"/>
      <c r="AE20" s="246"/>
      <c r="AF20" s="246"/>
      <c r="AG20" s="246"/>
      <c r="AH20" s="246"/>
      <c r="AI20" s="268"/>
      <c r="AJ20" s="266"/>
      <c r="AK20" s="246"/>
      <c r="AL20" s="246"/>
      <c r="AM20" s="246"/>
      <c r="AN20" s="246"/>
      <c r="AO20" s="246"/>
      <c r="AP20" s="268"/>
      <c r="AQ20" s="266"/>
      <c r="AR20" s="246"/>
      <c r="AS20" s="246"/>
      <c r="AT20" s="246"/>
      <c r="AU20" s="246"/>
      <c r="AV20" s="246"/>
      <c r="AW20" s="268"/>
      <c r="AX20" s="539"/>
      <c r="AY20" s="141"/>
      <c r="AZ20" s="141"/>
      <c r="BA20" s="141"/>
      <c r="BB20" s="141"/>
    </row>
    <row r="21" spans="1:128" ht="18.75" customHeight="1">
      <c r="B21" s="121"/>
      <c r="C21" s="245" t="s">
        <v>96</v>
      </c>
      <c r="D21" s="1043"/>
      <c r="E21" s="1044"/>
      <c r="F21" s="1044"/>
      <c r="G21" s="1044"/>
      <c r="H21" s="246"/>
      <c r="I21" s="246"/>
      <c r="J21" s="247"/>
      <c r="K21" s="247"/>
      <c r="L21" s="1050"/>
      <c r="M21" s="492"/>
      <c r="N21" s="362"/>
      <c r="O21" s="246"/>
      <c r="P21" s="257"/>
      <c r="Q21" s="438"/>
      <c r="R21" s="246"/>
      <c r="S21" s="268"/>
      <c r="T21" s="266"/>
      <c r="U21" s="268"/>
      <c r="V21" s="266"/>
      <c r="W21" s="246"/>
      <c r="X21" s="246"/>
      <c r="Y21" s="246"/>
      <c r="Z21" s="246"/>
      <c r="AA21" s="246"/>
      <c r="AB21" s="268"/>
      <c r="AC21" s="266"/>
      <c r="AD21" s="246"/>
      <c r="AE21" s="246"/>
      <c r="AF21" s="246"/>
      <c r="AG21" s="246"/>
      <c r="AH21" s="246"/>
      <c r="AI21" s="268"/>
      <c r="AJ21" s="266"/>
      <c r="AK21" s="246"/>
      <c r="AL21" s="246"/>
      <c r="AM21" s="246"/>
      <c r="AN21" s="246"/>
      <c r="AO21" s="246"/>
      <c r="AP21" s="268"/>
      <c r="AQ21" s="266"/>
      <c r="AR21" s="246"/>
      <c r="AS21" s="246"/>
      <c r="AT21" s="246"/>
      <c r="AU21" s="246"/>
      <c r="AV21" s="246"/>
      <c r="AW21" s="268"/>
      <c r="AX21" s="539"/>
      <c r="AY21" s="141"/>
      <c r="AZ21" s="141"/>
      <c r="BA21" s="141"/>
      <c r="BB21" s="141"/>
    </row>
    <row r="22" spans="1:128" ht="18.75" customHeight="1">
      <c r="B22" s="121"/>
      <c r="C22" s="245" t="s">
        <v>97</v>
      </c>
      <c r="D22" s="1043"/>
      <c r="E22" s="1044"/>
      <c r="F22" s="1044"/>
      <c r="G22" s="1044"/>
      <c r="H22" s="246"/>
      <c r="I22" s="246"/>
      <c r="J22" s="247"/>
      <c r="K22" s="247"/>
      <c r="L22" s="1051"/>
      <c r="M22" s="492"/>
      <c r="N22" s="362"/>
      <c r="O22" s="246"/>
      <c r="P22" s="257"/>
      <c r="Q22" s="438"/>
      <c r="R22" s="246"/>
      <c r="S22" s="268"/>
      <c r="T22" s="266"/>
      <c r="U22" s="268"/>
      <c r="V22" s="266"/>
      <c r="W22" s="246"/>
      <c r="X22" s="246"/>
      <c r="Y22" s="246"/>
      <c r="Z22" s="246"/>
      <c r="AA22" s="246"/>
      <c r="AB22" s="268"/>
      <c r="AC22" s="266"/>
      <c r="AD22" s="246"/>
      <c r="AE22" s="246"/>
      <c r="AF22" s="246"/>
      <c r="AG22" s="246"/>
      <c r="AH22" s="246"/>
      <c r="AI22" s="268"/>
      <c r="AJ22" s="266"/>
      <c r="AK22" s="246"/>
      <c r="AL22" s="246"/>
      <c r="AM22" s="246"/>
      <c r="AN22" s="246"/>
      <c r="AO22" s="246"/>
      <c r="AP22" s="268"/>
      <c r="AQ22" s="266"/>
      <c r="AR22" s="246"/>
      <c r="AS22" s="246"/>
      <c r="AT22" s="246"/>
      <c r="AU22" s="246"/>
      <c r="AV22" s="246"/>
      <c r="AW22" s="268"/>
      <c r="AX22" s="539"/>
      <c r="AY22" s="141"/>
      <c r="AZ22" s="141"/>
      <c r="BA22" s="141"/>
      <c r="BB22" s="141"/>
    </row>
    <row r="23" spans="1:128" ht="18.75" customHeight="1">
      <c r="B23" s="121"/>
      <c r="C23" s="245" t="s">
        <v>98</v>
      </c>
      <c r="D23" s="1043"/>
      <c r="E23" s="1044"/>
      <c r="F23" s="1044"/>
      <c r="G23" s="1044"/>
      <c r="H23" s="246"/>
      <c r="I23" s="246"/>
      <c r="J23" s="247"/>
      <c r="K23" s="247"/>
      <c r="L23" s="246"/>
      <c r="M23" s="494"/>
      <c r="N23" s="246"/>
      <c r="O23" s="246"/>
      <c r="P23" s="257"/>
      <c r="Q23" s="438"/>
      <c r="R23" s="246"/>
      <c r="S23" s="268"/>
      <c r="T23" s="266"/>
      <c r="U23" s="268"/>
      <c r="V23" s="266"/>
      <c r="W23" s="246"/>
      <c r="X23" s="246"/>
      <c r="Y23" s="246"/>
      <c r="Z23" s="246"/>
      <c r="AA23" s="246"/>
      <c r="AB23" s="268"/>
      <c r="AC23" s="266"/>
      <c r="AD23" s="246"/>
      <c r="AE23" s="246"/>
      <c r="AF23" s="246"/>
      <c r="AG23" s="246"/>
      <c r="AH23" s="246"/>
      <c r="AI23" s="268"/>
      <c r="AJ23" s="266"/>
      <c r="AK23" s="246"/>
      <c r="AL23" s="246"/>
      <c r="AM23" s="246"/>
      <c r="AN23" s="246"/>
      <c r="AO23" s="246"/>
      <c r="AP23" s="268"/>
      <c r="AQ23" s="266"/>
      <c r="AR23" s="246"/>
      <c r="AS23" s="246"/>
      <c r="AT23" s="246"/>
      <c r="AU23" s="246"/>
      <c r="AV23" s="246"/>
      <c r="AW23" s="268"/>
      <c r="AX23" s="539">
        <v>1</v>
      </c>
      <c r="AY23" s="141"/>
      <c r="AZ23" s="141"/>
      <c r="BA23" s="141"/>
      <c r="BB23" s="141"/>
    </row>
    <row r="24" spans="1:128">
      <c r="B24" s="110">
        <v>11</v>
      </c>
      <c r="C24" s="342" t="s">
        <v>53</v>
      </c>
      <c r="D24" s="519">
        <v>0</v>
      </c>
      <c r="E24" s="518">
        <v>0</v>
      </c>
      <c r="F24" s="518">
        <v>0</v>
      </c>
      <c r="G24" s="518">
        <v>0</v>
      </c>
      <c r="H24" s="73"/>
      <c r="I24" s="73"/>
      <c r="J24" s="73"/>
      <c r="K24" s="73"/>
      <c r="L24" s="73"/>
      <c r="M24" s="73"/>
      <c r="N24" s="73"/>
      <c r="O24" s="73"/>
      <c r="P24" s="235"/>
      <c r="Q24" s="270"/>
      <c r="R24" s="73">
        <v>3</v>
      </c>
      <c r="S24" s="261"/>
      <c r="T24" s="249"/>
      <c r="U24" s="278"/>
      <c r="V24" s="236"/>
      <c r="W24" s="236"/>
      <c r="X24" s="23"/>
      <c r="Y24" s="62"/>
      <c r="Z24" s="73"/>
      <c r="AA24" s="282"/>
      <c r="AB24" s="237"/>
      <c r="AC24" s="249"/>
      <c r="AD24" s="23"/>
      <c r="AE24" s="23"/>
      <c r="AF24" s="65"/>
      <c r="AG24" s="65"/>
      <c r="AH24" s="65"/>
      <c r="AI24" s="278"/>
      <c r="AJ24" s="249"/>
      <c r="AK24" s="23"/>
      <c r="AL24" s="23"/>
      <c r="AM24" s="65"/>
      <c r="AN24" s="65"/>
      <c r="AO24" s="65"/>
      <c r="AP24" s="278"/>
      <c r="AQ24" s="249"/>
      <c r="AR24" s="73"/>
      <c r="AS24" s="284"/>
      <c r="AT24" s="284"/>
      <c r="AU24" s="284"/>
      <c r="AV24" s="65"/>
      <c r="AW24" s="278"/>
      <c r="AX24" s="540"/>
      <c r="AY24" s="20"/>
    </row>
    <row r="25" spans="1:128">
      <c r="B25" s="110">
        <v>12</v>
      </c>
      <c r="C25" s="342" t="s">
        <v>54</v>
      </c>
      <c r="D25" s="519">
        <v>1</v>
      </c>
      <c r="E25" s="73">
        <v>2</v>
      </c>
      <c r="F25" s="73">
        <v>1</v>
      </c>
      <c r="G25" s="73">
        <v>2</v>
      </c>
      <c r="H25" s="73"/>
      <c r="I25" s="62">
        <v>1</v>
      </c>
      <c r="J25" s="73"/>
      <c r="K25" s="73"/>
      <c r="L25" s="73"/>
      <c r="M25" s="73"/>
      <c r="N25" s="73"/>
      <c r="O25" s="73"/>
      <c r="P25" s="235"/>
      <c r="Q25" s="270"/>
      <c r="R25" s="73">
        <v>2</v>
      </c>
      <c r="S25" s="261"/>
      <c r="T25" s="236"/>
      <c r="U25" s="78"/>
      <c r="V25" s="236">
        <v>0.25</v>
      </c>
      <c r="W25" s="23">
        <v>0.5</v>
      </c>
      <c r="X25" s="23"/>
      <c r="Y25" s="62"/>
      <c r="Z25" s="73"/>
      <c r="AA25" s="282"/>
      <c r="AB25" s="237"/>
      <c r="AC25" s="236"/>
      <c r="AD25" s="23">
        <v>0.25</v>
      </c>
      <c r="AE25" s="23"/>
      <c r="AF25" s="23"/>
      <c r="AG25" s="23"/>
      <c r="AH25" s="23"/>
      <c r="AI25" s="78"/>
      <c r="AJ25" s="236"/>
      <c r="AK25" s="23">
        <v>0.25</v>
      </c>
      <c r="AL25" s="23">
        <v>0.25</v>
      </c>
      <c r="AM25" s="23"/>
      <c r="AN25" s="23"/>
      <c r="AO25" s="23"/>
      <c r="AP25" s="78"/>
      <c r="AQ25" s="236"/>
      <c r="AR25" s="23">
        <v>0.25</v>
      </c>
      <c r="AS25" s="73"/>
      <c r="AT25" s="73"/>
      <c r="AU25" s="73"/>
      <c r="AV25" s="206"/>
      <c r="AW25" s="78"/>
      <c r="AX25" s="541"/>
      <c r="AY25" s="20"/>
    </row>
    <row r="26" spans="1:128">
      <c r="B26" s="110">
        <v>13</v>
      </c>
      <c r="C26" s="342" t="s">
        <v>55</v>
      </c>
      <c r="D26" s="519">
        <v>0.5</v>
      </c>
      <c r="E26" s="518">
        <v>1</v>
      </c>
      <c r="F26" s="73">
        <v>1</v>
      </c>
      <c r="G26" s="73">
        <v>1</v>
      </c>
      <c r="H26" s="73"/>
      <c r="I26" s="73">
        <v>1</v>
      </c>
      <c r="J26" s="73"/>
      <c r="K26" s="73"/>
      <c r="L26" s="73"/>
      <c r="M26" s="73"/>
      <c r="N26" s="73"/>
      <c r="O26" s="73"/>
      <c r="P26" s="235"/>
      <c r="Q26" s="270"/>
      <c r="R26" s="518">
        <v>1</v>
      </c>
      <c r="S26" s="261"/>
      <c r="T26" s="236"/>
      <c r="U26" s="78"/>
      <c r="V26" s="23">
        <v>0.25</v>
      </c>
      <c r="W26" s="23">
        <v>0.25</v>
      </c>
      <c r="X26" s="23"/>
      <c r="Y26" s="62"/>
      <c r="Z26" s="73"/>
      <c r="AA26" s="282"/>
      <c r="AB26" s="237"/>
      <c r="AC26" s="236"/>
      <c r="AD26" s="23">
        <v>0.25</v>
      </c>
      <c r="AE26" s="23"/>
      <c r="AF26" s="23"/>
      <c r="AG26" s="23"/>
      <c r="AH26" s="23"/>
      <c r="AI26" s="78"/>
      <c r="AJ26" s="236"/>
      <c r="AK26" s="23">
        <v>0.25</v>
      </c>
      <c r="AL26" s="23">
        <v>0.25</v>
      </c>
      <c r="AM26" s="23"/>
      <c r="AN26" s="23"/>
      <c r="AO26" s="23"/>
      <c r="AP26" s="78"/>
      <c r="AQ26" s="236"/>
      <c r="AR26" s="23">
        <v>0.25</v>
      </c>
      <c r="AS26" s="73"/>
      <c r="AT26" s="73"/>
      <c r="AU26" s="73"/>
      <c r="AV26" s="206"/>
      <c r="AW26" s="78"/>
      <c r="AX26" s="541"/>
      <c r="AY26" s="20"/>
    </row>
    <row r="27" spans="1:128">
      <c r="B27" s="110">
        <v>14</v>
      </c>
      <c r="C27" s="342" t="s">
        <v>56</v>
      </c>
      <c r="D27" s="234"/>
      <c r="E27" s="73"/>
      <c r="F27" s="73"/>
      <c r="G27" s="73">
        <v>1</v>
      </c>
      <c r="H27" s="73"/>
      <c r="I27" s="73"/>
      <c r="J27" s="73"/>
      <c r="K27" s="73"/>
      <c r="L27" s="73"/>
      <c r="M27" s="73"/>
      <c r="N27" s="73"/>
      <c r="O27" s="73"/>
      <c r="P27" s="235"/>
      <c r="Q27" s="270"/>
      <c r="R27" s="73"/>
      <c r="S27" s="261"/>
      <c r="T27" s="236"/>
      <c r="U27" s="78"/>
      <c r="V27" s="236"/>
      <c r="W27" s="23"/>
      <c r="X27" s="23"/>
      <c r="Y27" s="73"/>
      <c r="Z27" s="73"/>
      <c r="AA27" s="282"/>
      <c r="AB27" s="237"/>
      <c r="AC27" s="236"/>
      <c r="AD27" s="23"/>
      <c r="AE27" s="23"/>
      <c r="AF27" s="23"/>
      <c r="AG27" s="23"/>
      <c r="AH27" s="23"/>
      <c r="AI27" s="78"/>
      <c r="AJ27" s="236"/>
      <c r="AK27" s="23"/>
      <c r="AL27" s="23"/>
      <c r="AM27" s="23"/>
      <c r="AN27" s="23"/>
      <c r="AO27" s="23"/>
      <c r="AP27" s="78"/>
      <c r="AQ27" s="236"/>
      <c r="AR27" s="23"/>
      <c r="AS27" s="65"/>
      <c r="AT27" s="65"/>
      <c r="AU27" s="65"/>
      <c r="AV27" s="23"/>
      <c r="AW27" s="78"/>
      <c r="AX27" s="541"/>
      <c r="AY27" s="20"/>
    </row>
    <row r="28" spans="1:128">
      <c r="B28" s="110">
        <v>15</v>
      </c>
      <c r="C28" s="342" t="s">
        <v>57</v>
      </c>
      <c r="D28" s="233"/>
      <c r="E28" s="62">
        <v>1</v>
      </c>
      <c r="F28" s="62"/>
      <c r="G28" s="62">
        <v>1</v>
      </c>
      <c r="H28" s="62"/>
      <c r="I28" s="62"/>
      <c r="J28" s="62"/>
      <c r="K28" s="62"/>
      <c r="L28" s="62"/>
      <c r="M28" s="62"/>
      <c r="N28" s="62"/>
      <c r="O28" s="62"/>
      <c r="P28" s="238">
        <v>3</v>
      </c>
      <c r="Q28" s="271"/>
      <c r="R28" s="62"/>
      <c r="S28" s="262"/>
      <c r="T28" s="239"/>
      <c r="U28" s="76"/>
      <c r="V28" s="239"/>
      <c r="W28" s="23"/>
      <c r="X28" s="22"/>
      <c r="Y28" s="64"/>
      <c r="Z28" s="64"/>
      <c r="AA28" s="76"/>
      <c r="AB28" s="240"/>
      <c r="AC28" s="239"/>
      <c r="AD28" s="22"/>
      <c r="AE28" s="22"/>
      <c r="AF28" s="22"/>
      <c r="AG28" s="22"/>
      <c r="AH28" s="22"/>
      <c r="AI28" s="76"/>
      <c r="AJ28" s="239"/>
      <c r="AK28" s="22"/>
      <c r="AL28" s="22"/>
      <c r="AM28" s="22"/>
      <c r="AN28" s="22"/>
      <c r="AO28" s="22"/>
      <c r="AP28" s="76"/>
      <c r="AQ28" s="239"/>
      <c r="AR28" s="22"/>
      <c r="AS28" s="22"/>
      <c r="AT28" s="22"/>
      <c r="AU28" s="22"/>
      <c r="AV28" s="22"/>
      <c r="AW28" s="76"/>
      <c r="AX28" s="534"/>
      <c r="AY28" s="20"/>
    </row>
    <row r="29" spans="1:128" ht="15" thickBot="1">
      <c r="B29" s="222">
        <v>16</v>
      </c>
      <c r="C29" s="552" t="s">
        <v>106</v>
      </c>
      <c r="D29" s="553">
        <v>0.5</v>
      </c>
      <c r="E29" s="554">
        <f>2+5</f>
        <v>7</v>
      </c>
      <c r="F29" s="554"/>
      <c r="G29" s="554">
        <f>2+2</f>
        <v>4</v>
      </c>
      <c r="H29" s="554"/>
      <c r="I29" s="554"/>
      <c r="J29" s="554"/>
      <c r="K29" s="554"/>
      <c r="L29" s="554">
        <v>0.5</v>
      </c>
      <c r="M29" s="554"/>
      <c r="N29" s="554"/>
      <c r="O29" s="554">
        <v>2</v>
      </c>
      <c r="P29" s="555"/>
      <c r="Q29" s="556"/>
      <c r="R29" s="554">
        <v>1</v>
      </c>
      <c r="S29" s="557"/>
      <c r="T29" s="558"/>
      <c r="U29" s="559"/>
      <c r="V29" s="558"/>
      <c r="W29" s="560"/>
      <c r="X29" s="560"/>
      <c r="Y29" s="561"/>
      <c r="Z29" s="560"/>
      <c r="AA29" s="559"/>
      <c r="AB29" s="562"/>
      <c r="AC29" s="558"/>
      <c r="AD29" s="560"/>
      <c r="AE29" s="560"/>
      <c r="AF29" s="560"/>
      <c r="AG29" s="560"/>
      <c r="AH29" s="560"/>
      <c r="AI29" s="559"/>
      <c r="AJ29" s="558"/>
      <c r="AK29" s="561">
        <v>0.25</v>
      </c>
      <c r="AL29" s="560"/>
      <c r="AM29" s="560"/>
      <c r="AN29" s="560"/>
      <c r="AO29" s="560"/>
      <c r="AP29" s="559"/>
      <c r="AQ29" s="558"/>
      <c r="AR29" s="560"/>
      <c r="AS29" s="560"/>
      <c r="AT29" s="560"/>
      <c r="AU29" s="560"/>
      <c r="AV29" s="560"/>
      <c r="AW29" s="559"/>
      <c r="AX29" s="563"/>
      <c r="AY29" s="20"/>
    </row>
    <row r="30" spans="1:128" ht="15" thickBot="1">
      <c r="B30" s="542"/>
      <c r="C30" s="543" t="s">
        <v>123</v>
      </c>
      <c r="D30" s="564">
        <f>15%*SUM(D3:D29)</f>
        <v>3.0749999999999997</v>
      </c>
      <c r="E30" s="564">
        <f t="shared" ref="E30:AX30" si="0">15%*SUM(E3:E29)</f>
        <v>4.2749999999999995</v>
      </c>
      <c r="F30" s="564">
        <f t="shared" si="0"/>
        <v>1.7249999999999999</v>
      </c>
      <c r="G30" s="564">
        <f t="shared" si="0"/>
        <v>4.3499999999999996</v>
      </c>
      <c r="H30" s="564">
        <f t="shared" si="0"/>
        <v>0</v>
      </c>
      <c r="I30" s="564">
        <f t="shared" si="0"/>
        <v>1.65</v>
      </c>
      <c r="J30" s="564">
        <f t="shared" si="0"/>
        <v>0</v>
      </c>
      <c r="K30" s="564">
        <f t="shared" si="0"/>
        <v>0</v>
      </c>
      <c r="L30" s="564">
        <f t="shared" si="0"/>
        <v>0.67499999999999993</v>
      </c>
      <c r="M30" s="564">
        <f t="shared" si="0"/>
        <v>7.4999999999999997E-2</v>
      </c>
      <c r="N30" s="564">
        <f t="shared" si="0"/>
        <v>0</v>
      </c>
      <c r="O30" s="564">
        <f t="shared" si="0"/>
        <v>0.3</v>
      </c>
      <c r="P30" s="564">
        <f t="shared" si="0"/>
        <v>0.44999999999999996</v>
      </c>
      <c r="Q30" s="564">
        <f t="shared" si="0"/>
        <v>0</v>
      </c>
      <c r="R30" s="564">
        <f t="shared" si="0"/>
        <v>2.1</v>
      </c>
      <c r="S30" s="564">
        <f t="shared" si="0"/>
        <v>0.6</v>
      </c>
      <c r="T30" s="564">
        <f t="shared" si="0"/>
        <v>0</v>
      </c>
      <c r="U30" s="564">
        <f t="shared" si="0"/>
        <v>0</v>
      </c>
      <c r="V30" s="564">
        <f t="shared" si="0"/>
        <v>7.4999999999999997E-2</v>
      </c>
      <c r="W30" s="564">
        <f t="shared" si="0"/>
        <v>0.11249999999999999</v>
      </c>
      <c r="X30" s="564">
        <f t="shared" si="0"/>
        <v>0</v>
      </c>
      <c r="Y30" s="564">
        <f t="shared" si="0"/>
        <v>0</v>
      </c>
      <c r="Z30" s="564">
        <f t="shared" si="0"/>
        <v>0</v>
      </c>
      <c r="AA30" s="564">
        <f t="shared" si="0"/>
        <v>0</v>
      </c>
      <c r="AB30" s="564">
        <f t="shared" si="0"/>
        <v>0</v>
      </c>
      <c r="AC30" s="564">
        <f t="shared" si="0"/>
        <v>0</v>
      </c>
      <c r="AD30" s="564">
        <f t="shared" si="0"/>
        <v>7.4999999999999997E-2</v>
      </c>
      <c r="AE30" s="564">
        <f t="shared" si="0"/>
        <v>0</v>
      </c>
      <c r="AF30" s="564">
        <f t="shared" si="0"/>
        <v>0</v>
      </c>
      <c r="AG30" s="564">
        <f t="shared" si="0"/>
        <v>0</v>
      </c>
      <c r="AH30" s="564">
        <f t="shared" si="0"/>
        <v>0</v>
      </c>
      <c r="AI30" s="564">
        <f t="shared" si="0"/>
        <v>0</v>
      </c>
      <c r="AJ30" s="564">
        <f t="shared" si="0"/>
        <v>0</v>
      </c>
      <c r="AK30" s="564">
        <f t="shared" si="0"/>
        <v>0.11249999999999999</v>
      </c>
      <c r="AL30" s="564">
        <f t="shared" si="0"/>
        <v>7.4999999999999997E-2</v>
      </c>
      <c r="AM30" s="564">
        <f t="shared" si="0"/>
        <v>0</v>
      </c>
      <c r="AN30" s="564">
        <f t="shared" si="0"/>
        <v>0</v>
      </c>
      <c r="AO30" s="564">
        <f t="shared" si="0"/>
        <v>0</v>
      </c>
      <c r="AP30" s="564">
        <f t="shared" si="0"/>
        <v>0</v>
      </c>
      <c r="AQ30" s="564">
        <f t="shared" si="0"/>
        <v>0</v>
      </c>
      <c r="AR30" s="564">
        <f t="shared" si="0"/>
        <v>7.4999999999999997E-2</v>
      </c>
      <c r="AS30" s="564">
        <f t="shared" si="0"/>
        <v>0</v>
      </c>
      <c r="AT30" s="564">
        <f t="shared" si="0"/>
        <v>0</v>
      </c>
      <c r="AU30" s="564">
        <f t="shared" si="0"/>
        <v>0</v>
      </c>
      <c r="AV30" s="564">
        <f t="shared" si="0"/>
        <v>0</v>
      </c>
      <c r="AW30" s="564">
        <f t="shared" si="0"/>
        <v>0</v>
      </c>
      <c r="AX30" s="564">
        <f t="shared" si="0"/>
        <v>0.44999999999999996</v>
      </c>
      <c r="AY30" s="20"/>
    </row>
    <row r="31" spans="1:128" s="120" customFormat="1">
      <c r="A31" s="20"/>
      <c r="B31" s="294">
        <v>5</v>
      </c>
      <c r="C31" s="347" t="s">
        <v>61</v>
      </c>
      <c r="D31" s="348"/>
      <c r="E31" s="254"/>
      <c r="F31" s="254"/>
      <c r="G31" s="254"/>
      <c r="H31" s="254"/>
      <c r="I31" s="254"/>
      <c r="J31" s="254"/>
      <c r="K31" s="254"/>
      <c r="L31" s="254"/>
      <c r="M31" s="254"/>
      <c r="N31" s="254"/>
      <c r="O31" s="254"/>
      <c r="P31" s="264"/>
      <c r="Q31" s="349"/>
      <c r="R31" s="254"/>
      <c r="S31" s="267"/>
      <c r="T31" s="350"/>
      <c r="U31" s="351"/>
      <c r="V31" s="350"/>
      <c r="W31" s="118"/>
      <c r="X31" s="118"/>
      <c r="Y31" s="118"/>
      <c r="Z31" s="118"/>
      <c r="AA31" s="118"/>
      <c r="AB31" s="351"/>
      <c r="AC31" s="350"/>
      <c r="AD31" s="118"/>
      <c r="AE31" s="118"/>
      <c r="AF31" s="118"/>
      <c r="AG31" s="118"/>
      <c r="AH31" s="118"/>
      <c r="AI31" s="351"/>
      <c r="AJ31" s="350"/>
      <c r="AK31" s="118"/>
      <c r="AL31" s="118"/>
      <c r="AM31" s="118"/>
      <c r="AN31" s="118"/>
      <c r="AO31" s="118"/>
      <c r="AP31" s="351"/>
      <c r="AQ31" s="350"/>
      <c r="AR31" s="118"/>
      <c r="AS31" s="118"/>
      <c r="AT31" s="118"/>
      <c r="AU31" s="118"/>
      <c r="AV31" s="118"/>
      <c r="AW31" s="351"/>
      <c r="AX31" s="352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</row>
    <row r="32" spans="1:128" s="128" customFormat="1">
      <c r="A32"/>
      <c r="B32" s="295">
        <v>5.0999999999999996</v>
      </c>
      <c r="C32" s="353" t="s">
        <v>40</v>
      </c>
      <c r="D32" s="266"/>
      <c r="E32" s="246"/>
      <c r="F32" s="246"/>
      <c r="G32" s="246"/>
      <c r="H32" s="246"/>
      <c r="I32" s="246"/>
      <c r="J32" s="354"/>
      <c r="K32" s="354"/>
      <c r="L32" s="354"/>
      <c r="M32" s="354"/>
      <c r="N32" s="354"/>
      <c r="O32" s="354"/>
      <c r="P32" s="355"/>
      <c r="Q32" s="356"/>
      <c r="R32" s="357"/>
      <c r="S32" s="358"/>
      <c r="T32" s="359">
        <v>6</v>
      </c>
      <c r="U32" s="360">
        <v>3</v>
      </c>
      <c r="V32" s="359"/>
      <c r="W32" s="127"/>
      <c r="X32" s="127"/>
      <c r="Y32" s="127"/>
      <c r="Z32" s="127"/>
      <c r="AA32" s="127"/>
      <c r="AB32" s="360"/>
      <c r="AC32" s="359"/>
      <c r="AD32" s="127"/>
      <c r="AE32" s="127"/>
      <c r="AF32" s="127"/>
      <c r="AG32" s="127"/>
      <c r="AH32" s="127"/>
      <c r="AI32" s="360"/>
      <c r="AJ32" s="359"/>
      <c r="AK32" s="127"/>
      <c r="AL32" s="127"/>
      <c r="AM32" s="127"/>
      <c r="AN32" s="127"/>
      <c r="AO32" s="127"/>
      <c r="AP32" s="360"/>
      <c r="AQ32" s="359"/>
      <c r="AR32" s="127"/>
      <c r="AS32" s="127"/>
      <c r="AT32" s="127"/>
      <c r="AU32" s="127"/>
      <c r="AV32" s="127"/>
      <c r="AW32" s="360"/>
      <c r="AX32" s="361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</row>
    <row r="33" spans="1:128" s="128" customFormat="1" ht="130.5">
      <c r="A33"/>
      <c r="B33" s="295">
        <v>5.2</v>
      </c>
      <c r="C33" s="353" t="s">
        <v>82</v>
      </c>
      <c r="D33" s="266">
        <v>2</v>
      </c>
      <c r="E33" s="246">
        <v>3</v>
      </c>
      <c r="F33" s="246">
        <v>2</v>
      </c>
      <c r="G33" s="246">
        <v>5</v>
      </c>
      <c r="H33" s="357"/>
      <c r="I33" s="246">
        <v>2</v>
      </c>
      <c r="J33" s="354"/>
      <c r="K33" s="246">
        <v>1</v>
      </c>
      <c r="L33" s="246"/>
      <c r="M33" s="246"/>
      <c r="N33" s="354"/>
      <c r="O33" s="354"/>
      <c r="P33" s="355"/>
      <c r="Q33" s="362"/>
      <c r="R33" s="246"/>
      <c r="S33" s="358"/>
      <c r="T33" s="359"/>
      <c r="U33" s="360"/>
      <c r="V33" s="359"/>
      <c r="W33" s="127"/>
      <c r="X33" s="127"/>
      <c r="Y33" s="127"/>
      <c r="Z33" s="127"/>
      <c r="AA33" s="127"/>
      <c r="AB33" s="360"/>
      <c r="AC33" s="359"/>
      <c r="AD33" s="127"/>
      <c r="AE33" s="127"/>
      <c r="AF33" s="127"/>
      <c r="AG33" s="127"/>
      <c r="AH33" s="127"/>
      <c r="AI33" s="360"/>
      <c r="AJ33" s="359"/>
      <c r="AK33" s="127"/>
      <c r="AL33" s="127"/>
      <c r="AM33" s="127"/>
      <c r="AN33" s="127"/>
      <c r="AO33" s="127"/>
      <c r="AP33" s="360"/>
      <c r="AQ33" s="359"/>
      <c r="AR33" s="127"/>
      <c r="AS33" s="127"/>
      <c r="AT33" s="127"/>
      <c r="AU33" s="127"/>
      <c r="AV33" s="127"/>
      <c r="AW33" s="360"/>
      <c r="AX33" s="361"/>
      <c r="AY33" s="129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</row>
    <row r="34" spans="1:128" s="135" customFormat="1" hidden="1">
      <c r="A34" s="20"/>
      <c r="B34" s="363">
        <v>6</v>
      </c>
      <c r="C34" s="364" t="s">
        <v>83</v>
      </c>
      <c r="D34" s="365"/>
      <c r="E34" s="366"/>
      <c r="F34" s="366"/>
      <c r="G34" s="366"/>
      <c r="H34" s="366"/>
      <c r="I34" s="366"/>
      <c r="J34" s="366"/>
      <c r="K34" s="366"/>
      <c r="L34" s="366"/>
      <c r="M34" s="366"/>
      <c r="N34" s="366"/>
      <c r="O34" s="366"/>
      <c r="P34" s="367"/>
      <c r="Q34" s="368"/>
      <c r="R34" s="366"/>
      <c r="S34" s="369"/>
      <c r="T34" s="370"/>
      <c r="U34" s="371"/>
      <c r="V34" s="370"/>
      <c r="W34" s="198"/>
      <c r="X34" s="198"/>
      <c r="Y34" s="198"/>
      <c r="Z34" s="198"/>
      <c r="AA34" s="198"/>
      <c r="AB34" s="371"/>
      <c r="AC34" s="370"/>
      <c r="AD34" s="198"/>
      <c r="AE34" s="198"/>
      <c r="AF34" s="198"/>
      <c r="AG34" s="198"/>
      <c r="AH34" s="198"/>
      <c r="AI34" s="371"/>
      <c r="AJ34" s="370"/>
      <c r="AK34" s="198"/>
      <c r="AL34" s="198"/>
      <c r="AM34" s="198"/>
      <c r="AN34" s="198"/>
      <c r="AO34" s="198"/>
      <c r="AP34" s="371"/>
      <c r="AQ34" s="370"/>
      <c r="AR34" s="198"/>
      <c r="AS34" s="198"/>
      <c r="AT34" s="198"/>
      <c r="AU34" s="198"/>
      <c r="AV34" s="198"/>
      <c r="AW34" s="371"/>
      <c r="AX34" s="372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</row>
    <row r="35" spans="1:128" ht="18.75" hidden="1" customHeight="1">
      <c r="B35" s="373">
        <v>6.1</v>
      </c>
      <c r="C35" s="374" t="s">
        <v>84</v>
      </c>
      <c r="D35" s="375"/>
      <c r="E35" s="376"/>
      <c r="F35" s="376"/>
      <c r="G35" s="376"/>
      <c r="H35" s="376"/>
      <c r="I35" s="376"/>
      <c r="J35" s="377"/>
      <c r="K35" s="377"/>
      <c r="L35" s="376"/>
      <c r="M35" s="376"/>
      <c r="N35" s="376"/>
      <c r="O35" s="377"/>
      <c r="P35" s="378"/>
      <c r="Q35" s="379"/>
      <c r="R35" s="376"/>
      <c r="S35" s="380"/>
      <c r="T35" s="381"/>
      <c r="U35" s="382"/>
      <c r="V35" s="381"/>
      <c r="W35" s="133"/>
      <c r="X35" s="133"/>
      <c r="Y35" s="133"/>
      <c r="Z35" s="133"/>
      <c r="AA35" s="133"/>
      <c r="AB35" s="382"/>
      <c r="AC35" s="381"/>
      <c r="AD35" s="133"/>
      <c r="AE35" s="133"/>
      <c r="AF35" s="133"/>
      <c r="AG35" s="133"/>
      <c r="AH35" s="133"/>
      <c r="AI35" s="382"/>
      <c r="AJ35" s="381"/>
      <c r="AK35" s="133"/>
      <c r="AL35" s="133"/>
      <c r="AM35" s="133"/>
      <c r="AN35" s="133"/>
      <c r="AO35" s="133"/>
      <c r="AP35" s="382"/>
      <c r="AQ35" s="381"/>
      <c r="AR35" s="133"/>
      <c r="AS35" s="133"/>
      <c r="AT35" s="133"/>
      <c r="AU35" s="133"/>
      <c r="AV35" s="133"/>
      <c r="AW35" s="382"/>
      <c r="AX35" s="383"/>
      <c r="AY35" s="20"/>
    </row>
    <row r="36" spans="1:128" ht="87" hidden="1" customHeight="1">
      <c r="B36" s="373"/>
      <c r="C36" s="374" t="s">
        <v>85</v>
      </c>
      <c r="D36" s="375"/>
      <c r="E36" s="376"/>
      <c r="F36" s="376"/>
      <c r="G36" s="376"/>
      <c r="H36" s="376"/>
      <c r="I36" s="376"/>
      <c r="J36" s="377"/>
      <c r="K36" s="377"/>
      <c r="L36" s="376"/>
      <c r="M36" s="376"/>
      <c r="N36" s="376"/>
      <c r="O36" s="377"/>
      <c r="P36" s="378"/>
      <c r="Q36" s="379"/>
      <c r="R36" s="376"/>
      <c r="S36" s="380"/>
      <c r="T36" s="381"/>
      <c r="U36" s="382"/>
      <c r="V36" s="381"/>
      <c r="W36" s="133"/>
      <c r="X36" s="133"/>
      <c r="Y36" s="133"/>
      <c r="Z36" s="133"/>
      <c r="AA36" s="133"/>
      <c r="AB36" s="382"/>
      <c r="AC36" s="381"/>
      <c r="AD36" s="133"/>
      <c r="AE36" s="133"/>
      <c r="AF36" s="133"/>
      <c r="AG36" s="133"/>
      <c r="AH36" s="133"/>
      <c r="AI36" s="382"/>
      <c r="AJ36" s="381"/>
      <c r="AK36" s="133"/>
      <c r="AL36" s="133"/>
      <c r="AM36" s="133"/>
      <c r="AN36" s="133"/>
      <c r="AO36" s="133"/>
      <c r="AP36" s="382"/>
      <c r="AQ36" s="381"/>
      <c r="AR36" s="133"/>
      <c r="AS36" s="133"/>
      <c r="AT36" s="133"/>
      <c r="AU36" s="133"/>
      <c r="AV36" s="133"/>
      <c r="AW36" s="382"/>
      <c r="AX36" s="383"/>
      <c r="AY36" s="20"/>
    </row>
    <row r="37" spans="1:128" ht="18.5" hidden="1">
      <c r="B37" s="373">
        <v>6.2</v>
      </c>
      <c r="C37" s="374" t="s">
        <v>86</v>
      </c>
      <c r="D37" s="384"/>
      <c r="E37" s="376"/>
      <c r="F37" s="376"/>
      <c r="G37" s="376"/>
      <c r="H37" s="376"/>
      <c r="I37" s="376"/>
      <c r="J37" s="377"/>
      <c r="K37" s="377"/>
      <c r="L37" s="376"/>
      <c r="M37" s="376"/>
      <c r="N37" s="376"/>
      <c r="O37" s="377"/>
      <c r="P37" s="378"/>
      <c r="Q37" s="379"/>
      <c r="R37" s="376"/>
      <c r="S37" s="380"/>
      <c r="T37" s="381"/>
      <c r="U37" s="382"/>
      <c r="V37" s="381"/>
      <c r="W37" s="133"/>
      <c r="X37" s="133"/>
      <c r="Y37" s="133"/>
      <c r="Z37" s="133"/>
      <c r="AA37" s="133"/>
      <c r="AB37" s="382"/>
      <c r="AC37" s="381"/>
      <c r="AD37" s="133"/>
      <c r="AE37" s="133"/>
      <c r="AF37" s="133"/>
      <c r="AG37" s="133"/>
      <c r="AH37" s="133"/>
      <c r="AI37" s="382"/>
      <c r="AJ37" s="381"/>
      <c r="AK37" s="133"/>
      <c r="AL37" s="133"/>
      <c r="AM37" s="133"/>
      <c r="AN37" s="133"/>
      <c r="AO37" s="133"/>
      <c r="AP37" s="382"/>
      <c r="AQ37" s="381"/>
      <c r="AR37" s="133"/>
      <c r="AS37" s="133"/>
      <c r="AT37" s="133"/>
      <c r="AU37" s="133"/>
      <c r="AV37" s="133"/>
      <c r="AW37" s="382"/>
      <c r="AX37" s="383"/>
      <c r="AY37" s="20"/>
    </row>
    <row r="38" spans="1:128" ht="18.5" hidden="1">
      <c r="B38" s="373"/>
      <c r="C38" s="374" t="s">
        <v>87</v>
      </c>
      <c r="D38" s="384"/>
      <c r="E38" s="376"/>
      <c r="F38" s="376"/>
      <c r="G38" s="376"/>
      <c r="H38" s="376"/>
      <c r="I38" s="376"/>
      <c r="J38" s="377"/>
      <c r="K38" s="377"/>
      <c r="L38" s="376"/>
      <c r="M38" s="376"/>
      <c r="N38" s="376"/>
      <c r="O38" s="377"/>
      <c r="P38" s="378"/>
      <c r="Q38" s="379"/>
      <c r="R38" s="376"/>
      <c r="S38" s="380"/>
      <c r="T38" s="381"/>
      <c r="U38" s="382"/>
      <c r="V38" s="381"/>
      <c r="W38" s="133"/>
      <c r="X38" s="133"/>
      <c r="Y38" s="133"/>
      <c r="Z38" s="133"/>
      <c r="AA38" s="133"/>
      <c r="AB38" s="382"/>
      <c r="AC38" s="381"/>
      <c r="AD38" s="133"/>
      <c r="AE38" s="133"/>
      <c r="AF38" s="133"/>
      <c r="AG38" s="133"/>
      <c r="AH38" s="133"/>
      <c r="AI38" s="382"/>
      <c r="AJ38" s="381"/>
      <c r="AK38" s="133"/>
      <c r="AL38" s="133"/>
      <c r="AM38" s="133"/>
      <c r="AN38" s="133"/>
      <c r="AO38" s="133"/>
      <c r="AP38" s="382"/>
      <c r="AQ38" s="381"/>
      <c r="AR38" s="133"/>
      <c r="AS38" s="133"/>
      <c r="AT38" s="133"/>
      <c r="AU38" s="133"/>
      <c r="AV38" s="133"/>
      <c r="AW38" s="382"/>
      <c r="AX38" s="383"/>
      <c r="AY38" s="20"/>
    </row>
    <row r="39" spans="1:128" ht="18.5" hidden="1">
      <c r="B39" s="385">
        <v>7</v>
      </c>
      <c r="C39" s="386" t="s">
        <v>88</v>
      </c>
      <c r="D39" s="387"/>
      <c r="E39" s="388"/>
      <c r="F39" s="388"/>
      <c r="G39" s="388"/>
      <c r="H39" s="388"/>
      <c r="I39" s="388"/>
      <c r="J39" s="389"/>
      <c r="K39" s="389"/>
      <c r="L39" s="388"/>
      <c r="M39" s="388"/>
      <c r="N39" s="388"/>
      <c r="O39" s="389"/>
      <c r="P39" s="390"/>
      <c r="Q39" s="391"/>
      <c r="R39" s="388"/>
      <c r="S39" s="392"/>
      <c r="T39" s="393"/>
      <c r="U39" s="394"/>
      <c r="V39" s="393"/>
      <c r="W39" s="395"/>
      <c r="X39" s="395"/>
      <c r="Y39" s="395"/>
      <c r="Z39" s="395"/>
      <c r="AA39" s="395"/>
      <c r="AB39" s="394"/>
      <c r="AC39" s="393"/>
      <c r="AD39" s="395"/>
      <c r="AE39" s="395"/>
      <c r="AF39" s="395"/>
      <c r="AG39" s="395"/>
      <c r="AH39" s="395"/>
      <c r="AI39" s="394"/>
      <c r="AJ39" s="393"/>
      <c r="AK39" s="395"/>
      <c r="AL39" s="395"/>
      <c r="AM39" s="395"/>
      <c r="AN39" s="395"/>
      <c r="AO39" s="395"/>
      <c r="AP39" s="394"/>
      <c r="AQ39" s="393"/>
      <c r="AR39" s="395"/>
      <c r="AS39" s="395"/>
      <c r="AT39" s="395"/>
      <c r="AU39" s="395"/>
      <c r="AV39" s="395"/>
      <c r="AW39" s="394"/>
      <c r="AX39" s="396"/>
      <c r="AY39" s="20"/>
    </row>
    <row r="40" spans="1:128" ht="72.5" hidden="1">
      <c r="B40" s="397"/>
      <c r="C40" s="398" t="s">
        <v>89</v>
      </c>
      <c r="D40" s="399"/>
      <c r="E40" s="400"/>
      <c r="F40" s="401"/>
      <c r="G40" s="401"/>
      <c r="H40" s="401"/>
      <c r="I40" s="401"/>
      <c r="J40" s="402"/>
      <c r="K40" s="402"/>
      <c r="L40" s="401"/>
      <c r="M40" s="401"/>
      <c r="N40" s="401"/>
      <c r="O40" s="402"/>
      <c r="P40" s="403"/>
      <c r="Q40" s="400"/>
      <c r="R40" s="401"/>
      <c r="S40" s="404"/>
      <c r="T40" s="405"/>
      <c r="U40" s="406"/>
      <c r="V40" s="405"/>
      <c r="W40" s="179"/>
      <c r="X40" s="179"/>
      <c r="Y40" s="179"/>
      <c r="Z40" s="179"/>
      <c r="AA40" s="179"/>
      <c r="AB40" s="406"/>
      <c r="AC40" s="405"/>
      <c r="AD40" s="179"/>
      <c r="AE40" s="179"/>
      <c r="AF40" s="179"/>
      <c r="AG40" s="179"/>
      <c r="AH40" s="179"/>
      <c r="AI40" s="406"/>
      <c r="AJ40" s="405"/>
      <c r="AK40" s="179"/>
      <c r="AL40" s="179"/>
      <c r="AM40" s="179"/>
      <c r="AN40" s="179"/>
      <c r="AO40" s="179"/>
      <c r="AP40" s="406"/>
      <c r="AQ40" s="405"/>
      <c r="AR40" s="179"/>
      <c r="AS40" s="179"/>
      <c r="AT40" s="179"/>
      <c r="AU40" s="179"/>
      <c r="AV40" s="179"/>
      <c r="AW40" s="406"/>
      <c r="AX40" s="407"/>
      <c r="AY40" s="20"/>
    </row>
    <row r="41" spans="1:128" ht="29" hidden="1">
      <c r="B41" s="397"/>
      <c r="C41" s="398" t="s">
        <v>43</v>
      </c>
      <c r="D41" s="399"/>
      <c r="E41" s="400"/>
      <c r="F41" s="401"/>
      <c r="G41" s="401"/>
      <c r="H41" s="401"/>
      <c r="I41" s="401"/>
      <c r="J41" s="402"/>
      <c r="K41" s="402"/>
      <c r="L41" s="401"/>
      <c r="M41" s="401"/>
      <c r="N41" s="401"/>
      <c r="O41" s="402"/>
      <c r="P41" s="403"/>
      <c r="Q41" s="400"/>
      <c r="R41" s="401"/>
      <c r="S41" s="404"/>
      <c r="T41" s="405"/>
      <c r="U41" s="406"/>
      <c r="V41" s="405"/>
      <c r="W41" s="179"/>
      <c r="X41" s="179"/>
      <c r="Y41" s="179"/>
      <c r="Z41" s="179"/>
      <c r="AA41" s="179"/>
      <c r="AB41" s="406"/>
      <c r="AC41" s="405"/>
      <c r="AD41" s="179"/>
      <c r="AE41" s="179"/>
      <c r="AF41" s="179"/>
      <c r="AG41" s="179"/>
      <c r="AH41" s="179"/>
      <c r="AI41" s="406"/>
      <c r="AJ41" s="405"/>
      <c r="AK41" s="179"/>
      <c r="AL41" s="179"/>
      <c r="AM41" s="179"/>
      <c r="AN41" s="179"/>
      <c r="AO41" s="179"/>
      <c r="AP41" s="406"/>
      <c r="AQ41" s="405"/>
      <c r="AR41" s="179"/>
      <c r="AS41" s="179"/>
      <c r="AT41" s="179"/>
      <c r="AU41" s="179"/>
      <c r="AV41" s="179"/>
      <c r="AW41" s="406"/>
      <c r="AX41" s="407"/>
      <c r="AY41" s="20"/>
    </row>
    <row r="42" spans="1:128" ht="18.5" hidden="1">
      <c r="B42" s="397"/>
      <c r="C42" s="398" t="s">
        <v>44</v>
      </c>
      <c r="D42" s="399"/>
      <c r="E42" s="400"/>
      <c r="F42" s="401"/>
      <c r="G42" s="401"/>
      <c r="H42" s="401"/>
      <c r="I42" s="401"/>
      <c r="J42" s="402"/>
      <c r="K42" s="402"/>
      <c r="L42" s="401"/>
      <c r="M42" s="401"/>
      <c r="N42" s="401"/>
      <c r="O42" s="402"/>
      <c r="P42" s="403"/>
      <c r="Q42" s="400"/>
      <c r="R42" s="401"/>
      <c r="S42" s="404"/>
      <c r="T42" s="405"/>
      <c r="U42" s="406"/>
      <c r="V42" s="405"/>
      <c r="W42" s="179"/>
      <c r="X42" s="179"/>
      <c r="Y42" s="179"/>
      <c r="Z42" s="179"/>
      <c r="AA42" s="179"/>
      <c r="AB42" s="406"/>
      <c r="AC42" s="405"/>
      <c r="AD42" s="179"/>
      <c r="AE42" s="179"/>
      <c r="AF42" s="179"/>
      <c r="AG42" s="179"/>
      <c r="AH42" s="179"/>
      <c r="AI42" s="406"/>
      <c r="AJ42" s="405"/>
      <c r="AK42" s="179"/>
      <c r="AL42" s="179"/>
      <c r="AM42" s="179"/>
      <c r="AN42" s="179"/>
      <c r="AO42" s="179"/>
      <c r="AP42" s="406"/>
      <c r="AQ42" s="405"/>
      <c r="AR42" s="179"/>
      <c r="AS42" s="179"/>
      <c r="AT42" s="179"/>
      <c r="AU42" s="179"/>
      <c r="AV42" s="179"/>
      <c r="AW42" s="406"/>
      <c r="AX42" s="407"/>
      <c r="AY42" s="20"/>
    </row>
    <row r="43" spans="1:128" ht="18.5" hidden="1">
      <c r="B43" s="397"/>
      <c r="C43" s="398" t="s">
        <v>45</v>
      </c>
      <c r="D43" s="399"/>
      <c r="E43" s="400"/>
      <c r="F43" s="401"/>
      <c r="G43" s="401"/>
      <c r="H43" s="401"/>
      <c r="I43" s="401"/>
      <c r="J43" s="402"/>
      <c r="K43" s="402"/>
      <c r="L43" s="401"/>
      <c r="M43" s="401"/>
      <c r="N43" s="401"/>
      <c r="O43" s="402"/>
      <c r="P43" s="403"/>
      <c r="Q43" s="400"/>
      <c r="R43" s="401"/>
      <c r="S43" s="404"/>
      <c r="T43" s="405"/>
      <c r="U43" s="406"/>
      <c r="V43" s="405"/>
      <c r="W43" s="179"/>
      <c r="X43" s="179"/>
      <c r="Y43" s="179"/>
      <c r="Z43" s="179"/>
      <c r="AA43" s="179"/>
      <c r="AB43" s="406"/>
      <c r="AC43" s="405"/>
      <c r="AD43" s="179"/>
      <c r="AE43" s="179"/>
      <c r="AF43" s="179"/>
      <c r="AG43" s="179"/>
      <c r="AH43" s="179"/>
      <c r="AI43" s="406"/>
      <c r="AJ43" s="405"/>
      <c r="AK43" s="179"/>
      <c r="AL43" s="179"/>
      <c r="AM43" s="179"/>
      <c r="AN43" s="179"/>
      <c r="AO43" s="179"/>
      <c r="AP43" s="406"/>
      <c r="AQ43" s="405"/>
      <c r="AR43" s="179"/>
      <c r="AS43" s="179"/>
      <c r="AT43" s="179"/>
      <c r="AU43" s="179"/>
      <c r="AV43" s="179"/>
      <c r="AW43" s="406"/>
      <c r="AX43" s="407"/>
      <c r="AY43" s="20"/>
    </row>
    <row r="44" spans="1:128" ht="18.5" hidden="1">
      <c r="B44" s="397"/>
      <c r="C44" s="398" t="s">
        <v>46</v>
      </c>
      <c r="D44" s="399"/>
      <c r="E44" s="400"/>
      <c r="F44" s="401"/>
      <c r="G44" s="401"/>
      <c r="H44" s="401"/>
      <c r="I44" s="401"/>
      <c r="J44" s="402"/>
      <c r="K44" s="402"/>
      <c r="L44" s="401"/>
      <c r="M44" s="401"/>
      <c r="N44" s="401"/>
      <c r="O44" s="402"/>
      <c r="P44" s="403"/>
      <c r="Q44" s="400"/>
      <c r="R44" s="401"/>
      <c r="S44" s="404"/>
      <c r="T44" s="405"/>
      <c r="U44" s="406"/>
      <c r="V44" s="405"/>
      <c r="W44" s="179"/>
      <c r="X44" s="179"/>
      <c r="Y44" s="179"/>
      <c r="Z44" s="179"/>
      <c r="AA44" s="179"/>
      <c r="AB44" s="406"/>
      <c r="AC44" s="405"/>
      <c r="AD44" s="179"/>
      <c r="AE44" s="179"/>
      <c r="AF44" s="179"/>
      <c r="AG44" s="179"/>
      <c r="AH44" s="179"/>
      <c r="AI44" s="406"/>
      <c r="AJ44" s="405"/>
      <c r="AK44" s="179"/>
      <c r="AL44" s="179"/>
      <c r="AM44" s="179"/>
      <c r="AN44" s="179"/>
      <c r="AO44" s="179"/>
      <c r="AP44" s="406"/>
      <c r="AQ44" s="405"/>
      <c r="AR44" s="179"/>
      <c r="AS44" s="179"/>
      <c r="AT44" s="179"/>
      <c r="AU44" s="179"/>
      <c r="AV44" s="179"/>
      <c r="AW44" s="406"/>
      <c r="AX44" s="407"/>
      <c r="AY44" s="20"/>
    </row>
    <row r="45" spans="1:128" ht="18.5" hidden="1">
      <c r="B45" s="397"/>
      <c r="C45" s="398" t="s">
        <v>47</v>
      </c>
      <c r="D45" s="399"/>
      <c r="E45" s="400"/>
      <c r="F45" s="401"/>
      <c r="G45" s="401"/>
      <c r="H45" s="401"/>
      <c r="I45" s="401"/>
      <c r="J45" s="402"/>
      <c r="K45" s="402"/>
      <c r="L45" s="401"/>
      <c r="M45" s="401"/>
      <c r="N45" s="401"/>
      <c r="O45" s="402"/>
      <c r="P45" s="403"/>
      <c r="Q45" s="400"/>
      <c r="R45" s="401"/>
      <c r="S45" s="404"/>
      <c r="T45" s="405"/>
      <c r="U45" s="406"/>
      <c r="V45" s="405"/>
      <c r="W45" s="179"/>
      <c r="X45" s="179"/>
      <c r="Y45" s="179"/>
      <c r="Z45" s="179"/>
      <c r="AA45" s="179"/>
      <c r="AB45" s="406"/>
      <c r="AC45" s="405"/>
      <c r="AD45" s="179"/>
      <c r="AE45" s="179"/>
      <c r="AF45" s="179"/>
      <c r="AG45" s="179"/>
      <c r="AH45" s="179"/>
      <c r="AI45" s="406"/>
      <c r="AJ45" s="405"/>
      <c r="AK45" s="179"/>
      <c r="AL45" s="179"/>
      <c r="AM45" s="179"/>
      <c r="AN45" s="179"/>
      <c r="AO45" s="179"/>
      <c r="AP45" s="406"/>
      <c r="AQ45" s="405"/>
      <c r="AR45" s="179"/>
      <c r="AS45" s="179"/>
      <c r="AT45" s="179"/>
      <c r="AU45" s="179"/>
      <c r="AV45" s="179"/>
      <c r="AW45" s="406"/>
      <c r="AX45" s="407"/>
      <c r="AY45" s="20"/>
    </row>
    <row r="46" spans="1:128" ht="18.5" hidden="1">
      <c r="B46" s="397"/>
      <c r="C46" s="398" t="s">
        <v>48</v>
      </c>
      <c r="D46" s="399"/>
      <c r="E46" s="400"/>
      <c r="F46" s="401"/>
      <c r="G46" s="401"/>
      <c r="H46" s="401"/>
      <c r="I46" s="401"/>
      <c r="J46" s="402"/>
      <c r="K46" s="402"/>
      <c r="L46" s="401"/>
      <c r="M46" s="401"/>
      <c r="N46" s="401"/>
      <c r="O46" s="402"/>
      <c r="P46" s="403"/>
      <c r="Q46" s="400"/>
      <c r="R46" s="401"/>
      <c r="S46" s="404"/>
      <c r="T46" s="405"/>
      <c r="U46" s="406"/>
      <c r="V46" s="405"/>
      <c r="W46" s="179"/>
      <c r="X46" s="179"/>
      <c r="Y46" s="179"/>
      <c r="Z46" s="179"/>
      <c r="AA46" s="179"/>
      <c r="AB46" s="406"/>
      <c r="AC46" s="405"/>
      <c r="AD46" s="179"/>
      <c r="AE46" s="179"/>
      <c r="AF46" s="179"/>
      <c r="AG46" s="179"/>
      <c r="AH46" s="179"/>
      <c r="AI46" s="406"/>
      <c r="AJ46" s="405"/>
      <c r="AK46" s="179"/>
      <c r="AL46" s="179"/>
      <c r="AM46" s="179"/>
      <c r="AN46" s="179"/>
      <c r="AO46" s="179"/>
      <c r="AP46" s="406"/>
      <c r="AQ46" s="405"/>
      <c r="AR46" s="179"/>
      <c r="AS46" s="179"/>
      <c r="AT46" s="179"/>
      <c r="AU46" s="179"/>
      <c r="AV46" s="179"/>
      <c r="AW46" s="406"/>
      <c r="AX46" s="407"/>
      <c r="AY46" s="20"/>
    </row>
    <row r="47" spans="1:128" ht="18.5" hidden="1">
      <c r="B47" s="397"/>
      <c r="C47" s="398" t="s">
        <v>49</v>
      </c>
      <c r="D47" s="399"/>
      <c r="E47" s="400"/>
      <c r="F47" s="401"/>
      <c r="G47" s="401"/>
      <c r="H47" s="401"/>
      <c r="I47" s="401"/>
      <c r="J47" s="402"/>
      <c r="K47" s="402"/>
      <c r="L47" s="401"/>
      <c r="M47" s="401"/>
      <c r="N47" s="401"/>
      <c r="O47" s="402"/>
      <c r="P47" s="403"/>
      <c r="Q47" s="400"/>
      <c r="R47" s="401"/>
      <c r="S47" s="404"/>
      <c r="T47" s="405"/>
      <c r="U47" s="406"/>
      <c r="V47" s="405"/>
      <c r="W47" s="179"/>
      <c r="X47" s="179"/>
      <c r="Y47" s="179"/>
      <c r="Z47" s="179"/>
      <c r="AA47" s="179"/>
      <c r="AB47" s="406"/>
      <c r="AC47" s="405"/>
      <c r="AD47" s="179"/>
      <c r="AE47" s="179"/>
      <c r="AF47" s="179"/>
      <c r="AG47" s="179"/>
      <c r="AH47" s="179"/>
      <c r="AI47" s="406"/>
      <c r="AJ47" s="405"/>
      <c r="AK47" s="179"/>
      <c r="AL47" s="179"/>
      <c r="AM47" s="179"/>
      <c r="AN47" s="179"/>
      <c r="AO47" s="179"/>
      <c r="AP47" s="406"/>
      <c r="AQ47" s="405"/>
      <c r="AR47" s="179"/>
      <c r="AS47" s="179"/>
      <c r="AT47" s="179"/>
      <c r="AU47" s="179"/>
      <c r="AV47" s="179"/>
      <c r="AW47" s="406"/>
      <c r="AX47" s="407"/>
      <c r="AY47" s="20"/>
    </row>
    <row r="48" spans="1:128" ht="18.5" hidden="1">
      <c r="B48" s="397"/>
      <c r="C48" s="398" t="s">
        <v>50</v>
      </c>
      <c r="D48" s="399"/>
      <c r="E48" s="400"/>
      <c r="F48" s="401"/>
      <c r="G48" s="401"/>
      <c r="H48" s="401"/>
      <c r="I48" s="401"/>
      <c r="J48" s="402"/>
      <c r="K48" s="402"/>
      <c r="L48" s="401"/>
      <c r="M48" s="401"/>
      <c r="N48" s="401"/>
      <c r="O48" s="402"/>
      <c r="P48" s="403"/>
      <c r="Q48" s="400"/>
      <c r="R48" s="401"/>
      <c r="S48" s="404"/>
      <c r="T48" s="405"/>
      <c r="U48" s="406"/>
      <c r="V48" s="405"/>
      <c r="W48" s="179"/>
      <c r="X48" s="179"/>
      <c r="Y48" s="179"/>
      <c r="Z48" s="179"/>
      <c r="AA48" s="179"/>
      <c r="AB48" s="406"/>
      <c r="AC48" s="405"/>
      <c r="AD48" s="179"/>
      <c r="AE48" s="179"/>
      <c r="AF48" s="179"/>
      <c r="AG48" s="179"/>
      <c r="AH48" s="179"/>
      <c r="AI48" s="406"/>
      <c r="AJ48" s="405"/>
      <c r="AK48" s="179"/>
      <c r="AL48" s="179"/>
      <c r="AM48" s="179"/>
      <c r="AN48" s="179"/>
      <c r="AO48" s="179"/>
      <c r="AP48" s="406"/>
      <c r="AQ48" s="405"/>
      <c r="AR48" s="179"/>
      <c r="AS48" s="179"/>
      <c r="AT48" s="179"/>
      <c r="AU48" s="179"/>
      <c r="AV48" s="179"/>
      <c r="AW48" s="406"/>
      <c r="AX48" s="407"/>
      <c r="AY48" s="20"/>
    </row>
    <row r="49" spans="2:54" ht="18.5" hidden="1">
      <c r="B49" s="397"/>
      <c r="C49" s="398" t="s">
        <v>51</v>
      </c>
      <c r="D49" s="399"/>
      <c r="E49" s="400"/>
      <c r="F49" s="401"/>
      <c r="G49" s="401"/>
      <c r="H49" s="401"/>
      <c r="I49" s="401"/>
      <c r="J49" s="402"/>
      <c r="K49" s="402"/>
      <c r="L49" s="401"/>
      <c r="M49" s="401"/>
      <c r="N49" s="401"/>
      <c r="O49" s="402"/>
      <c r="P49" s="403"/>
      <c r="Q49" s="400"/>
      <c r="R49" s="401"/>
      <c r="S49" s="404"/>
      <c r="T49" s="405"/>
      <c r="U49" s="406"/>
      <c r="V49" s="405"/>
      <c r="W49" s="179"/>
      <c r="X49" s="179"/>
      <c r="Y49" s="179"/>
      <c r="Z49" s="179"/>
      <c r="AA49" s="179"/>
      <c r="AB49" s="406"/>
      <c r="AC49" s="405"/>
      <c r="AD49" s="179"/>
      <c r="AE49" s="179"/>
      <c r="AF49" s="179"/>
      <c r="AG49" s="179"/>
      <c r="AH49" s="179"/>
      <c r="AI49" s="406"/>
      <c r="AJ49" s="405"/>
      <c r="AK49" s="179"/>
      <c r="AL49" s="179"/>
      <c r="AM49" s="179"/>
      <c r="AN49" s="179"/>
      <c r="AO49" s="179"/>
      <c r="AP49" s="406"/>
      <c r="AQ49" s="405"/>
      <c r="AR49" s="179"/>
      <c r="AS49" s="179"/>
      <c r="AT49" s="179"/>
      <c r="AU49" s="179"/>
      <c r="AV49" s="179"/>
      <c r="AW49" s="406"/>
      <c r="AX49" s="407"/>
      <c r="AY49" s="20"/>
    </row>
    <row r="50" spans="2:54" ht="18.5" hidden="1">
      <c r="B50" s="397"/>
      <c r="C50" s="398" t="s">
        <v>52</v>
      </c>
      <c r="D50" s="399"/>
      <c r="E50" s="400"/>
      <c r="F50" s="401"/>
      <c r="G50" s="401"/>
      <c r="H50" s="401"/>
      <c r="I50" s="401"/>
      <c r="J50" s="402"/>
      <c r="K50" s="402"/>
      <c r="L50" s="401"/>
      <c r="M50" s="401"/>
      <c r="N50" s="401"/>
      <c r="O50" s="402"/>
      <c r="P50" s="403"/>
      <c r="Q50" s="400"/>
      <c r="R50" s="401"/>
      <c r="S50" s="404"/>
      <c r="T50" s="405"/>
      <c r="U50" s="406"/>
      <c r="V50" s="405"/>
      <c r="W50" s="179"/>
      <c r="X50" s="179"/>
      <c r="Y50" s="179"/>
      <c r="Z50" s="179"/>
      <c r="AA50" s="179"/>
      <c r="AB50" s="406"/>
      <c r="AC50" s="405"/>
      <c r="AD50" s="179"/>
      <c r="AE50" s="179"/>
      <c r="AF50" s="179"/>
      <c r="AG50" s="179"/>
      <c r="AH50" s="179"/>
      <c r="AI50" s="406"/>
      <c r="AJ50" s="405"/>
      <c r="AK50" s="179"/>
      <c r="AL50" s="179"/>
      <c r="AM50" s="179"/>
      <c r="AN50" s="179"/>
      <c r="AO50" s="179"/>
      <c r="AP50" s="406"/>
      <c r="AQ50" s="405"/>
      <c r="AR50" s="179"/>
      <c r="AS50" s="179"/>
      <c r="AT50" s="179"/>
      <c r="AU50" s="179"/>
      <c r="AV50" s="179"/>
      <c r="AW50" s="406"/>
      <c r="AX50" s="407"/>
      <c r="AY50" s="20"/>
    </row>
    <row r="51" spans="2:54" s="141" customFormat="1" ht="18.75" customHeight="1">
      <c r="B51" s="408">
        <v>8</v>
      </c>
      <c r="C51" s="409" t="s">
        <v>185</v>
      </c>
      <c r="D51" s="410">
        <v>2</v>
      </c>
      <c r="E51" s="411">
        <v>5</v>
      </c>
      <c r="F51" s="412">
        <v>8</v>
      </c>
      <c r="G51" s="412">
        <v>20</v>
      </c>
      <c r="H51" s="412"/>
      <c r="I51" s="1042">
        <v>4</v>
      </c>
      <c r="J51" s="413"/>
      <c r="K51" s="413"/>
      <c r="L51" s="412"/>
      <c r="M51" s="412"/>
      <c r="N51" s="412"/>
      <c r="O51" s="413"/>
      <c r="P51" s="414"/>
      <c r="Q51" s="415"/>
      <c r="R51" s="412"/>
      <c r="S51" s="416"/>
      <c r="T51" s="417"/>
      <c r="U51" s="418"/>
      <c r="V51" s="417"/>
      <c r="W51" s="191"/>
      <c r="X51" s="191"/>
      <c r="Y51" s="191"/>
      <c r="Z51" s="191"/>
      <c r="AA51" s="191"/>
      <c r="AB51" s="418"/>
      <c r="AC51" s="417"/>
      <c r="AD51" s="191"/>
      <c r="AE51" s="191"/>
      <c r="AF51" s="191"/>
      <c r="AG51" s="191"/>
      <c r="AH51" s="191"/>
      <c r="AI51" s="418"/>
      <c r="AJ51" s="417"/>
      <c r="AK51" s="191"/>
      <c r="AL51" s="191"/>
      <c r="AM51" s="191"/>
      <c r="AN51" s="191"/>
      <c r="AO51" s="191"/>
      <c r="AP51" s="418"/>
      <c r="AQ51" s="417"/>
      <c r="AR51" s="191"/>
      <c r="AS51" s="191"/>
      <c r="AT51" s="191"/>
      <c r="AU51" s="191"/>
      <c r="AV51" s="191"/>
      <c r="AW51" s="418"/>
      <c r="AX51" s="419"/>
    </row>
    <row r="52" spans="2:54" s="141" customFormat="1" ht="159.75" customHeight="1">
      <c r="B52" s="408"/>
      <c r="C52" s="244" t="s">
        <v>91</v>
      </c>
      <c r="D52" s="420">
        <v>0.5</v>
      </c>
      <c r="E52" s="411">
        <v>3</v>
      </c>
      <c r="F52" s="412">
        <v>2</v>
      </c>
      <c r="G52" s="412">
        <v>3</v>
      </c>
      <c r="H52" s="412"/>
      <c r="I52" s="1042"/>
      <c r="J52" s="413"/>
      <c r="K52" s="413"/>
      <c r="L52" s="412"/>
      <c r="M52" s="412"/>
      <c r="N52" s="412"/>
      <c r="O52" s="412">
        <v>5</v>
      </c>
      <c r="P52" s="414"/>
      <c r="Q52" s="415"/>
      <c r="R52" s="412"/>
      <c r="S52" s="416"/>
      <c r="T52" s="417"/>
      <c r="U52" s="418"/>
      <c r="V52" s="417"/>
      <c r="W52" s="191"/>
      <c r="X52" s="191"/>
      <c r="Y52" s="191"/>
      <c r="Z52" s="191"/>
      <c r="AA52" s="191"/>
      <c r="AB52" s="418"/>
      <c r="AC52" s="417"/>
      <c r="AD52" s="191"/>
      <c r="AE52" s="191"/>
      <c r="AF52" s="191"/>
      <c r="AG52" s="191"/>
      <c r="AH52" s="191"/>
      <c r="AI52" s="418"/>
      <c r="AJ52" s="417"/>
      <c r="AK52" s="191"/>
      <c r="AL52" s="191"/>
      <c r="AM52" s="191"/>
      <c r="AN52" s="191"/>
      <c r="AO52" s="191"/>
      <c r="AP52" s="418"/>
      <c r="AQ52" s="417"/>
      <c r="AR52" s="191"/>
      <c r="AS52" s="191"/>
      <c r="AT52" s="191"/>
      <c r="AU52" s="191"/>
      <c r="AV52" s="191"/>
      <c r="AW52" s="418"/>
      <c r="AX52" s="419"/>
    </row>
    <row r="53" spans="2:54" s="141" customFormat="1" ht="87">
      <c r="B53" s="363">
        <v>9</v>
      </c>
      <c r="C53" s="364" t="s">
        <v>186</v>
      </c>
      <c r="D53" s="365">
        <v>0.5</v>
      </c>
      <c r="E53" s="421">
        <v>2</v>
      </c>
      <c r="F53" s="366">
        <v>2</v>
      </c>
      <c r="G53" s="366">
        <v>3</v>
      </c>
      <c r="H53" s="366"/>
      <c r="I53" s="366"/>
      <c r="J53" s="422"/>
      <c r="K53" s="422"/>
      <c r="L53" s="366"/>
      <c r="M53" s="366"/>
      <c r="N53" s="366"/>
      <c r="O53" s="422"/>
      <c r="P53" s="423"/>
      <c r="Q53" s="368"/>
      <c r="R53" s="366"/>
      <c r="S53" s="369"/>
      <c r="T53" s="370"/>
      <c r="U53" s="371"/>
      <c r="V53" s="370"/>
      <c r="W53" s="198"/>
      <c r="X53" s="198"/>
      <c r="Y53" s="198"/>
      <c r="Z53" s="198"/>
      <c r="AA53" s="198"/>
      <c r="AB53" s="371"/>
      <c r="AC53" s="370"/>
      <c r="AD53" s="198"/>
      <c r="AE53" s="198"/>
      <c r="AF53" s="198"/>
      <c r="AG53" s="198"/>
      <c r="AH53" s="198"/>
      <c r="AI53" s="371"/>
      <c r="AJ53" s="370"/>
      <c r="AK53" s="198"/>
      <c r="AL53" s="198"/>
      <c r="AM53" s="198"/>
      <c r="AN53" s="198"/>
      <c r="AO53" s="198"/>
      <c r="AP53" s="371"/>
      <c r="AQ53" s="370"/>
      <c r="AR53" s="198"/>
      <c r="AS53" s="198"/>
      <c r="AT53" s="198"/>
      <c r="AU53" s="198"/>
      <c r="AV53" s="198"/>
      <c r="AW53" s="371"/>
      <c r="AX53" s="372"/>
    </row>
    <row r="54" spans="2:54" ht="18.75" customHeight="1">
      <c r="B54" s="294">
        <v>11</v>
      </c>
      <c r="C54" s="253" t="s">
        <v>94</v>
      </c>
      <c r="D54" s="256"/>
      <c r="E54" s="254"/>
      <c r="F54" s="254"/>
      <c r="G54" s="254"/>
      <c r="H54" s="254"/>
      <c r="I54" s="254"/>
      <c r="J54" s="255"/>
      <c r="K54" s="255"/>
      <c r="L54" s="254"/>
      <c r="M54" s="254"/>
      <c r="N54" s="254"/>
      <c r="O54" s="254"/>
      <c r="P54" s="264"/>
      <c r="Q54" s="437"/>
      <c r="R54" s="254"/>
      <c r="S54" s="267"/>
      <c r="T54" s="265"/>
      <c r="U54" s="277"/>
      <c r="V54" s="265"/>
      <c r="W54" s="248"/>
      <c r="X54" s="248"/>
      <c r="Y54" s="248"/>
      <c r="Z54" s="248"/>
      <c r="AA54" s="248"/>
      <c r="AB54" s="277"/>
      <c r="AC54" s="265"/>
      <c r="AD54" s="248"/>
      <c r="AE54" s="248"/>
      <c r="AF54" s="248"/>
      <c r="AG54" s="248"/>
      <c r="AH54" s="248"/>
      <c r="AI54" s="277"/>
      <c r="AJ54" s="265"/>
      <c r="AK54" s="248"/>
      <c r="AL54" s="248"/>
      <c r="AM54" s="248"/>
      <c r="AN54" s="248"/>
      <c r="AO54" s="248"/>
      <c r="AP54" s="277"/>
      <c r="AQ54" s="265"/>
      <c r="AR54" s="248"/>
      <c r="AS54" s="248"/>
      <c r="AT54" s="248"/>
      <c r="AU54" s="248"/>
      <c r="AV54" s="248"/>
      <c r="AW54" s="277"/>
      <c r="AX54" s="288"/>
      <c r="AY54" s="141"/>
      <c r="AZ54" s="141"/>
      <c r="BA54" s="141"/>
      <c r="BB54" s="141"/>
    </row>
    <row r="55" spans="2:54" ht="18.75" customHeight="1">
      <c r="B55" s="295"/>
      <c r="C55" s="245" t="s">
        <v>95</v>
      </c>
      <c r="D55" s="1043">
        <v>1</v>
      </c>
      <c r="E55" s="1044">
        <v>2</v>
      </c>
      <c r="F55" s="1044">
        <v>1</v>
      </c>
      <c r="G55" s="1044">
        <v>1</v>
      </c>
      <c r="H55" s="246"/>
      <c r="I55" s="246"/>
      <c r="J55" s="247"/>
      <c r="K55" s="247"/>
      <c r="L55" s="246"/>
      <c r="M55" s="246"/>
      <c r="N55" s="246"/>
      <c r="O55" s="246"/>
      <c r="P55" s="257"/>
      <c r="Q55" s="438"/>
      <c r="R55" s="246"/>
      <c r="S55" s="268"/>
      <c r="T55" s="266"/>
      <c r="U55" s="268"/>
      <c r="V55" s="266">
        <v>0.5</v>
      </c>
      <c r="W55" s="246">
        <v>1</v>
      </c>
      <c r="X55" s="246">
        <v>0.5</v>
      </c>
      <c r="Y55" s="246"/>
      <c r="Z55" s="246"/>
      <c r="AA55" s="246">
        <v>1</v>
      </c>
      <c r="AB55" s="268"/>
      <c r="AC55" s="266"/>
      <c r="AD55" s="246"/>
      <c r="AE55" s="246"/>
      <c r="AF55" s="246"/>
      <c r="AG55" s="246"/>
      <c r="AH55" s="246"/>
      <c r="AI55" s="268"/>
      <c r="AJ55" s="266"/>
      <c r="AK55" s="246"/>
      <c r="AL55" s="246"/>
      <c r="AM55" s="246"/>
      <c r="AN55" s="246"/>
      <c r="AO55" s="246"/>
      <c r="AP55" s="268"/>
      <c r="AQ55" s="266"/>
      <c r="AR55" s="246"/>
      <c r="AS55" s="246"/>
      <c r="AT55" s="246"/>
      <c r="AU55" s="246"/>
      <c r="AV55" s="246"/>
      <c r="AW55" s="268"/>
      <c r="AX55" s="289"/>
      <c r="AY55" s="141"/>
      <c r="AZ55" s="141"/>
      <c r="BA55" s="141"/>
      <c r="BB55" s="141"/>
    </row>
    <row r="56" spans="2:54" ht="18.75" customHeight="1">
      <c r="B56" s="295"/>
      <c r="C56" s="245" t="s">
        <v>96</v>
      </c>
      <c r="D56" s="1043"/>
      <c r="E56" s="1044"/>
      <c r="F56" s="1044"/>
      <c r="G56" s="1044"/>
      <c r="H56" s="246"/>
      <c r="I56" s="246"/>
      <c r="J56" s="247"/>
      <c r="K56" s="247"/>
      <c r="L56" s="246"/>
      <c r="M56" s="246"/>
      <c r="N56" s="246"/>
      <c r="O56" s="246"/>
      <c r="P56" s="257"/>
      <c r="Q56" s="438"/>
      <c r="R56" s="246"/>
      <c r="S56" s="268"/>
      <c r="T56" s="266"/>
      <c r="U56" s="268"/>
      <c r="V56" s="266"/>
      <c r="W56" s="246"/>
      <c r="X56" s="246"/>
      <c r="Y56" s="246"/>
      <c r="Z56" s="246"/>
      <c r="AA56" s="246"/>
      <c r="AB56" s="268"/>
      <c r="AC56" s="266">
        <v>0.5</v>
      </c>
      <c r="AD56" s="246">
        <v>1</v>
      </c>
      <c r="AE56" s="246">
        <v>0.5</v>
      </c>
      <c r="AF56" s="246"/>
      <c r="AG56" s="246"/>
      <c r="AH56" s="246">
        <v>1</v>
      </c>
      <c r="AI56" s="268"/>
      <c r="AJ56" s="266"/>
      <c r="AK56" s="246"/>
      <c r="AL56" s="246"/>
      <c r="AM56" s="246"/>
      <c r="AN56" s="246"/>
      <c r="AO56" s="246"/>
      <c r="AP56" s="268"/>
      <c r="AQ56" s="266"/>
      <c r="AR56" s="246"/>
      <c r="AS56" s="246"/>
      <c r="AT56" s="246"/>
      <c r="AU56" s="246"/>
      <c r="AV56" s="246"/>
      <c r="AW56" s="268"/>
      <c r="AX56" s="289"/>
      <c r="AY56" s="141"/>
      <c r="AZ56" s="141"/>
      <c r="BA56" s="141"/>
      <c r="BB56" s="141"/>
    </row>
    <row r="57" spans="2:54" ht="18.75" customHeight="1">
      <c r="B57" s="295"/>
      <c r="C57" s="245" t="s">
        <v>97</v>
      </c>
      <c r="D57" s="1043"/>
      <c r="E57" s="1044"/>
      <c r="F57" s="1044"/>
      <c r="G57" s="1044"/>
      <c r="H57" s="246"/>
      <c r="I57" s="246"/>
      <c r="J57" s="247"/>
      <c r="K57" s="247"/>
      <c r="L57" s="246"/>
      <c r="M57" s="246"/>
      <c r="N57" s="246"/>
      <c r="O57" s="246"/>
      <c r="P57" s="257"/>
      <c r="Q57" s="438"/>
      <c r="R57" s="246"/>
      <c r="S57" s="268"/>
      <c r="T57" s="266"/>
      <c r="U57" s="268"/>
      <c r="V57" s="266"/>
      <c r="W57" s="246"/>
      <c r="X57" s="246"/>
      <c r="Y57" s="246"/>
      <c r="Z57" s="246"/>
      <c r="AA57" s="246"/>
      <c r="AB57" s="268"/>
      <c r="AC57" s="266"/>
      <c r="AD57" s="246"/>
      <c r="AE57" s="246"/>
      <c r="AF57" s="246"/>
      <c r="AG57" s="246"/>
      <c r="AH57" s="246"/>
      <c r="AI57" s="268"/>
      <c r="AJ57" s="266">
        <v>0.5</v>
      </c>
      <c r="AK57" s="246">
        <v>1</v>
      </c>
      <c r="AL57" s="246">
        <v>0.5</v>
      </c>
      <c r="AM57" s="246"/>
      <c r="AN57" s="246"/>
      <c r="AO57" s="246">
        <v>1</v>
      </c>
      <c r="AP57" s="268"/>
      <c r="AQ57" s="266"/>
      <c r="AR57" s="246"/>
      <c r="AS57" s="246"/>
      <c r="AT57" s="246"/>
      <c r="AU57" s="246"/>
      <c r="AV57" s="246"/>
      <c r="AW57" s="268"/>
      <c r="AX57" s="289"/>
      <c r="AY57" s="141"/>
      <c r="AZ57" s="141"/>
      <c r="BA57" s="141"/>
      <c r="BB57" s="141"/>
    </row>
    <row r="58" spans="2:54" ht="18.75" customHeight="1">
      <c r="B58" s="295"/>
      <c r="C58" s="245" t="s">
        <v>98</v>
      </c>
      <c r="D58" s="1043"/>
      <c r="E58" s="1044"/>
      <c r="F58" s="1044"/>
      <c r="G58" s="1044"/>
      <c r="H58" s="246"/>
      <c r="I58" s="246"/>
      <c r="J58" s="247"/>
      <c r="K58" s="247"/>
      <c r="L58" s="246"/>
      <c r="M58" s="246"/>
      <c r="N58" s="246"/>
      <c r="O58" s="246"/>
      <c r="P58" s="257"/>
      <c r="Q58" s="438"/>
      <c r="R58" s="246"/>
      <c r="S58" s="268"/>
      <c r="T58" s="266"/>
      <c r="U58" s="268"/>
      <c r="V58" s="266"/>
      <c r="W58" s="246"/>
      <c r="X58" s="246"/>
      <c r="Y58" s="246"/>
      <c r="Z58" s="246"/>
      <c r="AA58" s="246"/>
      <c r="AB58" s="268"/>
      <c r="AC58" s="266"/>
      <c r="AD58" s="246"/>
      <c r="AE58" s="246"/>
      <c r="AF58" s="246"/>
      <c r="AG58" s="246"/>
      <c r="AH58" s="246"/>
      <c r="AI58" s="268"/>
      <c r="AJ58" s="266"/>
      <c r="AK58" s="246"/>
      <c r="AL58" s="246"/>
      <c r="AM58" s="246"/>
      <c r="AN58" s="246"/>
      <c r="AO58" s="246"/>
      <c r="AP58" s="268"/>
      <c r="AQ58" s="266"/>
      <c r="AR58" s="246"/>
      <c r="AS58" s="246">
        <v>2</v>
      </c>
      <c r="AT58" s="246"/>
      <c r="AU58" s="246"/>
      <c r="AV58" s="246"/>
      <c r="AW58" s="268"/>
      <c r="AX58" s="289">
        <v>3</v>
      </c>
      <c r="AY58" s="141"/>
      <c r="AZ58" s="141"/>
      <c r="BA58" s="141"/>
      <c r="BB58" s="141"/>
    </row>
    <row r="59" spans="2:54" ht="18.75" customHeight="1">
      <c r="B59" s="295"/>
      <c r="C59" s="245" t="s">
        <v>66</v>
      </c>
      <c r="D59" s="1043"/>
      <c r="E59" s="1044"/>
      <c r="F59" s="1044"/>
      <c r="G59" s="1044"/>
      <c r="H59" s="246"/>
      <c r="I59" s="246"/>
      <c r="J59" s="247"/>
      <c r="K59" s="247"/>
      <c r="L59" s="246"/>
      <c r="M59" s="246"/>
      <c r="N59" s="246"/>
      <c r="O59" s="246"/>
      <c r="P59" s="257"/>
      <c r="Q59" s="438"/>
      <c r="R59" s="246"/>
      <c r="S59" s="268"/>
      <c r="T59" s="266"/>
      <c r="U59" s="268"/>
      <c r="V59" s="266"/>
      <c r="W59" s="246"/>
      <c r="X59" s="246"/>
      <c r="Y59" s="246"/>
      <c r="Z59" s="246"/>
      <c r="AA59" s="246"/>
      <c r="AB59" s="268"/>
      <c r="AC59" s="266"/>
      <c r="AD59" s="246"/>
      <c r="AE59" s="246"/>
      <c r="AF59" s="246"/>
      <c r="AG59" s="246"/>
      <c r="AH59" s="246"/>
      <c r="AI59" s="268"/>
      <c r="AJ59" s="266"/>
      <c r="AK59" s="246"/>
      <c r="AL59" s="246"/>
      <c r="AM59" s="246"/>
      <c r="AN59" s="246"/>
      <c r="AO59" s="246"/>
      <c r="AP59" s="268"/>
      <c r="AQ59" s="266"/>
      <c r="AR59" s="246"/>
      <c r="AS59" s="246"/>
      <c r="AT59" s="246"/>
      <c r="AU59" s="246"/>
      <c r="AV59" s="246"/>
      <c r="AW59" s="268"/>
      <c r="AX59" s="289"/>
      <c r="AY59" s="141"/>
      <c r="AZ59" s="141"/>
      <c r="BA59" s="141"/>
      <c r="BB59" s="141"/>
    </row>
    <row r="60" spans="2:54">
      <c r="B60" s="341">
        <v>11</v>
      </c>
      <c r="C60" s="342" t="s">
        <v>53</v>
      </c>
      <c r="D60" s="234">
        <v>1</v>
      </c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235"/>
      <c r="Q60" s="270">
        <v>1</v>
      </c>
      <c r="R60" s="73">
        <v>2</v>
      </c>
      <c r="S60" s="261"/>
      <c r="T60" s="249"/>
      <c r="U60" s="278"/>
      <c r="V60" s="236"/>
      <c r="W60" s="23">
        <v>0.5</v>
      </c>
      <c r="X60" s="23">
        <v>0.5</v>
      </c>
      <c r="Y60" s="62"/>
      <c r="Z60" s="73"/>
      <c r="AA60" s="282"/>
      <c r="AB60" s="237"/>
      <c r="AC60" s="249"/>
      <c r="AD60" s="23">
        <v>0.5</v>
      </c>
      <c r="AE60" s="23">
        <v>0.5</v>
      </c>
      <c r="AF60" s="65"/>
      <c r="AG60" s="65"/>
      <c r="AH60" s="65"/>
      <c r="AI60" s="278"/>
      <c r="AJ60" s="249"/>
      <c r="AK60" s="23">
        <v>0.5</v>
      </c>
      <c r="AL60" s="23">
        <v>0.5</v>
      </c>
      <c r="AM60" s="65"/>
      <c r="AN60" s="65"/>
      <c r="AO60" s="65"/>
      <c r="AP60" s="278"/>
      <c r="AQ60" s="249"/>
      <c r="AR60" s="65">
        <v>1</v>
      </c>
      <c r="AS60" s="284"/>
      <c r="AT60" s="284"/>
      <c r="AU60" s="284"/>
      <c r="AV60" s="65"/>
      <c r="AW60" s="278"/>
      <c r="AX60" s="290"/>
      <c r="AY60" s="20"/>
    </row>
    <row r="61" spans="2:54">
      <c r="B61" s="341">
        <v>12</v>
      </c>
      <c r="C61" s="342" t="s">
        <v>54</v>
      </c>
      <c r="D61" s="234">
        <v>1</v>
      </c>
      <c r="E61" s="73">
        <v>1</v>
      </c>
      <c r="F61" s="73">
        <v>1</v>
      </c>
      <c r="G61" s="73">
        <v>2</v>
      </c>
      <c r="H61" s="73"/>
      <c r="I61" s="62">
        <v>1</v>
      </c>
      <c r="J61" s="73"/>
      <c r="K61" s="73"/>
      <c r="L61" s="73"/>
      <c r="M61" s="73"/>
      <c r="N61" s="73"/>
      <c r="O61" s="73"/>
      <c r="P61" s="235"/>
      <c r="Q61" s="270">
        <v>1</v>
      </c>
      <c r="R61" s="73">
        <v>2</v>
      </c>
      <c r="S61" s="261"/>
      <c r="T61" s="236"/>
      <c r="U61" s="78"/>
      <c r="V61" s="236"/>
      <c r="W61" s="23">
        <v>0.25</v>
      </c>
      <c r="X61" s="23">
        <v>0.25</v>
      </c>
      <c r="Y61" s="62"/>
      <c r="Z61" s="73"/>
      <c r="AA61" s="282"/>
      <c r="AB61" s="237"/>
      <c r="AC61" s="236"/>
      <c r="AD61" s="23">
        <v>0.25</v>
      </c>
      <c r="AE61" s="23">
        <v>0.25</v>
      </c>
      <c r="AF61" s="23"/>
      <c r="AG61" s="23"/>
      <c r="AH61" s="23"/>
      <c r="AI61" s="78"/>
      <c r="AJ61" s="236"/>
      <c r="AK61" s="23">
        <v>0.25</v>
      </c>
      <c r="AL61" s="23">
        <v>0.25</v>
      </c>
      <c r="AM61" s="23"/>
      <c r="AN61" s="23"/>
      <c r="AO61" s="23"/>
      <c r="AP61" s="78"/>
      <c r="AQ61" s="236"/>
      <c r="AR61" s="78">
        <v>1</v>
      </c>
      <c r="AS61" s="73"/>
      <c r="AT61" s="73"/>
      <c r="AU61" s="73"/>
      <c r="AV61" s="206"/>
      <c r="AW61" s="78"/>
      <c r="AX61" s="291"/>
      <c r="AY61" s="20"/>
    </row>
    <row r="62" spans="2:54">
      <c r="B62" s="341">
        <v>13</v>
      </c>
      <c r="C62" s="342" t="s">
        <v>55</v>
      </c>
      <c r="D62" s="234">
        <v>1</v>
      </c>
      <c r="E62" s="73">
        <v>1</v>
      </c>
      <c r="F62" s="73">
        <v>1</v>
      </c>
      <c r="G62" s="73">
        <v>1</v>
      </c>
      <c r="H62" s="73"/>
      <c r="I62" s="73">
        <v>1</v>
      </c>
      <c r="J62" s="73"/>
      <c r="K62" s="73"/>
      <c r="L62" s="73"/>
      <c r="M62" s="73"/>
      <c r="N62" s="73"/>
      <c r="O62" s="73"/>
      <c r="P62" s="235"/>
      <c r="Q62" s="270"/>
      <c r="R62" s="73">
        <v>1</v>
      </c>
      <c r="S62" s="261"/>
      <c r="T62" s="236"/>
      <c r="U62" s="78"/>
      <c r="V62" s="236"/>
      <c r="W62" s="23">
        <v>0.25</v>
      </c>
      <c r="X62" s="23">
        <v>0.25</v>
      </c>
      <c r="Y62" s="62"/>
      <c r="Z62" s="73"/>
      <c r="AA62" s="282"/>
      <c r="AB62" s="237"/>
      <c r="AC62" s="236"/>
      <c r="AD62" s="23">
        <v>0.25</v>
      </c>
      <c r="AE62" s="23">
        <v>0.25</v>
      </c>
      <c r="AF62" s="23"/>
      <c r="AG62" s="23"/>
      <c r="AH62" s="23"/>
      <c r="AI62" s="78"/>
      <c r="AJ62" s="236"/>
      <c r="AK62" s="23">
        <v>0.25</v>
      </c>
      <c r="AL62" s="23">
        <v>0.25</v>
      </c>
      <c r="AM62" s="23"/>
      <c r="AN62" s="23"/>
      <c r="AO62" s="23"/>
      <c r="AP62" s="78"/>
      <c r="AQ62" s="236"/>
      <c r="AR62" s="78">
        <v>1</v>
      </c>
      <c r="AS62" s="73"/>
      <c r="AT62" s="73"/>
      <c r="AU62" s="73"/>
      <c r="AV62" s="206"/>
      <c r="AW62" s="78"/>
      <c r="AX62" s="291"/>
      <c r="AY62" s="20"/>
    </row>
    <row r="63" spans="2:54">
      <c r="B63" s="341">
        <v>14</v>
      </c>
      <c r="C63" s="342" t="s">
        <v>56</v>
      </c>
      <c r="D63" s="234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235"/>
      <c r="R63" s="73"/>
      <c r="S63" s="261"/>
      <c r="T63" s="236"/>
      <c r="U63" s="78"/>
      <c r="V63" s="236"/>
      <c r="W63" s="23">
        <v>0.5</v>
      </c>
      <c r="X63" s="23">
        <v>1</v>
      </c>
      <c r="Y63" s="73"/>
      <c r="Z63" s="73"/>
      <c r="AA63" s="282"/>
      <c r="AB63" s="237"/>
      <c r="AC63" s="236"/>
      <c r="AD63" s="23"/>
      <c r="AE63" s="23"/>
      <c r="AF63" s="23"/>
      <c r="AG63" s="23"/>
      <c r="AH63" s="23"/>
      <c r="AI63" s="78"/>
      <c r="AJ63" s="236"/>
      <c r="AK63" s="23"/>
      <c r="AL63" s="23"/>
      <c r="AM63" s="23"/>
      <c r="AN63" s="23"/>
      <c r="AO63" s="23"/>
      <c r="AP63" s="78"/>
      <c r="AQ63" s="236"/>
      <c r="AR63" s="23"/>
      <c r="AS63" s="65"/>
      <c r="AT63" s="65"/>
      <c r="AU63" s="65"/>
      <c r="AV63" s="23"/>
      <c r="AW63" s="78"/>
      <c r="AX63" s="291"/>
      <c r="AY63" s="20"/>
    </row>
    <row r="64" spans="2:54">
      <c r="B64" s="341">
        <v>15</v>
      </c>
      <c r="C64" s="342" t="s">
        <v>57</v>
      </c>
      <c r="D64" s="233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238">
        <v>3</v>
      </c>
      <c r="Q64" s="271"/>
      <c r="R64" s="62"/>
      <c r="S64" s="262"/>
      <c r="T64" s="239"/>
      <c r="U64" s="76"/>
      <c r="V64" s="239"/>
      <c r="W64" s="23">
        <v>0.5</v>
      </c>
      <c r="X64" s="22">
        <v>1</v>
      </c>
      <c r="Y64" s="64"/>
      <c r="Z64" s="64"/>
      <c r="AA64" s="76"/>
      <c r="AB64" s="240">
        <v>3</v>
      </c>
      <c r="AC64" s="239"/>
      <c r="AD64" s="22"/>
      <c r="AE64" s="22"/>
      <c r="AF64" s="22"/>
      <c r="AG64" s="22"/>
      <c r="AH64" s="22"/>
      <c r="AI64" s="76"/>
      <c r="AJ64" s="239"/>
      <c r="AK64" s="22"/>
      <c r="AL64" s="22"/>
      <c r="AM64" s="22"/>
      <c r="AN64" s="22"/>
      <c r="AO64" s="22"/>
      <c r="AP64" s="76"/>
      <c r="AQ64" s="239"/>
      <c r="AR64" s="22"/>
      <c r="AS64" s="22"/>
      <c r="AT64" s="22"/>
      <c r="AU64" s="22"/>
      <c r="AV64" s="22"/>
      <c r="AW64" s="76"/>
      <c r="AX64" s="287"/>
      <c r="AY64" s="20"/>
    </row>
    <row r="65" spans="2:53" ht="15" thickBot="1">
      <c r="B65" s="439">
        <v>16</v>
      </c>
      <c r="C65" s="311" t="s">
        <v>106</v>
      </c>
      <c r="D65" s="250">
        <v>0.5</v>
      </c>
      <c r="E65" s="251">
        <f>2+5</f>
        <v>7</v>
      </c>
      <c r="F65" s="251"/>
      <c r="G65" s="251">
        <f>2+2</f>
        <v>4</v>
      </c>
      <c r="H65" s="251"/>
      <c r="I65" s="251"/>
      <c r="J65" s="251"/>
      <c r="K65" s="251"/>
      <c r="L65" s="251"/>
      <c r="M65" s="251"/>
      <c r="N65" s="251"/>
      <c r="O65" s="251">
        <v>2</v>
      </c>
      <c r="P65" s="252"/>
      <c r="Q65" s="272">
        <v>1</v>
      </c>
      <c r="R65" s="251">
        <v>1</v>
      </c>
      <c r="S65" s="263">
        <v>0.5</v>
      </c>
      <c r="T65" s="258"/>
      <c r="U65" s="279"/>
      <c r="V65" s="258"/>
      <c r="W65" s="259">
        <v>0.5</v>
      </c>
      <c r="X65" s="259">
        <v>0.5</v>
      </c>
      <c r="Y65" s="283"/>
      <c r="Z65" s="259"/>
      <c r="AA65" s="279"/>
      <c r="AB65" s="260"/>
      <c r="AC65" s="242"/>
      <c r="AD65" s="259">
        <v>0.5</v>
      </c>
      <c r="AE65" s="259">
        <v>0.5</v>
      </c>
      <c r="AF65" s="86"/>
      <c r="AG65" s="86"/>
      <c r="AH65" s="86"/>
      <c r="AI65" s="241"/>
      <c r="AJ65" s="242"/>
      <c r="AK65" s="259">
        <v>0.5</v>
      </c>
      <c r="AL65" s="259">
        <v>0.5</v>
      </c>
      <c r="AM65" s="86"/>
      <c r="AN65" s="86"/>
      <c r="AO65" s="86"/>
      <c r="AP65" s="241"/>
      <c r="AQ65" s="242"/>
      <c r="AR65" s="86">
        <v>0.5</v>
      </c>
      <c r="AS65" s="86"/>
      <c r="AT65" s="86"/>
      <c r="AU65" s="86"/>
      <c r="AV65" s="86"/>
      <c r="AW65" s="241"/>
      <c r="AX65" s="292"/>
      <c r="AY65" s="20"/>
    </row>
    <row r="66" spans="2:53" ht="15" thickBot="1">
      <c r="B66" s="439">
        <v>17</v>
      </c>
      <c r="C66" s="311" t="s">
        <v>113</v>
      </c>
      <c r="D66" s="250" t="s">
        <v>187</v>
      </c>
      <c r="E66" s="251">
        <v>6</v>
      </c>
      <c r="F66" s="251">
        <v>3</v>
      </c>
      <c r="G66" s="251">
        <v>7</v>
      </c>
      <c r="H66" s="251"/>
      <c r="I66" s="251">
        <v>2</v>
      </c>
      <c r="J66" s="251"/>
      <c r="K66" s="251"/>
      <c r="L66" s="251"/>
      <c r="M66" s="251"/>
      <c r="N66" s="251"/>
      <c r="O66" s="251"/>
      <c r="P66" s="252"/>
      <c r="Q66" s="272">
        <v>1</v>
      </c>
      <c r="R66" s="251"/>
      <c r="S66" s="263">
        <v>0.5</v>
      </c>
      <c r="T66" s="258"/>
      <c r="U66" s="279"/>
      <c r="V66" s="258">
        <v>0.5</v>
      </c>
      <c r="W66" s="259">
        <v>0.5</v>
      </c>
      <c r="X66" s="259"/>
      <c r="Y66" s="283"/>
      <c r="Z66" s="259"/>
      <c r="AA66" s="279"/>
      <c r="AB66" s="260"/>
      <c r="AC66" s="258">
        <v>0.5</v>
      </c>
      <c r="AD66" s="259">
        <v>0.5</v>
      </c>
      <c r="AE66" s="259"/>
      <c r="AF66" s="86"/>
      <c r="AG66" s="86"/>
      <c r="AH66" s="86"/>
      <c r="AI66" s="241"/>
      <c r="AJ66" s="258">
        <v>0.5</v>
      </c>
      <c r="AK66" s="259">
        <v>0.5</v>
      </c>
      <c r="AL66" s="259"/>
      <c r="AM66" s="86"/>
      <c r="AN66" s="86"/>
      <c r="AO66" s="86"/>
      <c r="AP66" s="241"/>
      <c r="AQ66" s="258"/>
      <c r="AR66" s="259">
        <v>0.5</v>
      </c>
      <c r="AS66" s="86">
        <v>0.5</v>
      </c>
      <c r="AT66" s="86"/>
      <c r="AU66" s="86"/>
      <c r="AV66" s="86"/>
      <c r="AW66" s="241"/>
      <c r="AX66" s="292">
        <v>1</v>
      </c>
      <c r="AY66" s="20"/>
    </row>
    <row r="67" spans="2:53">
      <c r="B67" s="213"/>
      <c r="C67" s="441" t="s">
        <v>26</v>
      </c>
      <c r="D67" s="565">
        <f>SUM(D3:D66)</f>
        <v>33.075000000000003</v>
      </c>
      <c r="E67" s="565">
        <f t="shared" ref="E67:AX67" si="1">SUM(E3:E66)</f>
        <v>62.774999999999999</v>
      </c>
      <c r="F67" s="565">
        <f t="shared" si="1"/>
        <v>33.225000000000001</v>
      </c>
      <c r="G67" s="565">
        <f t="shared" si="1"/>
        <v>79.349999999999994</v>
      </c>
      <c r="H67" s="565">
        <f t="shared" si="1"/>
        <v>0</v>
      </c>
      <c r="I67" s="565">
        <f t="shared" si="1"/>
        <v>22.65</v>
      </c>
      <c r="J67" s="565">
        <f t="shared" si="1"/>
        <v>0</v>
      </c>
      <c r="K67" s="565">
        <f t="shared" si="1"/>
        <v>1</v>
      </c>
      <c r="L67" s="565">
        <f t="shared" si="1"/>
        <v>5.1749999999999998</v>
      </c>
      <c r="M67" s="565">
        <f t="shared" si="1"/>
        <v>0.57499999999999996</v>
      </c>
      <c r="N67" s="565">
        <f t="shared" si="1"/>
        <v>0</v>
      </c>
      <c r="O67" s="565">
        <f t="shared" si="1"/>
        <v>9.3000000000000007</v>
      </c>
      <c r="P67" s="565">
        <f t="shared" si="1"/>
        <v>6.45</v>
      </c>
      <c r="Q67" s="565">
        <f t="shared" si="1"/>
        <v>4</v>
      </c>
      <c r="R67" s="565">
        <f t="shared" si="1"/>
        <v>22.1</v>
      </c>
      <c r="S67" s="565">
        <f t="shared" si="1"/>
        <v>5.6</v>
      </c>
      <c r="T67" s="565">
        <f t="shared" si="1"/>
        <v>6</v>
      </c>
      <c r="U67" s="565">
        <f t="shared" si="1"/>
        <v>3</v>
      </c>
      <c r="V67" s="565">
        <f t="shared" si="1"/>
        <v>1.575</v>
      </c>
      <c r="W67" s="565">
        <f t="shared" si="1"/>
        <v>4.8624999999999998</v>
      </c>
      <c r="X67" s="565">
        <f t="shared" si="1"/>
        <v>4</v>
      </c>
      <c r="Y67" s="565">
        <f t="shared" si="1"/>
        <v>0</v>
      </c>
      <c r="Z67" s="565">
        <f t="shared" si="1"/>
        <v>0</v>
      </c>
      <c r="AA67" s="565">
        <f t="shared" si="1"/>
        <v>1</v>
      </c>
      <c r="AB67" s="565">
        <f t="shared" si="1"/>
        <v>3</v>
      </c>
      <c r="AC67" s="565">
        <f t="shared" si="1"/>
        <v>1</v>
      </c>
      <c r="AD67" s="565">
        <f t="shared" si="1"/>
        <v>3.5750000000000002</v>
      </c>
      <c r="AE67" s="565">
        <f t="shared" si="1"/>
        <v>2</v>
      </c>
      <c r="AF67" s="565">
        <f t="shared" si="1"/>
        <v>0</v>
      </c>
      <c r="AG67" s="565">
        <f t="shared" si="1"/>
        <v>0</v>
      </c>
      <c r="AH67" s="565">
        <f t="shared" si="1"/>
        <v>1</v>
      </c>
      <c r="AI67" s="565">
        <f t="shared" si="1"/>
        <v>0</v>
      </c>
      <c r="AJ67" s="565">
        <f t="shared" si="1"/>
        <v>1</v>
      </c>
      <c r="AK67" s="565">
        <f t="shared" si="1"/>
        <v>3.8624999999999998</v>
      </c>
      <c r="AL67" s="565">
        <f t="shared" si="1"/>
        <v>2.5750000000000002</v>
      </c>
      <c r="AM67" s="565">
        <f t="shared" si="1"/>
        <v>0</v>
      </c>
      <c r="AN67" s="565">
        <f t="shared" si="1"/>
        <v>0</v>
      </c>
      <c r="AO67" s="565">
        <f t="shared" si="1"/>
        <v>1</v>
      </c>
      <c r="AP67" s="565">
        <f t="shared" si="1"/>
        <v>0</v>
      </c>
      <c r="AQ67" s="565">
        <f t="shared" si="1"/>
        <v>0</v>
      </c>
      <c r="AR67" s="565">
        <f t="shared" si="1"/>
        <v>4.5750000000000002</v>
      </c>
      <c r="AS67" s="565">
        <f t="shared" si="1"/>
        <v>2.5</v>
      </c>
      <c r="AT67" s="565">
        <f t="shared" si="1"/>
        <v>0</v>
      </c>
      <c r="AU67" s="565">
        <f t="shared" si="1"/>
        <v>0</v>
      </c>
      <c r="AV67" s="565">
        <f t="shared" si="1"/>
        <v>0</v>
      </c>
      <c r="AW67" s="565">
        <f t="shared" si="1"/>
        <v>0</v>
      </c>
      <c r="AX67" s="565">
        <f t="shared" si="1"/>
        <v>7.45</v>
      </c>
      <c r="AY67" s="567">
        <f>SUM(D67:AX67)</f>
        <v>339.25</v>
      </c>
    </row>
    <row r="68" spans="2:53">
      <c r="B68" s="110"/>
      <c r="C68" s="451" t="s">
        <v>27</v>
      </c>
      <c r="D68" s="453">
        <v>8500</v>
      </c>
      <c r="E68" s="453">
        <v>8500</v>
      </c>
      <c r="F68" s="453">
        <v>14000</v>
      </c>
      <c r="G68" s="453">
        <v>14000</v>
      </c>
      <c r="H68" s="453">
        <v>8500</v>
      </c>
      <c r="I68" s="453">
        <v>8500</v>
      </c>
      <c r="J68" s="453">
        <v>8500</v>
      </c>
      <c r="K68" s="453">
        <v>8500</v>
      </c>
      <c r="L68" s="453">
        <v>8500</v>
      </c>
      <c r="M68" s="453">
        <v>14000</v>
      </c>
      <c r="N68" s="453">
        <v>8500</v>
      </c>
      <c r="O68" s="453">
        <v>8500</v>
      </c>
      <c r="P68" s="454">
        <v>8500</v>
      </c>
      <c r="Q68" s="219">
        <v>14000</v>
      </c>
      <c r="R68" s="220">
        <v>14000</v>
      </c>
      <c r="S68" s="455">
        <v>7500</v>
      </c>
      <c r="T68" s="220">
        <v>8500</v>
      </c>
      <c r="U68" s="455">
        <v>8500</v>
      </c>
      <c r="V68" s="273">
        <v>14000</v>
      </c>
      <c r="W68" s="220">
        <v>8500</v>
      </c>
      <c r="X68" s="220">
        <v>14000</v>
      </c>
      <c r="Y68" s="220">
        <v>8500</v>
      </c>
      <c r="Z68" s="220">
        <v>8500</v>
      </c>
      <c r="AA68" s="220">
        <v>8500</v>
      </c>
      <c r="AB68" s="455">
        <v>8500</v>
      </c>
      <c r="AC68" s="273">
        <v>14000</v>
      </c>
      <c r="AD68" s="220">
        <v>8500</v>
      </c>
      <c r="AE68" s="220">
        <v>14000</v>
      </c>
      <c r="AF68" s="220">
        <v>8500</v>
      </c>
      <c r="AG68" s="220">
        <v>8500</v>
      </c>
      <c r="AH68" s="220">
        <v>8500</v>
      </c>
      <c r="AI68" s="455">
        <v>8500</v>
      </c>
      <c r="AJ68" s="273">
        <v>14000</v>
      </c>
      <c r="AK68" s="220">
        <v>8500</v>
      </c>
      <c r="AL68" s="220">
        <v>8500</v>
      </c>
      <c r="AM68" s="220">
        <v>8500</v>
      </c>
      <c r="AN68" s="220">
        <v>8500</v>
      </c>
      <c r="AO68" s="220">
        <v>8500</v>
      </c>
      <c r="AP68" s="455">
        <v>8500</v>
      </c>
      <c r="AQ68" s="273">
        <v>14000</v>
      </c>
      <c r="AR68" s="220">
        <v>8500</v>
      </c>
      <c r="AS68" s="220">
        <v>14000</v>
      </c>
      <c r="AT68" s="220">
        <v>8500</v>
      </c>
      <c r="AU68" s="220">
        <v>8500</v>
      </c>
      <c r="AV68" s="220">
        <v>8500</v>
      </c>
      <c r="AW68" s="455">
        <v>8500</v>
      </c>
      <c r="AX68" s="544">
        <v>8500</v>
      </c>
    </row>
    <row r="69" spans="2:53" ht="15" thickBot="1">
      <c r="B69" s="222"/>
      <c r="C69" s="545" t="s">
        <v>28</v>
      </c>
      <c r="D69" s="546">
        <f>D67*D68</f>
        <v>281137.5</v>
      </c>
      <c r="E69" s="546">
        <f t="shared" ref="E69:AX69" si="2">E67*E68</f>
        <v>533587.5</v>
      </c>
      <c r="F69" s="546">
        <f t="shared" si="2"/>
        <v>465150</v>
      </c>
      <c r="G69" s="546">
        <f t="shared" si="2"/>
        <v>1110900</v>
      </c>
      <c r="H69" s="546">
        <f t="shared" si="2"/>
        <v>0</v>
      </c>
      <c r="I69" s="546">
        <f t="shared" si="2"/>
        <v>192525</v>
      </c>
      <c r="J69" s="546">
        <f t="shared" si="2"/>
        <v>0</v>
      </c>
      <c r="K69" s="546">
        <f t="shared" si="2"/>
        <v>8500</v>
      </c>
      <c r="L69" s="546">
        <f t="shared" si="2"/>
        <v>43987.5</v>
      </c>
      <c r="M69" s="546">
        <f t="shared" si="2"/>
        <v>8049.9999999999991</v>
      </c>
      <c r="N69" s="546">
        <f t="shared" si="2"/>
        <v>0</v>
      </c>
      <c r="O69" s="546">
        <f t="shared" si="2"/>
        <v>79050</v>
      </c>
      <c r="P69" s="546">
        <f t="shared" si="2"/>
        <v>54825</v>
      </c>
      <c r="Q69" s="546">
        <f t="shared" si="2"/>
        <v>56000</v>
      </c>
      <c r="R69" s="546">
        <f t="shared" si="2"/>
        <v>309400</v>
      </c>
      <c r="S69" s="546">
        <f t="shared" si="2"/>
        <v>42000</v>
      </c>
      <c r="T69" s="546">
        <f t="shared" si="2"/>
        <v>51000</v>
      </c>
      <c r="U69" s="546">
        <f t="shared" si="2"/>
        <v>25500</v>
      </c>
      <c r="V69" s="546">
        <f t="shared" si="2"/>
        <v>22050</v>
      </c>
      <c r="W69" s="546">
        <f t="shared" si="2"/>
        <v>41331.25</v>
      </c>
      <c r="X69" s="546">
        <f t="shared" si="2"/>
        <v>56000</v>
      </c>
      <c r="Y69" s="546">
        <f t="shared" si="2"/>
        <v>0</v>
      </c>
      <c r="Z69" s="546">
        <f t="shared" si="2"/>
        <v>0</v>
      </c>
      <c r="AA69" s="546">
        <f t="shared" si="2"/>
        <v>8500</v>
      </c>
      <c r="AB69" s="546">
        <f t="shared" si="2"/>
        <v>25500</v>
      </c>
      <c r="AC69" s="546">
        <f>AC67*AC68</f>
        <v>14000</v>
      </c>
      <c r="AD69" s="546">
        <f>AD67*AD68</f>
        <v>30387.5</v>
      </c>
      <c r="AE69" s="546">
        <f t="shared" si="2"/>
        <v>28000</v>
      </c>
      <c r="AF69" s="546">
        <f t="shared" si="2"/>
        <v>0</v>
      </c>
      <c r="AG69" s="546">
        <f t="shared" si="2"/>
        <v>0</v>
      </c>
      <c r="AH69" s="546">
        <f t="shared" si="2"/>
        <v>8500</v>
      </c>
      <c r="AI69" s="546">
        <f t="shared" si="2"/>
        <v>0</v>
      </c>
      <c r="AJ69" s="546">
        <f t="shared" si="2"/>
        <v>14000</v>
      </c>
      <c r="AK69" s="546">
        <f>AK67*AK68</f>
        <v>32831.25</v>
      </c>
      <c r="AL69" s="546">
        <f t="shared" si="2"/>
        <v>21887.5</v>
      </c>
      <c r="AM69" s="546">
        <f t="shared" si="2"/>
        <v>0</v>
      </c>
      <c r="AN69" s="546">
        <f t="shared" si="2"/>
        <v>0</v>
      </c>
      <c r="AO69" s="546">
        <f t="shared" si="2"/>
        <v>8500</v>
      </c>
      <c r="AP69" s="546">
        <f t="shared" si="2"/>
        <v>0</v>
      </c>
      <c r="AQ69" s="546">
        <f t="shared" si="2"/>
        <v>0</v>
      </c>
      <c r="AR69" s="546">
        <f t="shared" si="2"/>
        <v>38887.5</v>
      </c>
      <c r="AS69" s="546">
        <f t="shared" si="2"/>
        <v>35000</v>
      </c>
      <c r="AT69" s="546">
        <f t="shared" si="2"/>
        <v>0</v>
      </c>
      <c r="AU69" s="546">
        <f t="shared" si="2"/>
        <v>0</v>
      </c>
      <c r="AV69" s="546">
        <f t="shared" si="2"/>
        <v>0</v>
      </c>
      <c r="AW69" s="546">
        <f t="shared" si="2"/>
        <v>0</v>
      </c>
      <c r="AX69" s="547">
        <f t="shared" si="2"/>
        <v>63325</v>
      </c>
      <c r="AY69" s="511">
        <f>SUM(D69:AX69)</f>
        <v>3710312.5</v>
      </c>
      <c r="AZ69" s="281"/>
      <c r="BA69" s="281"/>
    </row>
    <row r="70" spans="2:53" ht="13.5" customHeight="1">
      <c r="D70" s="19" t="s">
        <v>124</v>
      </c>
      <c r="E70" s="19" t="s">
        <v>124</v>
      </c>
      <c r="F70" s="19" t="s">
        <v>124</v>
      </c>
      <c r="G70" s="19" t="s">
        <v>124</v>
      </c>
      <c r="I70" s="19" t="s">
        <v>124</v>
      </c>
      <c r="L70" s="19" t="s">
        <v>124</v>
      </c>
      <c r="M70" s="19" t="s">
        <v>124</v>
      </c>
      <c r="O70" s="19" t="s">
        <v>124</v>
      </c>
      <c r="P70" s="19" t="s">
        <v>124</v>
      </c>
      <c r="V70" s="19" t="s">
        <v>124</v>
      </c>
      <c r="W70" s="19" t="s">
        <v>124</v>
      </c>
      <c r="AD70" s="19" t="s">
        <v>124</v>
      </c>
      <c r="AK70" s="19" t="s">
        <v>124</v>
      </c>
      <c r="AL70" s="19" t="s">
        <v>124</v>
      </c>
      <c r="AR70" s="19" t="s">
        <v>124</v>
      </c>
      <c r="AX70" s="19" t="s">
        <v>124</v>
      </c>
      <c r="BA70" s="281"/>
    </row>
    <row r="71" spans="2:53">
      <c r="C71" s="20" t="s">
        <v>125</v>
      </c>
      <c r="D71" s="19">
        <f t="shared" ref="D71:P71" si="3">D67*8</f>
        <v>264.60000000000002</v>
      </c>
      <c r="E71" s="19">
        <f t="shared" si="3"/>
        <v>502.2</v>
      </c>
      <c r="F71" s="19">
        <f t="shared" si="3"/>
        <v>265.8</v>
      </c>
      <c r="G71" s="19">
        <f t="shared" si="3"/>
        <v>634.79999999999995</v>
      </c>
      <c r="H71" s="19">
        <f t="shared" si="3"/>
        <v>0</v>
      </c>
      <c r="I71" s="19">
        <f t="shared" si="3"/>
        <v>181.2</v>
      </c>
      <c r="J71" s="19">
        <f t="shared" si="3"/>
        <v>0</v>
      </c>
      <c r="K71" s="19">
        <f t="shared" si="3"/>
        <v>8</v>
      </c>
      <c r="L71" s="19">
        <f t="shared" si="3"/>
        <v>41.4</v>
      </c>
      <c r="M71" s="19">
        <f t="shared" si="3"/>
        <v>4.5999999999999996</v>
      </c>
      <c r="N71" s="19">
        <f t="shared" si="3"/>
        <v>0</v>
      </c>
      <c r="O71" s="19">
        <f t="shared" si="3"/>
        <v>74.400000000000006</v>
      </c>
      <c r="P71" s="19">
        <f t="shared" si="3"/>
        <v>51.6</v>
      </c>
      <c r="R71" s="19">
        <f>R67*8</f>
        <v>176.8</v>
      </c>
      <c r="S71" s="19">
        <f>S67*8</f>
        <v>44.8</v>
      </c>
      <c r="V71" s="19">
        <f>V67*8</f>
        <v>12.6</v>
      </c>
      <c r="W71" s="19">
        <f>W67*8</f>
        <v>38.9</v>
      </c>
      <c r="AB71" s="19">
        <f>AB67*8</f>
        <v>24</v>
      </c>
      <c r="AC71" s="19">
        <f>AC67*8</f>
        <v>8</v>
      </c>
      <c r="AD71" s="19">
        <f>AD67*8</f>
        <v>28.6</v>
      </c>
      <c r="AI71" s="19">
        <f>AI67*8</f>
        <v>0</v>
      </c>
      <c r="AJ71" s="19">
        <f>AJ67*8</f>
        <v>8</v>
      </c>
      <c r="AK71" s="19">
        <f>AK67*8</f>
        <v>30.9</v>
      </c>
      <c r="AP71" s="19">
        <f>AP67*8</f>
        <v>0</v>
      </c>
      <c r="AQ71" s="19">
        <f>AQ67*8</f>
        <v>0</v>
      </c>
      <c r="AR71" s="19">
        <f>AR67*8</f>
        <v>36.6</v>
      </c>
      <c r="AW71" s="19">
        <f>AW67*8</f>
        <v>0</v>
      </c>
      <c r="AX71" s="19">
        <f>AX67*8</f>
        <v>59.6</v>
      </c>
    </row>
    <row r="72" spans="2:53" ht="13.5" customHeight="1" thickBot="1"/>
    <row r="73" spans="2:53" ht="62" thickBot="1">
      <c r="C73" s="228" t="s">
        <v>126</v>
      </c>
      <c r="D73" s="22" t="s">
        <v>127</v>
      </c>
      <c r="E73" s="22" t="s">
        <v>128</v>
      </c>
      <c r="F73" s="22" t="s">
        <v>129</v>
      </c>
      <c r="G73" s="22" t="s">
        <v>130</v>
      </c>
      <c r="H73" s="22" t="s">
        <v>131</v>
      </c>
      <c r="J73" s="514" t="s">
        <v>132</v>
      </c>
      <c r="K73" s="515" t="s">
        <v>133</v>
      </c>
      <c r="L73" s="515" t="s">
        <v>134</v>
      </c>
      <c r="M73" s="515" t="s">
        <v>135</v>
      </c>
      <c r="N73" s="515" t="s">
        <v>136</v>
      </c>
      <c r="P73" s="20"/>
      <c r="Q73" s="514" t="s">
        <v>132</v>
      </c>
      <c r="R73" s="515" t="s">
        <v>133</v>
      </c>
      <c r="S73" s="515" t="s">
        <v>134</v>
      </c>
      <c r="T73" s="515" t="s">
        <v>135</v>
      </c>
      <c r="U73" s="515" t="s">
        <v>136</v>
      </c>
      <c r="V73" s="20"/>
      <c r="W73" s="514" t="s">
        <v>132</v>
      </c>
      <c r="X73" s="515" t="s">
        <v>133</v>
      </c>
      <c r="Y73" s="515" t="s">
        <v>134</v>
      </c>
      <c r="Z73" s="515" t="s">
        <v>135</v>
      </c>
      <c r="AA73" s="515" t="s">
        <v>136</v>
      </c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</row>
    <row r="74" spans="2:53" ht="43.5" thickBot="1">
      <c r="D74" s="22" t="s">
        <v>137</v>
      </c>
      <c r="E74" s="22" t="s">
        <v>138</v>
      </c>
      <c r="F74" s="22">
        <v>20</v>
      </c>
      <c r="G74" s="508">
        <v>8500</v>
      </c>
      <c r="H74" s="508">
        <f>F74*G74</f>
        <v>170000</v>
      </c>
      <c r="J74" s="56" t="s">
        <v>139</v>
      </c>
      <c r="K74" s="309" t="s">
        <v>140</v>
      </c>
      <c r="L74" s="82">
        <v>17</v>
      </c>
      <c r="M74" s="508">
        <v>8500</v>
      </c>
      <c r="N74" s="508">
        <f>L74*M74</f>
        <v>144500</v>
      </c>
      <c r="P74" s="20"/>
      <c r="Q74" s="56" t="s">
        <v>139</v>
      </c>
      <c r="R74" s="309" t="s">
        <v>140</v>
      </c>
      <c r="S74" s="309">
        <v>17</v>
      </c>
      <c r="T74" s="569">
        <v>8500</v>
      </c>
      <c r="U74" s="569">
        <f>S74*T74</f>
        <v>144500</v>
      </c>
      <c r="V74" s="20"/>
      <c r="W74" s="685" t="s">
        <v>139</v>
      </c>
      <c r="X74" s="686" t="s">
        <v>140</v>
      </c>
      <c r="Y74" s="309">
        <v>17</v>
      </c>
      <c r="Z74" s="569">
        <v>8500</v>
      </c>
      <c r="AA74" s="569">
        <v>144500</v>
      </c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</row>
    <row r="75" spans="2:53" ht="13.5" customHeight="1" thickBot="1">
      <c r="D75" s="22" t="s">
        <v>141</v>
      </c>
      <c r="E75" s="22" t="s">
        <v>142</v>
      </c>
      <c r="F75" s="22">
        <v>37.5</v>
      </c>
      <c r="G75" s="508">
        <v>8500</v>
      </c>
      <c r="H75" s="508">
        <f t="shared" ref="H75:H91" si="4">F75*G75</f>
        <v>318750</v>
      </c>
      <c r="J75" s="56" t="s">
        <v>143</v>
      </c>
      <c r="K75" s="309" t="s">
        <v>144</v>
      </c>
      <c r="L75" s="82">
        <v>29</v>
      </c>
      <c r="M75" s="508">
        <v>8500</v>
      </c>
      <c r="N75" s="508">
        <f t="shared" ref="N75:N90" si="5">L75*M75</f>
        <v>246500</v>
      </c>
      <c r="P75" s="20"/>
      <c r="Q75" s="56" t="s">
        <v>143</v>
      </c>
      <c r="R75" s="309" t="s">
        <v>144</v>
      </c>
      <c r="S75" s="309">
        <v>29</v>
      </c>
      <c r="T75" s="569">
        <v>8500</v>
      </c>
      <c r="U75" s="569">
        <f t="shared" ref="U75:U90" si="6">S75*T75</f>
        <v>246500</v>
      </c>
      <c r="V75" s="20"/>
      <c r="W75" s="685" t="s">
        <v>143</v>
      </c>
      <c r="X75" s="686" t="s">
        <v>144</v>
      </c>
      <c r="Y75" s="309">
        <v>29</v>
      </c>
      <c r="Z75" s="569">
        <v>8500</v>
      </c>
      <c r="AA75" s="569">
        <v>246500</v>
      </c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</row>
    <row r="76" spans="2:53" ht="13.5" customHeight="1" thickBot="1">
      <c r="D76" s="22" t="s">
        <v>141</v>
      </c>
      <c r="E76" s="22" t="s">
        <v>5</v>
      </c>
      <c r="F76" s="22">
        <v>13.5</v>
      </c>
      <c r="G76" s="508">
        <v>14000</v>
      </c>
      <c r="H76" s="508">
        <f t="shared" si="4"/>
        <v>189000</v>
      </c>
      <c r="J76" s="56" t="s">
        <v>145</v>
      </c>
      <c r="K76" s="309" t="s">
        <v>146</v>
      </c>
      <c r="L76" s="82">
        <v>12</v>
      </c>
      <c r="M76" s="508">
        <v>14000</v>
      </c>
      <c r="N76" s="508">
        <f t="shared" si="5"/>
        <v>168000</v>
      </c>
      <c r="P76" s="20"/>
      <c r="Q76" s="56" t="s">
        <v>145</v>
      </c>
      <c r="R76" s="309" t="s">
        <v>146</v>
      </c>
      <c r="S76" s="309">
        <v>12</v>
      </c>
      <c r="T76" s="569">
        <v>14000</v>
      </c>
      <c r="U76" s="569">
        <f t="shared" si="6"/>
        <v>168000</v>
      </c>
      <c r="V76" s="20"/>
      <c r="W76" s="685" t="s">
        <v>145</v>
      </c>
      <c r="X76" s="686" t="s">
        <v>146</v>
      </c>
      <c r="Y76" s="309">
        <v>12</v>
      </c>
      <c r="Z76" s="569">
        <v>14000</v>
      </c>
      <c r="AA76" s="569">
        <v>168000</v>
      </c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</row>
    <row r="77" spans="2:53" ht="13.5" customHeight="1" thickBot="1">
      <c r="D77" s="22" t="s">
        <v>141</v>
      </c>
      <c r="E77" s="22" t="s">
        <v>108</v>
      </c>
      <c r="F77" s="22">
        <v>35</v>
      </c>
      <c r="G77" s="508">
        <v>14000</v>
      </c>
      <c r="H77" s="508">
        <f t="shared" si="4"/>
        <v>490000</v>
      </c>
      <c r="J77" s="56" t="s">
        <v>147</v>
      </c>
      <c r="K77" s="309" t="s">
        <v>148</v>
      </c>
      <c r="L77" s="82">
        <v>33</v>
      </c>
      <c r="M77" s="508">
        <v>14000</v>
      </c>
      <c r="N77" s="508">
        <f t="shared" si="5"/>
        <v>462000</v>
      </c>
      <c r="P77" s="20"/>
      <c r="Q77" s="56" t="s">
        <v>147</v>
      </c>
      <c r="R77" s="309" t="s">
        <v>148</v>
      </c>
      <c r="S77" s="309">
        <v>33</v>
      </c>
      <c r="T77" s="569">
        <v>14000</v>
      </c>
      <c r="U77" s="569">
        <f t="shared" si="6"/>
        <v>462000</v>
      </c>
      <c r="V77" s="20"/>
      <c r="W77" s="685" t="s">
        <v>147</v>
      </c>
      <c r="X77" s="686" t="s">
        <v>148</v>
      </c>
      <c r="Y77" s="309">
        <v>33</v>
      </c>
      <c r="Z77" s="569">
        <v>14000</v>
      </c>
      <c r="AA77" s="569">
        <v>462000</v>
      </c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</row>
    <row r="78" spans="2:53" ht="13.5" customHeight="1" thickBot="1">
      <c r="D78" s="22" t="s">
        <v>141</v>
      </c>
      <c r="E78" s="505" t="s">
        <v>7</v>
      </c>
      <c r="F78" s="22">
        <v>13</v>
      </c>
      <c r="G78" s="508">
        <v>8500</v>
      </c>
      <c r="H78" s="508">
        <f t="shared" si="4"/>
        <v>110500</v>
      </c>
      <c r="J78" s="56" t="s">
        <v>149</v>
      </c>
      <c r="K78" s="309" t="s">
        <v>150</v>
      </c>
      <c r="L78" s="82">
        <v>13</v>
      </c>
      <c r="M78" s="508">
        <v>8500</v>
      </c>
      <c r="N78" s="508">
        <f t="shared" si="5"/>
        <v>110500</v>
      </c>
      <c r="P78" s="20"/>
      <c r="Q78" s="56" t="s">
        <v>149</v>
      </c>
      <c r="R78" s="309" t="s">
        <v>150</v>
      </c>
      <c r="S78" s="309">
        <v>13</v>
      </c>
      <c r="T78" s="569">
        <v>8500</v>
      </c>
      <c r="U78" s="569">
        <f t="shared" si="6"/>
        <v>110500</v>
      </c>
      <c r="V78" s="20"/>
      <c r="W78" s="685" t="s">
        <v>149</v>
      </c>
      <c r="X78" s="686" t="s">
        <v>150</v>
      </c>
      <c r="Y78" s="309">
        <v>13</v>
      </c>
      <c r="Z78" s="569">
        <v>8500</v>
      </c>
      <c r="AA78" s="569">
        <v>110500</v>
      </c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</row>
    <row r="79" spans="2:53" ht="13.5" customHeight="1" thickBot="1">
      <c r="D79" s="22" t="s">
        <v>60</v>
      </c>
      <c r="E79" s="506" t="s">
        <v>71</v>
      </c>
      <c r="F79" s="22">
        <v>17</v>
      </c>
      <c r="G79" s="508">
        <v>14000</v>
      </c>
      <c r="H79" s="508">
        <f t="shared" si="4"/>
        <v>238000</v>
      </c>
      <c r="J79" s="56" t="s">
        <v>151</v>
      </c>
      <c r="K79" s="309" t="s">
        <v>152</v>
      </c>
      <c r="L79" s="82">
        <v>16</v>
      </c>
      <c r="M79" s="508">
        <v>14000</v>
      </c>
      <c r="N79" s="508">
        <f t="shared" si="5"/>
        <v>224000</v>
      </c>
      <c r="P79" s="20"/>
      <c r="Q79" s="56" t="s">
        <v>182</v>
      </c>
      <c r="R79" s="309" t="s">
        <v>152</v>
      </c>
      <c r="S79" s="309">
        <v>16</v>
      </c>
      <c r="T79" s="569">
        <v>14000</v>
      </c>
      <c r="U79" s="569">
        <f t="shared" si="6"/>
        <v>224000</v>
      </c>
      <c r="V79" s="20"/>
      <c r="W79" s="685" t="s">
        <v>182</v>
      </c>
      <c r="X79" s="686" t="s">
        <v>152</v>
      </c>
      <c r="Y79" s="309">
        <v>16</v>
      </c>
      <c r="Z79" s="569">
        <v>14000</v>
      </c>
      <c r="AA79" s="569">
        <v>224000</v>
      </c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</row>
    <row r="80" spans="2:53" ht="13.5" customHeight="1" thickBot="1">
      <c r="D80" s="22" t="s">
        <v>60</v>
      </c>
      <c r="E80" s="22" t="s">
        <v>153</v>
      </c>
      <c r="F80" s="22">
        <v>5</v>
      </c>
      <c r="G80" s="508">
        <v>7500</v>
      </c>
      <c r="H80" s="508">
        <f t="shared" si="4"/>
        <v>37500</v>
      </c>
      <c r="J80" s="19" t="s">
        <v>154</v>
      </c>
      <c r="K80" s="19" t="s">
        <v>153</v>
      </c>
      <c r="L80" s="82">
        <v>5</v>
      </c>
      <c r="M80" s="508">
        <v>7500</v>
      </c>
      <c r="N80" s="508">
        <f t="shared" si="5"/>
        <v>37500</v>
      </c>
      <c r="P80" s="20"/>
      <c r="Q80" s="56" t="s">
        <v>154</v>
      </c>
      <c r="R80" s="309" t="s">
        <v>153</v>
      </c>
      <c r="S80" s="309">
        <v>5</v>
      </c>
      <c r="T80" s="569">
        <v>7500</v>
      </c>
      <c r="U80" s="569">
        <f t="shared" si="6"/>
        <v>37500</v>
      </c>
      <c r="V80" s="20"/>
      <c r="W80" s="685" t="s">
        <v>154</v>
      </c>
      <c r="X80" s="686" t="s">
        <v>153</v>
      </c>
      <c r="Y80" s="309">
        <v>5</v>
      </c>
      <c r="Z80" s="569">
        <v>7500</v>
      </c>
      <c r="AA80" s="569">
        <v>37500</v>
      </c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</row>
    <row r="81" spans="4:51" ht="13.5" customHeight="1" thickBot="1">
      <c r="D81" s="22" t="s">
        <v>155</v>
      </c>
      <c r="E81" s="22" t="s">
        <v>74</v>
      </c>
      <c r="F81" s="22">
        <v>0.5</v>
      </c>
      <c r="G81" s="508">
        <v>14000</v>
      </c>
      <c r="H81" s="508">
        <f t="shared" si="4"/>
        <v>7000</v>
      </c>
      <c r="J81" s="56" t="s">
        <v>156</v>
      </c>
      <c r="K81" s="309" t="s">
        <v>157</v>
      </c>
      <c r="L81" s="82">
        <v>1</v>
      </c>
      <c r="M81" s="508">
        <v>14000</v>
      </c>
      <c r="N81" s="508">
        <f t="shared" si="5"/>
        <v>14000</v>
      </c>
      <c r="P81" s="20"/>
      <c r="Q81" s="56" t="s">
        <v>156</v>
      </c>
      <c r="R81" s="309" t="s">
        <v>157</v>
      </c>
      <c r="S81" s="309">
        <v>1</v>
      </c>
      <c r="T81" s="569">
        <v>14000</v>
      </c>
      <c r="U81" s="569">
        <f t="shared" si="6"/>
        <v>14000</v>
      </c>
      <c r="V81" s="20"/>
      <c r="W81" s="685" t="s">
        <v>156</v>
      </c>
      <c r="X81" s="686" t="s">
        <v>157</v>
      </c>
      <c r="Y81" s="309">
        <v>1</v>
      </c>
      <c r="Z81" s="569">
        <v>14000</v>
      </c>
      <c r="AA81" s="569">
        <v>14000</v>
      </c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</row>
    <row r="82" spans="4:51" ht="13.5" customHeight="1" thickBot="1">
      <c r="D82" s="22" t="s">
        <v>155</v>
      </c>
      <c r="E82" s="22" t="s">
        <v>142</v>
      </c>
      <c r="F82" s="22">
        <v>0.75</v>
      </c>
      <c r="G82" s="508">
        <v>8500</v>
      </c>
      <c r="H82" s="508">
        <f t="shared" si="4"/>
        <v>6375</v>
      </c>
      <c r="J82" s="56" t="s">
        <v>158</v>
      </c>
      <c r="K82" s="309" t="s">
        <v>150</v>
      </c>
      <c r="L82" s="82">
        <v>1</v>
      </c>
      <c r="M82" s="508">
        <v>8500</v>
      </c>
      <c r="N82" s="508">
        <f t="shared" si="5"/>
        <v>8500</v>
      </c>
      <c r="P82" s="20"/>
      <c r="Q82" s="56" t="s">
        <v>158</v>
      </c>
      <c r="R82" s="309" t="s">
        <v>150</v>
      </c>
      <c r="S82" s="309">
        <v>1</v>
      </c>
      <c r="T82" s="569">
        <v>8500</v>
      </c>
      <c r="U82" s="569">
        <f t="shared" si="6"/>
        <v>8500</v>
      </c>
      <c r="V82" s="20"/>
      <c r="W82" s="685" t="s">
        <v>158</v>
      </c>
      <c r="X82" s="686" t="s">
        <v>150</v>
      </c>
      <c r="Y82" s="309">
        <v>1</v>
      </c>
      <c r="Z82" s="569">
        <v>8500</v>
      </c>
      <c r="AA82" s="569">
        <v>8500</v>
      </c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</row>
    <row r="83" spans="4:51" ht="13.5" customHeight="1" thickBot="1">
      <c r="D83" s="22" t="s">
        <v>63</v>
      </c>
      <c r="E83" s="22" t="s">
        <v>142</v>
      </c>
      <c r="F83" s="22">
        <v>0.5</v>
      </c>
      <c r="G83" s="508">
        <v>8500</v>
      </c>
      <c r="H83" s="508">
        <f t="shared" si="4"/>
        <v>4250</v>
      </c>
      <c r="J83" s="56" t="s">
        <v>159</v>
      </c>
      <c r="K83" s="309" t="s">
        <v>150</v>
      </c>
      <c r="L83" s="82">
        <v>1</v>
      </c>
      <c r="M83" s="508">
        <v>8500</v>
      </c>
      <c r="N83" s="508">
        <f t="shared" si="5"/>
        <v>8500</v>
      </c>
      <c r="P83" s="20"/>
      <c r="Q83" s="56" t="s">
        <v>159</v>
      </c>
      <c r="R83" s="309" t="s">
        <v>150</v>
      </c>
      <c r="S83" s="309">
        <v>2</v>
      </c>
      <c r="T83" s="569">
        <v>8500</v>
      </c>
      <c r="U83" s="569">
        <f t="shared" si="6"/>
        <v>17000</v>
      </c>
      <c r="V83" s="20"/>
      <c r="W83" s="685" t="s">
        <v>159</v>
      </c>
      <c r="X83" s="686" t="s">
        <v>150</v>
      </c>
      <c r="Y83" s="309">
        <v>2</v>
      </c>
      <c r="Z83" s="569">
        <v>8500</v>
      </c>
      <c r="AA83" s="569">
        <v>17000</v>
      </c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</row>
    <row r="84" spans="4:51" ht="13.5" customHeight="1" thickBot="1">
      <c r="D84" s="22" t="s">
        <v>64</v>
      </c>
      <c r="E84" s="22" t="s">
        <v>142</v>
      </c>
      <c r="F84" s="22">
        <v>0.75</v>
      </c>
      <c r="G84" s="508">
        <v>8500</v>
      </c>
      <c r="H84" s="508">
        <f t="shared" si="4"/>
        <v>6375</v>
      </c>
      <c r="J84" s="56" t="s">
        <v>159</v>
      </c>
      <c r="K84" s="309" t="s">
        <v>150</v>
      </c>
      <c r="L84" s="82">
        <v>1</v>
      </c>
      <c r="M84" s="508">
        <v>8500</v>
      </c>
      <c r="N84" s="508">
        <f t="shared" si="5"/>
        <v>8500</v>
      </c>
      <c r="P84" s="20"/>
      <c r="Q84" s="56" t="s">
        <v>162</v>
      </c>
      <c r="R84" s="309" t="s">
        <v>163</v>
      </c>
      <c r="S84" s="309">
        <v>1</v>
      </c>
      <c r="T84" s="569">
        <v>8500</v>
      </c>
      <c r="U84" s="569">
        <f t="shared" si="6"/>
        <v>8500</v>
      </c>
      <c r="V84" s="20"/>
      <c r="W84" s="685" t="s">
        <v>162</v>
      </c>
      <c r="X84" s="686" t="s">
        <v>163</v>
      </c>
      <c r="Y84" s="309">
        <v>1</v>
      </c>
      <c r="Z84" s="569">
        <v>8500</v>
      </c>
      <c r="AA84" s="569">
        <v>8500</v>
      </c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</row>
    <row r="85" spans="4:51" ht="13.5" customHeight="1" thickBot="1">
      <c r="D85" s="22" t="s">
        <v>160</v>
      </c>
      <c r="E85" s="22" t="s">
        <v>161</v>
      </c>
      <c r="F85" s="22">
        <v>0.5</v>
      </c>
      <c r="G85" s="508">
        <v>8500</v>
      </c>
      <c r="H85" s="508">
        <f t="shared" si="4"/>
        <v>4250</v>
      </c>
      <c r="J85" s="56" t="s">
        <v>162</v>
      </c>
      <c r="K85" s="309" t="s">
        <v>163</v>
      </c>
      <c r="L85" s="82">
        <v>1</v>
      </c>
      <c r="M85" s="508">
        <v>8500</v>
      </c>
      <c r="N85" s="508">
        <f t="shared" si="5"/>
        <v>8500</v>
      </c>
      <c r="P85" s="20"/>
      <c r="Q85" s="56" t="s">
        <v>165</v>
      </c>
      <c r="R85" s="309" t="s">
        <v>144</v>
      </c>
      <c r="S85" s="309">
        <v>1</v>
      </c>
      <c r="T85" s="569">
        <v>8500</v>
      </c>
      <c r="U85" s="569">
        <f t="shared" si="6"/>
        <v>8500</v>
      </c>
      <c r="V85" s="20"/>
      <c r="W85" s="685" t="s">
        <v>165</v>
      </c>
      <c r="X85" s="686" t="s">
        <v>144</v>
      </c>
      <c r="Y85" s="309">
        <v>1</v>
      </c>
      <c r="Z85" s="569">
        <v>8500</v>
      </c>
      <c r="AA85" s="569">
        <v>8500</v>
      </c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</row>
    <row r="86" spans="4:51" ht="13.5" customHeight="1" thickBot="1">
      <c r="D86" s="22" t="s">
        <v>164</v>
      </c>
      <c r="E86" s="22" t="s">
        <v>142</v>
      </c>
      <c r="F86" s="22">
        <v>0.5</v>
      </c>
      <c r="G86" s="508">
        <v>8500</v>
      </c>
      <c r="H86" s="508">
        <f t="shared" si="4"/>
        <v>4250</v>
      </c>
      <c r="J86" s="56" t="s">
        <v>165</v>
      </c>
      <c r="K86" s="309" t="s">
        <v>144</v>
      </c>
      <c r="L86" s="82">
        <v>1</v>
      </c>
      <c r="M86" s="508">
        <v>8500</v>
      </c>
      <c r="N86" s="508">
        <f t="shared" si="5"/>
        <v>8500</v>
      </c>
      <c r="P86" s="20"/>
      <c r="Q86" s="56" t="s">
        <v>167</v>
      </c>
      <c r="R86" s="309" t="s">
        <v>168</v>
      </c>
      <c r="S86" s="309">
        <v>5</v>
      </c>
      <c r="T86" s="569">
        <v>8500</v>
      </c>
      <c r="U86" s="569">
        <f t="shared" si="6"/>
        <v>42500</v>
      </c>
      <c r="V86" s="20"/>
      <c r="W86" s="685" t="s">
        <v>167</v>
      </c>
      <c r="X86" s="686" t="s">
        <v>168</v>
      </c>
      <c r="Y86" s="309">
        <v>5</v>
      </c>
      <c r="Z86" s="569">
        <v>8500</v>
      </c>
      <c r="AA86" s="569">
        <v>42500</v>
      </c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</row>
    <row r="87" spans="4:51" ht="13.5" customHeight="1" thickBot="1">
      <c r="D87" s="22" t="s">
        <v>137</v>
      </c>
      <c r="E87" s="22" t="s">
        <v>166</v>
      </c>
      <c r="F87" s="22">
        <v>6</v>
      </c>
      <c r="G87" s="508">
        <v>8500</v>
      </c>
      <c r="H87" s="508">
        <f t="shared" si="4"/>
        <v>51000</v>
      </c>
      <c r="J87" s="56" t="s">
        <v>167</v>
      </c>
      <c r="K87" s="309" t="s">
        <v>168</v>
      </c>
      <c r="L87" s="82">
        <v>5</v>
      </c>
      <c r="M87" s="508">
        <v>8500</v>
      </c>
      <c r="N87" s="508">
        <f t="shared" si="5"/>
        <v>42500</v>
      </c>
      <c r="P87" s="20"/>
      <c r="Q87" s="56" t="s">
        <v>170</v>
      </c>
      <c r="R87" s="309" t="s">
        <v>171</v>
      </c>
      <c r="S87" s="309">
        <v>1</v>
      </c>
      <c r="T87" s="569">
        <v>14000</v>
      </c>
      <c r="U87" s="569">
        <f t="shared" si="6"/>
        <v>14000</v>
      </c>
      <c r="V87" s="20"/>
      <c r="W87" s="685" t="s">
        <v>170</v>
      </c>
      <c r="X87" s="686" t="s">
        <v>171</v>
      </c>
      <c r="Y87" s="309">
        <v>1</v>
      </c>
      <c r="Z87" s="569">
        <v>14000</v>
      </c>
      <c r="AA87" s="569">
        <v>14000</v>
      </c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</row>
    <row r="88" spans="4:51" ht="13.5" customHeight="1" thickBot="1">
      <c r="D88" s="22" t="s">
        <v>137</v>
      </c>
      <c r="E88" s="22" t="s">
        <v>169</v>
      </c>
      <c r="F88" s="22">
        <v>0.5</v>
      </c>
      <c r="G88" s="508">
        <v>14000</v>
      </c>
      <c r="H88" s="508">
        <f t="shared" si="4"/>
        <v>7000</v>
      </c>
      <c r="J88" s="56" t="s">
        <v>170</v>
      </c>
      <c r="K88" s="309" t="s">
        <v>171</v>
      </c>
      <c r="L88" s="82">
        <v>1</v>
      </c>
      <c r="M88" s="508">
        <v>14000</v>
      </c>
      <c r="N88" s="508">
        <f t="shared" si="5"/>
        <v>14000</v>
      </c>
      <c r="P88" s="20"/>
      <c r="Q88" s="56" t="s">
        <v>173</v>
      </c>
      <c r="R88" s="309" t="s">
        <v>174</v>
      </c>
      <c r="S88" s="309">
        <v>3</v>
      </c>
      <c r="T88" s="569">
        <v>8500</v>
      </c>
      <c r="U88" s="569">
        <f t="shared" si="6"/>
        <v>25500</v>
      </c>
      <c r="V88" s="20"/>
      <c r="W88" s="685" t="s">
        <v>173</v>
      </c>
      <c r="X88" s="686" t="s">
        <v>174</v>
      </c>
      <c r="Y88" s="309">
        <v>3</v>
      </c>
      <c r="Z88" s="569">
        <v>8500</v>
      </c>
      <c r="AA88" s="569">
        <v>25500</v>
      </c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</row>
    <row r="89" spans="4:51" ht="13.5" customHeight="1" thickBot="1">
      <c r="D89" s="22" t="s">
        <v>137</v>
      </c>
      <c r="E89" s="22" t="s">
        <v>172</v>
      </c>
      <c r="F89" s="22">
        <v>3</v>
      </c>
      <c r="G89" s="508">
        <v>8500</v>
      </c>
      <c r="H89" s="508">
        <f t="shared" si="4"/>
        <v>25500</v>
      </c>
      <c r="J89" s="19" t="s">
        <v>173</v>
      </c>
      <c r="K89" s="19" t="s">
        <v>174</v>
      </c>
      <c r="L89" s="82">
        <v>3</v>
      </c>
      <c r="M89" s="508">
        <v>8500</v>
      </c>
      <c r="N89" s="508">
        <f t="shared" si="5"/>
        <v>25500</v>
      </c>
      <c r="P89" s="20"/>
      <c r="Q89" s="56" t="s">
        <v>175</v>
      </c>
      <c r="R89" s="309" t="s">
        <v>176</v>
      </c>
      <c r="S89" s="309">
        <v>2</v>
      </c>
      <c r="T89" s="569">
        <v>8500</v>
      </c>
      <c r="U89" s="569">
        <f t="shared" si="6"/>
        <v>17000</v>
      </c>
      <c r="V89" s="20"/>
      <c r="W89" s="685" t="s">
        <v>175</v>
      </c>
      <c r="X89" s="686" t="s">
        <v>176</v>
      </c>
      <c r="Y89" s="309">
        <v>2</v>
      </c>
      <c r="Z89" s="569">
        <v>8500</v>
      </c>
      <c r="AA89" s="569">
        <v>17000</v>
      </c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</row>
    <row r="90" spans="4:51" ht="13.5" customHeight="1" thickBot="1">
      <c r="D90" s="22" t="s">
        <v>137</v>
      </c>
      <c r="E90" s="22" t="s">
        <v>35</v>
      </c>
      <c r="F90" s="22">
        <v>2</v>
      </c>
      <c r="G90" s="508">
        <v>8500</v>
      </c>
      <c r="H90" s="508">
        <f t="shared" si="4"/>
        <v>17000</v>
      </c>
      <c r="J90" s="516" t="s">
        <v>175</v>
      </c>
      <c r="K90" s="517" t="s">
        <v>176</v>
      </c>
      <c r="L90" s="82">
        <v>2</v>
      </c>
      <c r="M90" s="508">
        <v>8500</v>
      </c>
      <c r="N90" s="508">
        <f t="shared" si="5"/>
        <v>17000</v>
      </c>
      <c r="P90" s="20"/>
      <c r="Q90" s="56" t="s">
        <v>183</v>
      </c>
      <c r="R90" s="309" t="s">
        <v>178</v>
      </c>
      <c r="S90" s="309">
        <v>3</v>
      </c>
      <c r="T90" s="569">
        <v>8500</v>
      </c>
      <c r="U90" s="569">
        <f t="shared" si="6"/>
        <v>25500</v>
      </c>
      <c r="V90" s="20"/>
      <c r="W90" s="685" t="s">
        <v>183</v>
      </c>
      <c r="X90" s="686" t="s">
        <v>178</v>
      </c>
      <c r="Y90" s="309">
        <v>3</v>
      </c>
      <c r="Z90" s="569">
        <v>8500</v>
      </c>
      <c r="AA90" s="569">
        <v>25500</v>
      </c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</row>
    <row r="91" spans="4:51" ht="21.65" customHeight="1" thickBot="1">
      <c r="D91" s="22" t="s">
        <v>137</v>
      </c>
      <c r="E91" s="22" t="s">
        <v>11</v>
      </c>
      <c r="F91" s="22">
        <v>3</v>
      </c>
      <c r="G91" s="508">
        <v>8500</v>
      </c>
      <c r="H91" s="508">
        <f t="shared" si="4"/>
        <v>25500</v>
      </c>
      <c r="J91" s="516" t="s">
        <v>177</v>
      </c>
      <c r="K91" s="309" t="s">
        <v>178</v>
      </c>
      <c r="L91" s="82">
        <v>3</v>
      </c>
      <c r="M91" s="508">
        <v>8500</v>
      </c>
      <c r="N91" s="508">
        <f>L91*M91</f>
        <v>25500</v>
      </c>
      <c r="P91" s="20"/>
      <c r="Q91" s="1057" t="s">
        <v>184</v>
      </c>
      <c r="R91" s="1058"/>
      <c r="S91" s="309">
        <v>145</v>
      </c>
      <c r="T91" s="570"/>
      <c r="U91" s="569">
        <f>SUM(U74:U90)</f>
        <v>1574000</v>
      </c>
      <c r="V91" s="20"/>
      <c r="W91" s="1057" t="s">
        <v>184</v>
      </c>
      <c r="X91" s="1058"/>
      <c r="Y91" s="309">
        <v>145</v>
      </c>
      <c r="Z91" s="570"/>
      <c r="AA91" s="569">
        <v>1574000</v>
      </c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</row>
    <row r="92" spans="4:51" ht="13.5" customHeight="1">
      <c r="F92" s="507">
        <f>SUM(F74:F91)</f>
        <v>159</v>
      </c>
      <c r="G92" s="509"/>
      <c r="H92" s="510">
        <f>SUM(H74:H91)</f>
        <v>1712250</v>
      </c>
      <c r="L92" s="568">
        <f>SUM(L74:L91)</f>
        <v>145</v>
      </c>
      <c r="M92" s="509"/>
      <c r="N92" s="510">
        <f>SUM(N74:N91)</f>
        <v>1574000</v>
      </c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</row>
    <row r="93" spans="4:51" ht="13.5" customHeight="1">
      <c r="H93" s="512">
        <f>H92-AY69</f>
        <v>-1998062.5</v>
      </c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</row>
    <row r="94" spans="4:51" ht="19" customHeight="1"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</row>
    <row r="95" spans="4:51" ht="13.5" customHeight="1">
      <c r="N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</row>
    <row r="96" spans="4:51" ht="13.5" customHeight="1">
      <c r="N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</row>
    <row r="97" spans="13:51" ht="13.5" customHeight="1">
      <c r="N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</row>
    <row r="98" spans="13:51" ht="13.5" customHeight="1">
      <c r="N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</row>
    <row r="99" spans="13:51" ht="13.5" customHeight="1">
      <c r="N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</row>
    <row r="100" spans="13:51" ht="13.5" customHeight="1">
      <c r="N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</row>
    <row r="101" spans="13:51" ht="13.5" customHeight="1"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</row>
    <row r="102" spans="13:51" ht="13.5" customHeight="1"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</row>
    <row r="103" spans="13:51" ht="13.5" customHeight="1"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</row>
    <row r="104" spans="13:51" ht="13.5" customHeight="1"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</row>
    <row r="105" spans="13:51" ht="13.5" customHeight="1"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</row>
    <row r="106" spans="13:51" ht="13.5" customHeight="1"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</row>
    <row r="107" spans="13:51" ht="13.5" customHeight="1"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</row>
    <row r="108" spans="13:51" ht="13.5" customHeight="1"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</row>
    <row r="109" spans="13:51" ht="13.5" customHeight="1">
      <c r="M109" s="513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</row>
    <row r="110" spans="13:51" ht="13.5" customHeight="1"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</row>
    <row r="111" spans="13:51" ht="13.5" customHeight="1"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</row>
    <row r="112" spans="13:51" ht="13.5" customHeight="1"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</row>
    <row r="113" spans="12:51" ht="13.5" customHeight="1"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</row>
    <row r="114" spans="12:51" ht="13.5" customHeight="1"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</row>
    <row r="115" spans="12:51" ht="13.5" customHeight="1"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</row>
    <row r="116" spans="12:51" ht="13.5" customHeight="1"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</row>
    <row r="117" spans="12:51" ht="13.5" customHeight="1"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</row>
    <row r="118" spans="12:51" ht="13.5" customHeight="1"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</row>
    <row r="119" spans="12:51" ht="13.5" customHeight="1"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</row>
    <row r="120" spans="12:51" ht="13.5" customHeight="1"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</row>
    <row r="121" spans="12:51" ht="13.5" customHeight="1"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</row>
    <row r="122" spans="12:51" ht="13.5" customHeight="1"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</row>
    <row r="123" spans="12:51" ht="13.5" customHeight="1"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</row>
    <row r="124" spans="12:51" ht="13.5" customHeight="1"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</row>
    <row r="125" spans="12:51" ht="13.5" customHeight="1">
      <c r="L125" s="513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</row>
    <row r="126" spans="12:51" ht="13.5" customHeight="1"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</row>
    <row r="127" spans="12:51" ht="13.5" customHeight="1"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</row>
    <row r="128" spans="12:51" ht="13.5" customHeight="1"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</row>
    <row r="129" spans="14:51" ht="13.5" customHeight="1"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</row>
    <row r="130" spans="14:51" ht="13.5" customHeight="1"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</row>
    <row r="131" spans="14:51" ht="13.5" customHeight="1"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</row>
    <row r="132" spans="14:51" ht="13.5" customHeight="1"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</row>
    <row r="133" spans="14:51" ht="13.5" customHeight="1"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</row>
    <row r="134" spans="14:51" ht="13.5" customHeight="1"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</row>
    <row r="135" spans="14:51" ht="13.5" customHeight="1"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</row>
    <row r="136" spans="14:51" ht="13.5" customHeight="1"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</row>
    <row r="137" spans="14:51" ht="13.5" customHeight="1"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</row>
    <row r="138" spans="14:51" ht="13.5" customHeight="1"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</row>
    <row r="139" spans="14:51" ht="13.5" customHeight="1"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</row>
    <row r="140" spans="14:51" ht="13.5" customHeight="1"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</row>
    <row r="141" spans="14:51" ht="13.5" customHeight="1"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</row>
    <row r="142" spans="14:51" ht="13.5" customHeight="1"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</row>
    <row r="143" spans="14:51" ht="13.5" customHeight="1"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</row>
    <row r="144" spans="14:51" ht="13.5" customHeight="1"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</row>
    <row r="145" spans="14:51" ht="13.5" customHeight="1"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</row>
    <row r="146" spans="14:51" ht="13.5" customHeight="1"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</row>
    <row r="147" spans="14:51" ht="13.5" customHeight="1"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</row>
    <row r="148" spans="14:51" ht="13.5" customHeight="1"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</row>
    <row r="149" spans="14:51" ht="13.5" customHeight="1"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</row>
    <row r="150" spans="14:51" ht="13.5" customHeight="1"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</row>
    <row r="151" spans="14:51" ht="13.5" customHeight="1"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</row>
    <row r="152" spans="14:51" ht="13.5" customHeight="1"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</row>
    <row r="153" spans="14:51" ht="13.5" customHeight="1"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</row>
  </sheetData>
  <mergeCells count="19">
    <mergeCell ref="Q91:R91"/>
    <mergeCell ref="W91:X91"/>
    <mergeCell ref="I51:I52"/>
    <mergeCell ref="D55:D59"/>
    <mergeCell ref="E55:E59"/>
    <mergeCell ref="F55:F59"/>
    <mergeCell ref="G55:G59"/>
    <mergeCell ref="D8:D18"/>
    <mergeCell ref="D20:D23"/>
    <mergeCell ref="E20:E23"/>
    <mergeCell ref="F20:F23"/>
    <mergeCell ref="G20:G23"/>
    <mergeCell ref="AJ1:AP1"/>
    <mergeCell ref="AQ1:AW1"/>
    <mergeCell ref="L20:L22"/>
    <mergeCell ref="Q1:S1"/>
    <mergeCell ref="T1:U1"/>
    <mergeCell ref="V1:AB1"/>
    <mergeCell ref="AC1:A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F7B66-9396-426B-912C-D4E42D4E6189}">
  <sheetPr>
    <tabColor rgb="FFFFFF00"/>
  </sheetPr>
  <dimension ref="A1:EB136"/>
  <sheetViews>
    <sheetView zoomScale="70" zoomScaleNormal="70" workbookViewId="0">
      <pane xSplit="3" ySplit="2" topLeftCell="U10" activePane="bottomRight" state="frozen"/>
      <selection pane="topRight" activeCell="D1" sqref="D1"/>
      <selection pane="bottomLeft" activeCell="A3" sqref="A3"/>
      <selection pane="bottomRight" activeCell="AB39" sqref="AB39"/>
    </sheetView>
  </sheetViews>
  <sheetFormatPr defaultColWidth="8.6328125" defaultRowHeight="13.5" customHeight="1"/>
  <cols>
    <col min="1" max="1" width="4.36328125" style="20" customWidth="1"/>
    <col min="2" max="2" width="5.08984375" style="87" customWidth="1"/>
    <col min="3" max="3" width="61.36328125" style="20" customWidth="1"/>
    <col min="4" max="4" width="27.36328125" style="19" bestFit="1" customWidth="1"/>
    <col min="5" max="5" width="12" style="19" customWidth="1"/>
    <col min="6" max="6" width="12.6328125" style="19" customWidth="1"/>
    <col min="7" max="8" width="13.36328125" style="19" customWidth="1"/>
    <col min="9" max="10" width="11.6328125" style="19" customWidth="1"/>
    <col min="11" max="11" width="14.7265625" style="19" customWidth="1"/>
    <col min="12" max="12" width="11.90625" style="19" customWidth="1"/>
    <col min="13" max="13" width="11.36328125" style="19" customWidth="1"/>
    <col min="14" max="14" width="12.36328125" style="19" customWidth="1"/>
    <col min="15" max="15" width="11.36328125" style="19" customWidth="1"/>
    <col min="16" max="18" width="12.6328125" style="19" customWidth="1"/>
    <col min="19" max="46" width="13.08984375" style="19" customWidth="1"/>
    <col min="47" max="54" width="20.90625" style="19" customWidth="1"/>
    <col min="55" max="55" width="52.36328125" style="19" customWidth="1"/>
    <col min="56" max="56" width="11.08984375" style="20" bestFit="1" customWidth="1"/>
    <col min="57" max="57" width="15.36328125" style="20" bestFit="1" customWidth="1"/>
    <col min="58" max="16384" width="8.6328125" style="20"/>
  </cols>
  <sheetData>
    <row r="1" spans="1:132" ht="15" customHeight="1">
      <c r="Q1" s="1037" t="s">
        <v>60</v>
      </c>
      <c r="R1" s="1038"/>
      <c r="S1" s="1038"/>
      <c r="T1" s="1038"/>
      <c r="U1" s="1037" t="s">
        <v>61</v>
      </c>
      <c r="V1" s="1038"/>
      <c r="W1" s="1037" t="s">
        <v>62</v>
      </c>
      <c r="X1" s="1038"/>
      <c r="Y1" s="1038"/>
      <c r="Z1" s="1038"/>
      <c r="AA1" s="1038"/>
      <c r="AB1" s="1038"/>
      <c r="AC1" s="1038"/>
      <c r="AD1" s="1038"/>
      <c r="AE1" s="1037" t="s">
        <v>63</v>
      </c>
      <c r="AF1" s="1038"/>
      <c r="AG1" s="1038"/>
      <c r="AH1" s="1038"/>
      <c r="AI1" s="1038"/>
      <c r="AJ1" s="1038"/>
      <c r="AK1" s="1038"/>
      <c r="AL1" s="1038"/>
      <c r="AM1" s="1037" t="s">
        <v>64</v>
      </c>
      <c r="AN1" s="1038"/>
      <c r="AO1" s="1038"/>
      <c r="AP1" s="1038"/>
      <c r="AQ1" s="1038"/>
      <c r="AR1" s="1038"/>
      <c r="AS1" s="1038"/>
      <c r="AT1" s="1038"/>
      <c r="AU1" s="1037" t="s">
        <v>65</v>
      </c>
      <c r="AV1" s="1038"/>
      <c r="AW1" s="1038"/>
      <c r="AX1" s="1038"/>
      <c r="AY1" s="1038"/>
      <c r="AZ1" s="1038"/>
      <c r="BA1" s="1038"/>
      <c r="BB1" s="731" t="s">
        <v>114</v>
      </c>
      <c r="BC1" s="20"/>
    </row>
    <row r="2" spans="1:132" ht="29">
      <c r="B2" s="700" t="s">
        <v>29</v>
      </c>
      <c r="C2" s="710" t="s">
        <v>30</v>
      </c>
      <c r="D2" s="720" t="s">
        <v>3</v>
      </c>
      <c r="E2" s="315" t="s">
        <v>31</v>
      </c>
      <c r="F2" s="315" t="s">
        <v>5</v>
      </c>
      <c r="G2" s="315" t="s">
        <v>108</v>
      </c>
      <c r="H2" s="315" t="s">
        <v>32</v>
      </c>
      <c r="I2" s="315" t="s">
        <v>7</v>
      </c>
      <c r="J2" s="315" t="s">
        <v>68</v>
      </c>
      <c r="K2" s="315" t="s">
        <v>69</v>
      </c>
      <c r="L2" s="315" t="s">
        <v>8</v>
      </c>
      <c r="M2" s="315" t="s">
        <v>9</v>
      </c>
      <c r="N2" s="315" t="s">
        <v>10</v>
      </c>
      <c r="O2" s="315" t="s">
        <v>35</v>
      </c>
      <c r="P2" s="739" t="s">
        <v>11</v>
      </c>
      <c r="Q2" s="732" t="s">
        <v>70</v>
      </c>
      <c r="R2" s="729" t="s">
        <v>71</v>
      </c>
      <c r="S2" s="747" t="s">
        <v>34</v>
      </c>
      <c r="T2" s="783" t="s">
        <v>188</v>
      </c>
      <c r="U2" s="745" t="s">
        <v>72</v>
      </c>
      <c r="V2" s="749" t="s">
        <v>73</v>
      </c>
      <c r="W2" s="748" t="s">
        <v>74</v>
      </c>
      <c r="X2" s="730" t="s">
        <v>31</v>
      </c>
      <c r="Y2" s="730" t="s">
        <v>6</v>
      </c>
      <c r="Z2" s="730" t="s">
        <v>75</v>
      </c>
      <c r="AA2" s="730" t="s">
        <v>7</v>
      </c>
      <c r="AB2" s="730" t="s">
        <v>76</v>
      </c>
      <c r="AC2" s="750" t="s">
        <v>77</v>
      </c>
      <c r="AD2" s="750" t="s">
        <v>189</v>
      </c>
      <c r="AE2" s="748" t="s">
        <v>74</v>
      </c>
      <c r="AF2" s="730" t="s">
        <v>31</v>
      </c>
      <c r="AG2" s="730" t="s">
        <v>6</v>
      </c>
      <c r="AH2" s="730" t="s">
        <v>190</v>
      </c>
      <c r="AI2" s="730" t="s">
        <v>7</v>
      </c>
      <c r="AJ2" s="730" t="s">
        <v>76</v>
      </c>
      <c r="AK2" s="750" t="s">
        <v>77</v>
      </c>
      <c r="AL2" s="750" t="s">
        <v>189</v>
      </c>
      <c r="AM2" s="748" t="s">
        <v>74</v>
      </c>
      <c r="AN2" s="730" t="s">
        <v>31</v>
      </c>
      <c r="AO2" s="730" t="s">
        <v>6</v>
      </c>
      <c r="AP2" s="730" t="s">
        <v>190</v>
      </c>
      <c r="AQ2" s="730" t="s">
        <v>7</v>
      </c>
      <c r="AR2" s="730" t="s">
        <v>76</v>
      </c>
      <c r="AS2" s="750" t="s">
        <v>77</v>
      </c>
      <c r="AT2" s="750" t="s">
        <v>189</v>
      </c>
      <c r="AU2" s="748" t="s">
        <v>74</v>
      </c>
      <c r="AV2" s="730" t="s">
        <v>31</v>
      </c>
      <c r="AW2" s="730" t="s">
        <v>6</v>
      </c>
      <c r="AX2" s="730" t="s">
        <v>75</v>
      </c>
      <c r="AY2" s="730" t="s">
        <v>7</v>
      </c>
      <c r="AZ2" s="730" t="s">
        <v>76</v>
      </c>
      <c r="BA2" s="750" t="s">
        <v>77</v>
      </c>
      <c r="BB2" s="751" t="s">
        <v>78</v>
      </c>
      <c r="BC2" s="20"/>
    </row>
    <row r="3" spans="1:132" ht="14.5">
      <c r="B3" s="675">
        <v>1</v>
      </c>
      <c r="C3" s="676" t="s">
        <v>36</v>
      </c>
      <c r="D3" s="271"/>
      <c r="E3" s="62"/>
      <c r="F3" s="322"/>
      <c r="G3" s="322"/>
      <c r="H3" s="322"/>
      <c r="I3" s="322"/>
      <c r="J3" s="322"/>
      <c r="K3" s="322"/>
      <c r="L3" s="322"/>
      <c r="M3" s="322"/>
      <c r="N3" s="322"/>
      <c r="O3" s="322"/>
      <c r="P3" s="344"/>
      <c r="Q3" s="657"/>
      <c r="R3" s="322"/>
      <c r="S3" s="344"/>
      <c r="T3" s="344"/>
      <c r="U3" s="657"/>
      <c r="V3" s="344"/>
      <c r="W3" s="657"/>
      <c r="X3" s="322"/>
      <c r="Y3" s="322"/>
      <c r="Z3" s="322"/>
      <c r="AA3" s="322"/>
      <c r="AB3" s="322"/>
      <c r="AC3" s="344"/>
      <c r="AD3" s="344"/>
      <c r="AE3" s="657"/>
      <c r="AF3" s="322"/>
      <c r="AG3" s="322"/>
      <c r="AH3" s="322"/>
      <c r="AI3" s="322"/>
      <c r="AJ3" s="322"/>
      <c r="AK3" s="344"/>
      <c r="AL3" s="344"/>
      <c r="AM3" s="657"/>
      <c r="AN3" s="322"/>
      <c r="AO3" s="322"/>
      <c r="AP3" s="322"/>
      <c r="AQ3" s="322"/>
      <c r="AR3" s="322"/>
      <c r="AS3" s="344"/>
      <c r="AT3" s="344"/>
      <c r="AU3" s="657"/>
      <c r="AV3" s="322"/>
      <c r="AW3" s="322"/>
      <c r="AX3" s="322"/>
      <c r="AY3" s="322"/>
      <c r="AZ3" s="322"/>
      <c r="BA3" s="344"/>
      <c r="BB3" s="752"/>
      <c r="BC3" s="20"/>
    </row>
    <row r="4" spans="1:132" s="108" customFormat="1" ht="14.5">
      <c r="A4" s="20"/>
      <c r="B4" s="701">
        <v>2</v>
      </c>
      <c r="C4" s="711" t="s">
        <v>79</v>
      </c>
      <c r="D4" s="721"/>
      <c r="E4" s="230"/>
      <c r="F4" s="334"/>
      <c r="G4" s="334"/>
      <c r="H4" s="334"/>
      <c r="I4" s="334"/>
      <c r="J4" s="231"/>
      <c r="K4" s="231"/>
      <c r="L4" s="231"/>
      <c r="M4" s="231"/>
      <c r="N4" s="231"/>
      <c r="O4" s="231"/>
      <c r="P4" s="646"/>
      <c r="Q4" s="656"/>
      <c r="R4" s="334"/>
      <c r="S4" s="336"/>
      <c r="T4" s="336"/>
      <c r="U4" s="656"/>
      <c r="V4" s="336"/>
      <c r="W4" s="656"/>
      <c r="X4" s="334"/>
      <c r="Y4" s="334"/>
      <c r="Z4" s="334"/>
      <c r="AA4" s="334"/>
      <c r="AB4" s="334"/>
      <c r="AC4" s="336"/>
      <c r="AD4" s="336"/>
      <c r="AE4" s="656"/>
      <c r="AF4" s="334"/>
      <c r="AG4" s="334"/>
      <c r="AH4" s="334"/>
      <c r="AI4" s="334"/>
      <c r="AJ4" s="334"/>
      <c r="AK4" s="336"/>
      <c r="AL4" s="336"/>
      <c r="AM4" s="656"/>
      <c r="AN4" s="334"/>
      <c r="AO4" s="334"/>
      <c r="AP4" s="334"/>
      <c r="AQ4" s="334"/>
      <c r="AR4" s="334"/>
      <c r="AS4" s="336"/>
      <c r="AT4" s="336"/>
      <c r="AU4" s="656"/>
      <c r="AV4" s="334"/>
      <c r="AW4" s="334"/>
      <c r="AX4" s="334"/>
      <c r="AY4" s="334"/>
      <c r="AZ4" s="334"/>
      <c r="BA4" s="336"/>
      <c r="BB4" s="753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</row>
    <row r="5" spans="1:132" s="108" customFormat="1" ht="14.5">
      <c r="A5" s="20"/>
      <c r="B5" s="701">
        <v>2</v>
      </c>
      <c r="C5" s="711" t="s">
        <v>80</v>
      </c>
      <c r="D5" s="721"/>
      <c r="E5" s="230"/>
      <c r="F5" s="334"/>
      <c r="G5" s="334"/>
      <c r="H5" s="334"/>
      <c r="I5" s="334"/>
      <c r="J5" s="334"/>
      <c r="K5" s="334"/>
      <c r="L5" s="334"/>
      <c r="M5" s="334"/>
      <c r="N5" s="334"/>
      <c r="O5" s="334"/>
      <c r="P5" s="336"/>
      <c r="Q5" s="656"/>
      <c r="R5" s="334"/>
      <c r="S5" s="336"/>
      <c r="T5" s="336"/>
      <c r="U5" s="656"/>
      <c r="V5" s="336"/>
      <c r="W5" s="656"/>
      <c r="X5" s="334"/>
      <c r="Y5" s="334"/>
      <c r="Z5" s="334"/>
      <c r="AA5" s="334"/>
      <c r="AB5" s="334"/>
      <c r="AC5" s="336"/>
      <c r="AD5" s="336"/>
      <c r="AE5" s="656"/>
      <c r="AF5" s="334"/>
      <c r="AG5" s="334"/>
      <c r="AH5" s="334"/>
      <c r="AI5" s="334"/>
      <c r="AJ5" s="334"/>
      <c r="AK5" s="336"/>
      <c r="AL5" s="336"/>
      <c r="AM5" s="656"/>
      <c r="AN5" s="334"/>
      <c r="AO5" s="334"/>
      <c r="AP5" s="334"/>
      <c r="AQ5" s="334"/>
      <c r="AR5" s="334"/>
      <c r="AS5" s="336"/>
      <c r="AT5" s="336"/>
      <c r="AU5" s="656"/>
      <c r="AV5" s="334"/>
      <c r="AW5" s="334"/>
      <c r="AX5" s="334"/>
      <c r="AY5" s="334"/>
      <c r="AZ5" s="334"/>
      <c r="BA5" s="336"/>
      <c r="BB5" s="753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</row>
    <row r="6" spans="1:132" ht="14.5">
      <c r="B6" s="675">
        <v>3</v>
      </c>
      <c r="C6" s="676" t="s">
        <v>38</v>
      </c>
      <c r="D6" s="271"/>
      <c r="E6" s="518"/>
      <c r="F6" s="322"/>
      <c r="G6" s="322"/>
      <c r="H6" s="322"/>
      <c r="I6" s="322"/>
      <c r="J6" s="322"/>
      <c r="K6" s="322"/>
      <c r="L6" s="322"/>
      <c r="M6" s="322"/>
      <c r="N6" s="322"/>
      <c r="O6" s="322"/>
      <c r="P6" s="344"/>
      <c r="Q6" s="657"/>
      <c r="R6" s="322"/>
      <c r="S6" s="344"/>
      <c r="T6" s="344"/>
      <c r="U6" s="657"/>
      <c r="V6" s="344"/>
      <c r="W6" s="233"/>
      <c r="X6" s="62"/>
      <c r="Y6" s="62"/>
      <c r="Z6" s="62"/>
      <c r="AA6" s="62"/>
      <c r="AB6" s="62"/>
      <c r="AC6" s="262"/>
      <c r="AD6" s="262"/>
      <c r="AE6" s="233"/>
      <c r="AF6" s="62"/>
      <c r="AG6" s="62"/>
      <c r="AH6" s="62"/>
      <c r="AI6" s="62"/>
      <c r="AJ6" s="62"/>
      <c r="AK6" s="262"/>
      <c r="AL6" s="262"/>
      <c r="AM6" s="233"/>
      <c r="AN6" s="62"/>
      <c r="AO6" s="62"/>
      <c r="AP6" s="62"/>
      <c r="AQ6" s="62"/>
      <c r="AR6" s="62"/>
      <c r="AS6" s="262"/>
      <c r="AT6" s="262"/>
      <c r="AU6" s="233"/>
      <c r="AV6" s="62"/>
      <c r="AW6" s="62"/>
      <c r="AX6" s="62"/>
      <c r="AY6" s="62"/>
      <c r="AZ6" s="62"/>
      <c r="BA6" s="262"/>
      <c r="BB6" s="754"/>
      <c r="BC6" s="20"/>
    </row>
    <row r="7" spans="1:132" ht="14.5">
      <c r="B7" s="675">
        <v>4</v>
      </c>
      <c r="C7" s="676" t="s">
        <v>81</v>
      </c>
      <c r="D7" s="271"/>
      <c r="E7" s="62"/>
      <c r="F7" s="322"/>
      <c r="G7" s="322"/>
      <c r="H7" s="322"/>
      <c r="I7" s="322"/>
      <c r="J7" s="322"/>
      <c r="K7" s="322"/>
      <c r="L7" s="322"/>
      <c r="M7" s="322"/>
      <c r="N7" s="322"/>
      <c r="O7" s="322"/>
      <c r="P7" s="344"/>
      <c r="Q7" s="657"/>
      <c r="R7" s="322"/>
      <c r="S7" s="344"/>
      <c r="T7" s="344"/>
      <c r="U7" s="657"/>
      <c r="V7" s="344"/>
      <c r="W7" s="233"/>
      <c r="X7" s="322"/>
      <c r="Y7" s="322"/>
      <c r="Z7" s="322"/>
      <c r="AA7" s="322"/>
      <c r="AB7" s="322"/>
      <c r="AC7" s="344"/>
      <c r="AD7" s="344"/>
      <c r="AE7" s="233"/>
      <c r="AF7" s="322"/>
      <c r="AG7" s="322"/>
      <c r="AH7" s="322"/>
      <c r="AI7" s="322"/>
      <c r="AJ7" s="322"/>
      <c r="AK7" s="344"/>
      <c r="AL7" s="344"/>
      <c r="AM7" s="233"/>
      <c r="AN7" s="322"/>
      <c r="AO7" s="322"/>
      <c r="AP7" s="322"/>
      <c r="AQ7" s="322"/>
      <c r="AR7" s="322"/>
      <c r="AS7" s="344"/>
      <c r="AT7" s="344"/>
      <c r="AU7" s="233"/>
      <c r="AV7" s="322"/>
      <c r="AW7" s="322"/>
      <c r="AX7" s="322"/>
      <c r="AY7" s="322"/>
      <c r="AZ7" s="322"/>
      <c r="BA7" s="344"/>
      <c r="BB7" s="754"/>
      <c r="BC7" s="20"/>
    </row>
    <row r="8" spans="1:132" s="135" customFormat="1" ht="14.5">
      <c r="A8" s="20"/>
      <c r="B8" s="702">
        <v>5</v>
      </c>
      <c r="C8" s="712" t="s">
        <v>83</v>
      </c>
      <c r="D8" s="1065"/>
      <c r="E8" s="366"/>
      <c r="F8" s="366"/>
      <c r="G8" s="366"/>
      <c r="H8" s="366"/>
      <c r="I8" s="366"/>
      <c r="J8" s="366"/>
      <c r="K8" s="366"/>
      <c r="L8" s="366"/>
      <c r="M8" s="366"/>
      <c r="N8" s="366"/>
      <c r="O8" s="366"/>
      <c r="P8" s="369"/>
      <c r="Q8" s="365"/>
      <c r="R8" s="366"/>
      <c r="S8" s="369"/>
      <c r="T8" s="369"/>
      <c r="U8" s="365"/>
      <c r="V8" s="369"/>
      <c r="W8" s="365"/>
      <c r="X8" s="366"/>
      <c r="Y8" s="366"/>
      <c r="Z8" s="366"/>
      <c r="AA8" s="366"/>
      <c r="AB8" s="366"/>
      <c r="AC8" s="369"/>
      <c r="AD8" s="369"/>
      <c r="AE8" s="365"/>
      <c r="AF8" s="366"/>
      <c r="AG8" s="366"/>
      <c r="AH8" s="366"/>
      <c r="AI8" s="366"/>
      <c r="AJ8" s="366"/>
      <c r="AK8" s="369"/>
      <c r="AL8" s="369"/>
      <c r="AM8" s="365"/>
      <c r="AN8" s="366"/>
      <c r="AO8" s="366"/>
      <c r="AP8" s="366"/>
      <c r="AQ8" s="366"/>
      <c r="AR8" s="366"/>
      <c r="AS8" s="369"/>
      <c r="AT8" s="369"/>
      <c r="AU8" s="365"/>
      <c r="AV8" s="366"/>
      <c r="AW8" s="366"/>
      <c r="AX8" s="366"/>
      <c r="AY8" s="366"/>
      <c r="AZ8" s="366"/>
      <c r="BA8" s="369"/>
      <c r="BB8" s="755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</row>
    <row r="9" spans="1:132" ht="18.75" customHeight="1">
      <c r="B9" s="703">
        <v>5.0999999999999996</v>
      </c>
      <c r="C9" s="713" t="s">
        <v>84</v>
      </c>
      <c r="D9" s="1065"/>
      <c r="E9" s="376"/>
      <c r="F9" s="376"/>
      <c r="G9" s="376"/>
      <c r="H9" s="376"/>
      <c r="I9" s="376"/>
      <c r="J9" s="377"/>
      <c r="K9" s="377"/>
      <c r="L9" s="376"/>
      <c r="M9" s="376"/>
      <c r="N9" s="376"/>
      <c r="O9" s="377"/>
      <c r="P9" s="740"/>
      <c r="Q9" s="384"/>
      <c r="R9" s="376"/>
      <c r="S9" s="380"/>
      <c r="T9" s="380"/>
      <c r="U9" s="384"/>
      <c r="V9" s="380"/>
      <c r="W9" s="384"/>
      <c r="X9" s="376"/>
      <c r="Y9" s="376"/>
      <c r="Z9" s="376"/>
      <c r="AA9" s="376"/>
      <c r="AB9" s="376"/>
      <c r="AC9" s="380"/>
      <c r="AD9" s="380"/>
      <c r="AE9" s="384"/>
      <c r="AF9" s="376"/>
      <c r="AG9" s="376"/>
      <c r="AH9" s="376"/>
      <c r="AI9" s="376"/>
      <c r="AJ9" s="376"/>
      <c r="AK9" s="380"/>
      <c r="AL9" s="380"/>
      <c r="AM9" s="384"/>
      <c r="AN9" s="376"/>
      <c r="AO9" s="376"/>
      <c r="AP9" s="376"/>
      <c r="AQ9" s="376"/>
      <c r="AR9" s="376"/>
      <c r="AS9" s="380"/>
      <c r="AT9" s="380"/>
      <c r="AU9" s="384"/>
      <c r="AV9" s="376"/>
      <c r="AW9" s="376"/>
      <c r="AX9" s="376"/>
      <c r="AY9" s="376"/>
      <c r="AZ9" s="376"/>
      <c r="BA9" s="380"/>
      <c r="BB9" s="756"/>
      <c r="BC9" s="20"/>
    </row>
    <row r="10" spans="1:132" ht="87" customHeight="1">
      <c r="B10" s="703"/>
      <c r="C10" s="713" t="s">
        <v>115</v>
      </c>
      <c r="D10" s="1065"/>
      <c r="E10" s="376"/>
      <c r="F10" s="376"/>
      <c r="G10" s="376"/>
      <c r="H10" s="376"/>
      <c r="I10" s="376"/>
      <c r="J10" s="377"/>
      <c r="K10" s="377"/>
      <c r="L10" s="376"/>
      <c r="M10" s="376"/>
      <c r="N10" s="376"/>
      <c r="O10" s="377"/>
      <c r="P10" s="740"/>
      <c r="Q10" s="384"/>
      <c r="R10" s="376"/>
      <c r="S10" s="380"/>
      <c r="T10" s="380">
        <v>1</v>
      </c>
      <c r="U10" s="384"/>
      <c r="V10" s="380"/>
      <c r="W10" s="384"/>
      <c r="X10" s="376"/>
      <c r="Y10" s="376"/>
      <c r="Z10" s="376"/>
      <c r="AA10" s="376"/>
      <c r="AB10" s="376"/>
      <c r="AC10" s="380"/>
      <c r="AD10" s="380"/>
      <c r="AE10" s="384"/>
      <c r="AF10" s="376"/>
      <c r="AG10" s="376"/>
      <c r="AH10" s="376"/>
      <c r="AI10" s="376"/>
      <c r="AJ10" s="376"/>
      <c r="AK10" s="380"/>
      <c r="AL10" s="380"/>
      <c r="AM10" s="384"/>
      <c r="AN10" s="376"/>
      <c r="AO10" s="376"/>
      <c r="AP10" s="376"/>
      <c r="AQ10" s="376"/>
      <c r="AR10" s="376"/>
      <c r="AS10" s="380"/>
      <c r="AT10" s="380"/>
      <c r="AU10" s="384"/>
      <c r="AV10" s="376"/>
      <c r="AW10" s="376"/>
      <c r="AX10" s="376"/>
      <c r="AY10" s="376"/>
      <c r="AZ10" s="376"/>
      <c r="BA10" s="380"/>
      <c r="BB10" s="756"/>
      <c r="BC10" s="20"/>
    </row>
    <row r="11" spans="1:132" ht="18.5">
      <c r="B11" s="703"/>
      <c r="C11" s="713" t="s">
        <v>116</v>
      </c>
      <c r="D11" s="1065"/>
      <c r="E11" s="376"/>
      <c r="F11" s="376"/>
      <c r="G11" s="376"/>
      <c r="H11" s="376"/>
      <c r="I11" s="376"/>
      <c r="J11" s="377"/>
      <c r="K11" s="377"/>
      <c r="L11" s="376"/>
      <c r="M11" s="376"/>
      <c r="N11" s="376"/>
      <c r="O11" s="377"/>
      <c r="P11" s="740"/>
      <c r="Q11" s="384"/>
      <c r="R11" s="376"/>
      <c r="S11" s="380"/>
      <c r="T11" s="380"/>
      <c r="U11" s="384"/>
      <c r="V11" s="380"/>
      <c r="W11" s="384"/>
      <c r="X11" s="376"/>
      <c r="Y11" s="376"/>
      <c r="Z11" s="376"/>
      <c r="AA11" s="376"/>
      <c r="AB11" s="376"/>
      <c r="AC11" s="380"/>
      <c r="AD11" s="380"/>
      <c r="AE11" s="384"/>
      <c r="AF11" s="376"/>
      <c r="AG11" s="376"/>
      <c r="AH11" s="376"/>
      <c r="AI11" s="376"/>
      <c r="AJ11" s="376"/>
      <c r="AK11" s="380"/>
      <c r="AL11" s="380"/>
      <c r="AM11" s="384"/>
      <c r="AN11" s="376"/>
      <c r="AO11" s="376"/>
      <c r="AP11" s="376"/>
      <c r="AQ11" s="376"/>
      <c r="AR11" s="376"/>
      <c r="AS11" s="380"/>
      <c r="AT11" s="380"/>
      <c r="AU11" s="384"/>
      <c r="AV11" s="376"/>
      <c r="AW11" s="376"/>
      <c r="AX11" s="376"/>
      <c r="AY11" s="376"/>
      <c r="AZ11" s="376"/>
      <c r="BA11" s="380"/>
      <c r="BB11" s="756"/>
      <c r="BC11" s="20"/>
    </row>
    <row r="12" spans="1:132" ht="18.5">
      <c r="B12" s="703"/>
      <c r="C12" s="713" t="s">
        <v>117</v>
      </c>
      <c r="D12" s="1065"/>
      <c r="E12" s="376"/>
      <c r="F12" s="376"/>
      <c r="G12" s="376"/>
      <c r="H12" s="376"/>
      <c r="I12" s="376"/>
      <c r="J12" s="377"/>
      <c r="K12" s="377"/>
      <c r="L12" s="376"/>
      <c r="M12" s="376"/>
      <c r="N12" s="376"/>
      <c r="O12" s="377"/>
      <c r="P12" s="740"/>
      <c r="Q12" s="384"/>
      <c r="R12" s="376"/>
      <c r="S12" s="380"/>
      <c r="T12" s="380"/>
      <c r="U12" s="384"/>
      <c r="V12" s="380"/>
      <c r="W12" s="384"/>
      <c r="X12" s="376"/>
      <c r="Y12" s="376"/>
      <c r="Z12" s="376"/>
      <c r="AA12" s="376"/>
      <c r="AB12" s="376"/>
      <c r="AC12" s="380"/>
      <c r="AD12" s="380"/>
      <c r="AE12" s="384"/>
      <c r="AF12" s="376"/>
      <c r="AG12" s="376"/>
      <c r="AH12" s="376"/>
      <c r="AI12" s="376"/>
      <c r="AJ12" s="376"/>
      <c r="AK12" s="380"/>
      <c r="AL12" s="380"/>
      <c r="AM12" s="384"/>
      <c r="AN12" s="376"/>
      <c r="AO12" s="376"/>
      <c r="AP12" s="376"/>
      <c r="AQ12" s="376"/>
      <c r="AR12" s="376"/>
      <c r="AS12" s="380"/>
      <c r="AT12" s="380"/>
      <c r="AU12" s="384"/>
      <c r="AV12" s="376"/>
      <c r="AW12" s="376"/>
      <c r="AX12" s="376"/>
      <c r="AY12" s="376"/>
      <c r="AZ12" s="376"/>
      <c r="BA12" s="380"/>
      <c r="BB12" s="756"/>
      <c r="BC12" s="20"/>
    </row>
    <row r="13" spans="1:132" ht="18.5">
      <c r="B13" s="703"/>
      <c r="C13" s="713" t="s">
        <v>118</v>
      </c>
      <c r="D13" s="1065"/>
      <c r="E13" s="376"/>
      <c r="F13" s="376"/>
      <c r="G13" s="376"/>
      <c r="H13" s="376"/>
      <c r="I13" s="376"/>
      <c r="J13" s="377"/>
      <c r="K13" s="377"/>
      <c r="L13" s="376"/>
      <c r="M13" s="376"/>
      <c r="N13" s="376"/>
      <c r="O13" s="377"/>
      <c r="P13" s="740"/>
      <c r="Q13" s="384"/>
      <c r="R13" s="376"/>
      <c r="S13" s="380"/>
      <c r="T13" s="380"/>
      <c r="U13" s="384"/>
      <c r="V13" s="380"/>
      <c r="W13" s="384"/>
      <c r="X13" s="376"/>
      <c r="Y13" s="376"/>
      <c r="Z13" s="376"/>
      <c r="AA13" s="376"/>
      <c r="AB13" s="376"/>
      <c r="AC13" s="380"/>
      <c r="AD13" s="380"/>
      <c r="AE13" s="384"/>
      <c r="AF13" s="376"/>
      <c r="AG13" s="376"/>
      <c r="AH13" s="376"/>
      <c r="AI13" s="376"/>
      <c r="AJ13" s="376"/>
      <c r="AK13" s="380"/>
      <c r="AL13" s="380"/>
      <c r="AM13" s="384"/>
      <c r="AN13" s="376"/>
      <c r="AO13" s="376"/>
      <c r="AP13" s="376"/>
      <c r="AQ13" s="376"/>
      <c r="AR13" s="376"/>
      <c r="AS13" s="380"/>
      <c r="AT13" s="380"/>
      <c r="AU13" s="384"/>
      <c r="AV13" s="376"/>
      <c r="AW13" s="376"/>
      <c r="AX13" s="376"/>
      <c r="AY13" s="376"/>
      <c r="AZ13" s="376"/>
      <c r="BA13" s="380"/>
      <c r="BB13" s="756"/>
      <c r="BC13" s="20"/>
    </row>
    <row r="14" spans="1:132" ht="18.5">
      <c r="B14" s="703">
        <v>5.2</v>
      </c>
      <c r="C14" s="713" t="s">
        <v>86</v>
      </c>
      <c r="D14" s="1065"/>
      <c r="E14" s="376"/>
      <c r="F14" s="376"/>
      <c r="G14" s="376"/>
      <c r="H14" s="376"/>
      <c r="I14" s="376"/>
      <c r="J14" s="377"/>
      <c r="K14" s="377"/>
      <c r="L14" s="376"/>
      <c r="M14" s="376"/>
      <c r="N14" s="376"/>
      <c r="O14" s="377"/>
      <c r="P14" s="740"/>
      <c r="Q14" s="384"/>
      <c r="R14" s="376"/>
      <c r="S14" s="380"/>
      <c r="T14" s="380"/>
      <c r="U14" s="384"/>
      <c r="V14" s="380"/>
      <c r="W14" s="384"/>
      <c r="X14" s="376"/>
      <c r="Y14" s="376"/>
      <c r="Z14" s="376"/>
      <c r="AA14" s="376"/>
      <c r="AB14" s="376"/>
      <c r="AC14" s="380"/>
      <c r="AD14" s="380"/>
      <c r="AE14" s="384"/>
      <c r="AF14" s="376"/>
      <c r="AG14" s="376"/>
      <c r="AH14" s="376"/>
      <c r="AI14" s="376"/>
      <c r="AJ14" s="376"/>
      <c r="AK14" s="380"/>
      <c r="AL14" s="380"/>
      <c r="AM14" s="384"/>
      <c r="AN14" s="376"/>
      <c r="AO14" s="376"/>
      <c r="AP14" s="376"/>
      <c r="AQ14" s="376"/>
      <c r="AR14" s="376"/>
      <c r="AS14" s="380"/>
      <c r="AT14" s="380"/>
      <c r="AU14" s="384"/>
      <c r="AV14" s="376"/>
      <c r="AW14" s="376"/>
      <c r="AX14" s="376"/>
      <c r="AY14" s="376"/>
      <c r="AZ14" s="376"/>
      <c r="BA14" s="380"/>
      <c r="BB14" s="756"/>
      <c r="BC14" s="20"/>
    </row>
    <row r="15" spans="1:132" ht="18.5">
      <c r="B15" s="703"/>
      <c r="C15" s="713" t="s">
        <v>87</v>
      </c>
      <c r="D15" s="1065"/>
      <c r="E15" s="428"/>
      <c r="F15" s="376"/>
      <c r="G15" s="376"/>
      <c r="H15" s="376"/>
      <c r="I15" s="376"/>
      <c r="J15" s="377"/>
      <c r="K15" s="377"/>
      <c r="L15" s="376"/>
      <c r="M15" s="376"/>
      <c r="N15" s="376"/>
      <c r="O15" s="377"/>
      <c r="P15" s="740"/>
      <c r="Q15" s="384"/>
      <c r="R15" s="376"/>
      <c r="S15" s="380"/>
      <c r="T15" s="380"/>
      <c r="U15" s="384"/>
      <c r="V15" s="380"/>
      <c r="W15" s="384"/>
      <c r="X15" s="376"/>
      <c r="Y15" s="376"/>
      <c r="Z15" s="376"/>
      <c r="AA15" s="376"/>
      <c r="AB15" s="376"/>
      <c r="AC15" s="380"/>
      <c r="AD15" s="380"/>
      <c r="AE15" s="384"/>
      <c r="AF15" s="376"/>
      <c r="AG15" s="376"/>
      <c r="AH15" s="376"/>
      <c r="AI15" s="376"/>
      <c r="AJ15" s="376"/>
      <c r="AK15" s="380"/>
      <c r="AL15" s="380"/>
      <c r="AM15" s="384"/>
      <c r="AN15" s="376"/>
      <c r="AO15" s="376"/>
      <c r="AP15" s="376"/>
      <c r="AQ15" s="376"/>
      <c r="AR15" s="376"/>
      <c r="AS15" s="380"/>
      <c r="AT15" s="380"/>
      <c r="AU15" s="384"/>
      <c r="AV15" s="376"/>
      <c r="AW15" s="376"/>
      <c r="AX15" s="376"/>
      <c r="AY15" s="376"/>
      <c r="AZ15" s="376"/>
      <c r="BA15" s="380"/>
      <c r="BB15" s="756"/>
      <c r="BC15" s="20"/>
    </row>
    <row r="16" spans="1:132" ht="18.5">
      <c r="B16" s="703"/>
      <c r="C16" s="713" t="s">
        <v>179</v>
      </c>
      <c r="D16" s="1065"/>
      <c r="E16" s="428"/>
      <c r="F16" s="376"/>
      <c r="G16" s="376"/>
      <c r="H16" s="376"/>
      <c r="I16" s="376"/>
      <c r="J16" s="377"/>
      <c r="K16" s="377"/>
      <c r="L16" s="376"/>
      <c r="M16" s="376"/>
      <c r="N16" s="376"/>
      <c r="O16" s="377"/>
      <c r="P16" s="740"/>
      <c r="Q16" s="384"/>
      <c r="R16" s="376"/>
      <c r="S16" s="380"/>
      <c r="T16" s="380"/>
      <c r="U16" s="384"/>
      <c r="V16" s="380"/>
      <c r="W16" s="384"/>
      <c r="X16" s="376"/>
      <c r="Y16" s="376"/>
      <c r="Z16" s="376"/>
      <c r="AA16" s="376"/>
      <c r="AB16" s="376"/>
      <c r="AC16" s="380"/>
      <c r="AD16" s="380"/>
      <c r="AE16" s="384"/>
      <c r="AF16" s="376"/>
      <c r="AG16" s="376"/>
      <c r="AH16" s="376"/>
      <c r="AI16" s="376"/>
      <c r="AJ16" s="376"/>
      <c r="AK16" s="380"/>
      <c r="AL16" s="380"/>
      <c r="AM16" s="384"/>
      <c r="AN16" s="376"/>
      <c r="AO16" s="376"/>
      <c r="AP16" s="376"/>
      <c r="AQ16" s="376"/>
      <c r="AR16" s="376"/>
      <c r="AS16" s="380"/>
      <c r="AT16" s="380"/>
      <c r="AU16" s="384"/>
      <c r="AV16" s="376"/>
      <c r="AW16" s="376"/>
      <c r="AX16" s="376"/>
      <c r="AY16" s="376"/>
      <c r="AZ16" s="376"/>
      <c r="BA16" s="380"/>
      <c r="BB16" s="756"/>
      <c r="BC16" s="20"/>
    </row>
    <row r="17" spans="2:58" ht="18.5">
      <c r="B17" s="703"/>
      <c r="C17" s="713" t="s">
        <v>180</v>
      </c>
      <c r="D17" s="1065"/>
      <c r="E17" s="428"/>
      <c r="F17" s="376"/>
      <c r="G17" s="376"/>
      <c r="H17" s="376"/>
      <c r="I17" s="376"/>
      <c r="J17" s="377"/>
      <c r="K17" s="377"/>
      <c r="L17" s="376"/>
      <c r="M17" s="376"/>
      <c r="N17" s="376"/>
      <c r="O17" s="377"/>
      <c r="P17" s="740"/>
      <c r="Q17" s="384"/>
      <c r="R17" s="376"/>
      <c r="S17" s="380"/>
      <c r="T17" s="380"/>
      <c r="U17" s="384"/>
      <c r="V17" s="380"/>
      <c r="W17" s="384"/>
      <c r="X17" s="376"/>
      <c r="Y17" s="376"/>
      <c r="Z17" s="376"/>
      <c r="AA17" s="376"/>
      <c r="AB17" s="376"/>
      <c r="AC17" s="380"/>
      <c r="AD17" s="380"/>
      <c r="AE17" s="384"/>
      <c r="AF17" s="376"/>
      <c r="AG17" s="376"/>
      <c r="AH17" s="376"/>
      <c r="AI17" s="376"/>
      <c r="AJ17" s="376"/>
      <c r="AK17" s="380"/>
      <c r="AL17" s="380"/>
      <c r="AM17" s="384"/>
      <c r="AN17" s="376"/>
      <c r="AO17" s="376"/>
      <c r="AP17" s="376"/>
      <c r="AQ17" s="376"/>
      <c r="AR17" s="376"/>
      <c r="AS17" s="380"/>
      <c r="AT17" s="380"/>
      <c r="AU17" s="384"/>
      <c r="AV17" s="376"/>
      <c r="AW17" s="376"/>
      <c r="AX17" s="376"/>
      <c r="AY17" s="376"/>
      <c r="AZ17" s="376"/>
      <c r="BA17" s="380"/>
      <c r="BB17" s="756"/>
      <c r="BC17" s="20"/>
    </row>
    <row r="18" spans="2:58" ht="18.5">
      <c r="B18" s="703"/>
      <c r="C18" s="713" t="s">
        <v>181</v>
      </c>
      <c r="D18" s="1065"/>
      <c r="E18" s="428"/>
      <c r="F18" s="376"/>
      <c r="G18" s="376"/>
      <c r="H18" s="376"/>
      <c r="I18" s="376"/>
      <c r="J18" s="377"/>
      <c r="K18" s="377"/>
      <c r="L18" s="376"/>
      <c r="M18" s="376"/>
      <c r="N18" s="376"/>
      <c r="O18" s="377"/>
      <c r="P18" s="740"/>
      <c r="Q18" s="384"/>
      <c r="R18" s="376"/>
      <c r="S18" s="380"/>
      <c r="T18" s="380"/>
      <c r="U18" s="384"/>
      <c r="V18" s="380"/>
      <c r="W18" s="384"/>
      <c r="X18" s="376"/>
      <c r="Y18" s="376"/>
      <c r="Z18" s="376"/>
      <c r="AA18" s="376"/>
      <c r="AB18" s="376"/>
      <c r="AC18" s="380"/>
      <c r="AD18" s="380"/>
      <c r="AE18" s="384"/>
      <c r="AF18" s="376"/>
      <c r="AG18" s="376"/>
      <c r="AH18" s="376"/>
      <c r="AI18" s="376"/>
      <c r="AJ18" s="376"/>
      <c r="AK18" s="380"/>
      <c r="AL18" s="380"/>
      <c r="AM18" s="384"/>
      <c r="AN18" s="376"/>
      <c r="AO18" s="376"/>
      <c r="AP18" s="376"/>
      <c r="AQ18" s="376"/>
      <c r="AR18" s="376"/>
      <c r="AS18" s="380"/>
      <c r="AT18" s="380"/>
      <c r="AU18" s="384"/>
      <c r="AV18" s="376"/>
      <c r="AW18" s="376"/>
      <c r="AX18" s="376"/>
      <c r="AY18" s="376"/>
      <c r="AZ18" s="376"/>
      <c r="BA18" s="380"/>
      <c r="BB18" s="756"/>
      <c r="BC18" s="20"/>
    </row>
    <row r="19" spans="2:58" ht="18.75" customHeight="1">
      <c r="B19" s="722">
        <v>6</v>
      </c>
      <c r="C19" s="722" t="s">
        <v>191</v>
      </c>
      <c r="D19" s="722"/>
      <c r="E19" s="254"/>
      <c r="F19" s="254"/>
      <c r="G19" s="254"/>
      <c r="H19" s="254"/>
      <c r="I19" s="254"/>
      <c r="J19" s="255"/>
      <c r="K19" s="255"/>
      <c r="L19" s="254"/>
      <c r="M19" s="254"/>
      <c r="N19" s="254"/>
      <c r="O19" s="254"/>
      <c r="P19" s="267"/>
      <c r="Q19" s="733"/>
      <c r="R19" s="254"/>
      <c r="S19" s="267"/>
      <c r="T19" s="267"/>
      <c r="U19" s="348"/>
      <c r="V19" s="267"/>
      <c r="W19" s="348"/>
      <c r="X19" s="254"/>
      <c r="Y19" s="254"/>
      <c r="Z19" s="254"/>
      <c r="AA19" s="254"/>
      <c r="AB19" s="254"/>
      <c r="AC19" s="267"/>
      <c r="AD19" s="267"/>
      <c r="AE19" s="348"/>
      <c r="AF19" s="254"/>
      <c r="AG19" s="254"/>
      <c r="AH19" s="254"/>
      <c r="AI19" s="254"/>
      <c r="AJ19" s="254"/>
      <c r="AK19" s="267"/>
      <c r="AL19" s="267"/>
      <c r="AM19" s="348"/>
      <c r="AN19" s="254"/>
      <c r="AO19" s="254"/>
      <c r="AP19" s="254"/>
      <c r="AQ19" s="254"/>
      <c r="AR19" s="254"/>
      <c r="AS19" s="267"/>
      <c r="AT19" s="267"/>
      <c r="AU19" s="348"/>
      <c r="AV19" s="254"/>
      <c r="AW19" s="254"/>
      <c r="AX19" s="254"/>
      <c r="AY19" s="254"/>
      <c r="AZ19" s="254"/>
      <c r="BA19" s="267"/>
      <c r="BB19" s="757"/>
      <c r="BC19" s="141"/>
      <c r="BD19" s="141"/>
      <c r="BE19" s="141"/>
      <c r="BF19" s="141"/>
    </row>
    <row r="20" spans="2:58" ht="18.5">
      <c r="B20" s="246"/>
      <c r="C20" s="782" t="s">
        <v>95</v>
      </c>
      <c r="D20" s="1066"/>
      <c r="E20" s="1044"/>
      <c r="F20" s="1044"/>
      <c r="G20" s="1044"/>
      <c r="H20" s="246"/>
      <c r="I20" s="246"/>
      <c r="J20" s="247"/>
      <c r="K20" s="247"/>
      <c r="L20" s="1044"/>
      <c r="M20" s="492"/>
      <c r="N20" s="246"/>
      <c r="O20" s="246"/>
      <c r="P20" s="268"/>
      <c r="Q20" s="734"/>
      <c r="R20" s="246"/>
      <c r="S20" s="268"/>
      <c r="T20" s="268"/>
      <c r="U20" s="266"/>
      <c r="V20" s="268"/>
      <c r="W20" s="266"/>
      <c r="X20" s="246"/>
      <c r="Y20" s="246"/>
      <c r="Z20" s="246"/>
      <c r="AA20" s="246"/>
      <c r="AB20" s="246"/>
      <c r="AC20" s="268"/>
      <c r="AD20" s="268"/>
      <c r="AE20" s="266"/>
      <c r="AF20" s="246"/>
      <c r="AG20" s="246"/>
      <c r="AH20" s="246"/>
      <c r="AI20" s="246"/>
      <c r="AJ20" s="246"/>
      <c r="AK20" s="268"/>
      <c r="AL20" s="268"/>
      <c r="AM20" s="266"/>
      <c r="AN20" s="246"/>
      <c r="AO20" s="246"/>
      <c r="AP20" s="246"/>
      <c r="AQ20" s="246"/>
      <c r="AR20" s="246"/>
      <c r="AS20" s="268"/>
      <c r="AT20" s="268"/>
      <c r="AU20" s="266"/>
      <c r="AV20" s="246"/>
      <c r="AW20" s="246"/>
      <c r="AX20" s="246"/>
      <c r="AY20" s="246"/>
      <c r="AZ20" s="246"/>
      <c r="BA20" s="268"/>
      <c r="BB20" s="289"/>
      <c r="BC20" s="141"/>
      <c r="BD20" s="141"/>
      <c r="BE20" s="141"/>
      <c r="BF20" s="141"/>
    </row>
    <row r="21" spans="2:58" ht="18.5">
      <c r="B21" s="246"/>
      <c r="C21" s="782" t="s">
        <v>96</v>
      </c>
      <c r="D21" s="1066"/>
      <c r="E21" s="1044"/>
      <c r="F21" s="1044"/>
      <c r="G21" s="1044"/>
      <c r="H21" s="246"/>
      <c r="I21" s="246"/>
      <c r="J21" s="247"/>
      <c r="K21" s="247"/>
      <c r="L21" s="1044"/>
      <c r="M21" s="492"/>
      <c r="N21" s="246"/>
      <c r="O21" s="246"/>
      <c r="P21" s="268"/>
      <c r="Q21" s="734"/>
      <c r="R21" s="246"/>
      <c r="S21" s="268"/>
      <c r="T21" s="268"/>
      <c r="U21" s="266"/>
      <c r="V21" s="268"/>
      <c r="W21" s="266"/>
      <c r="X21" s="246"/>
      <c r="Y21" s="246"/>
      <c r="Z21" s="246"/>
      <c r="AA21" s="246"/>
      <c r="AB21" s="246"/>
      <c r="AC21" s="268"/>
      <c r="AD21" s="268"/>
      <c r="AE21" s="266"/>
      <c r="AF21" s="246"/>
      <c r="AG21" s="246"/>
      <c r="AH21" s="246"/>
      <c r="AI21" s="246"/>
      <c r="AJ21" s="246"/>
      <c r="AK21" s="268"/>
      <c r="AL21" s="268"/>
      <c r="AM21" s="266"/>
      <c r="AN21" s="246"/>
      <c r="AO21" s="246"/>
      <c r="AP21" s="246"/>
      <c r="AQ21" s="246"/>
      <c r="AR21" s="246"/>
      <c r="AS21" s="268"/>
      <c r="AT21" s="268"/>
      <c r="AU21" s="266"/>
      <c r="AV21" s="246"/>
      <c r="AW21" s="246"/>
      <c r="AX21" s="246"/>
      <c r="AY21" s="246"/>
      <c r="AZ21" s="246"/>
      <c r="BA21" s="268"/>
      <c r="BB21" s="289"/>
      <c r="BC21" s="141"/>
      <c r="BD21" s="141"/>
      <c r="BE21" s="141"/>
      <c r="BF21" s="141"/>
    </row>
    <row r="22" spans="2:58" ht="18.5">
      <c r="B22" s="246"/>
      <c r="C22" s="782" t="s">
        <v>97</v>
      </c>
      <c r="D22" s="1066"/>
      <c r="E22" s="1044"/>
      <c r="F22" s="1044"/>
      <c r="G22" s="1044"/>
      <c r="H22" s="246"/>
      <c r="I22" s="246"/>
      <c r="J22" s="247"/>
      <c r="K22" s="247"/>
      <c r="L22" s="1044"/>
      <c r="M22" s="492"/>
      <c r="N22" s="246"/>
      <c r="O22" s="246"/>
      <c r="P22" s="268"/>
      <c r="Q22" s="734"/>
      <c r="R22" s="246"/>
      <c r="S22" s="268"/>
      <c r="T22" s="268"/>
      <c r="U22" s="266"/>
      <c r="V22" s="268"/>
      <c r="W22" s="266"/>
      <c r="X22" s="246"/>
      <c r="Y22" s="246"/>
      <c r="Z22" s="246"/>
      <c r="AA22" s="246"/>
      <c r="AB22" s="246"/>
      <c r="AC22" s="268"/>
      <c r="AD22" s="268"/>
      <c r="AE22" s="266"/>
      <c r="AF22" s="246"/>
      <c r="AG22" s="246"/>
      <c r="AH22" s="246"/>
      <c r="AI22" s="246"/>
      <c r="AJ22" s="246"/>
      <c r="AK22" s="268"/>
      <c r="AL22" s="268"/>
      <c r="AM22" s="266"/>
      <c r="AN22" s="246"/>
      <c r="AO22" s="246"/>
      <c r="AP22" s="246"/>
      <c r="AQ22" s="246"/>
      <c r="AR22" s="246"/>
      <c r="AS22" s="268"/>
      <c r="AT22" s="268"/>
      <c r="AU22" s="266"/>
      <c r="AV22" s="246"/>
      <c r="AW22" s="246"/>
      <c r="AX22" s="246"/>
      <c r="AY22" s="246"/>
      <c r="AZ22" s="246"/>
      <c r="BA22" s="268"/>
      <c r="BB22" s="289"/>
      <c r="BC22" s="141"/>
      <c r="BD22" s="141"/>
      <c r="BE22" s="141"/>
      <c r="BF22" s="141"/>
    </row>
    <row r="23" spans="2:58" ht="18.75" customHeight="1">
      <c r="B23" s="246"/>
      <c r="C23" s="782" t="s">
        <v>98</v>
      </c>
      <c r="D23" s="1066"/>
      <c r="E23" s="1044"/>
      <c r="F23" s="1044"/>
      <c r="G23" s="1044"/>
      <c r="H23" s="246"/>
      <c r="I23" s="246"/>
      <c r="J23" s="247"/>
      <c r="K23" s="247"/>
      <c r="L23" s="246"/>
      <c r="M23" s="246"/>
      <c r="N23" s="246"/>
      <c r="O23" s="246"/>
      <c r="P23" s="268"/>
      <c r="Q23" s="734"/>
      <c r="R23" s="246"/>
      <c r="S23" s="268"/>
      <c r="T23" s="268"/>
      <c r="U23" s="266"/>
      <c r="V23" s="268"/>
      <c r="W23" s="266"/>
      <c r="X23" s="246"/>
      <c r="Y23" s="246"/>
      <c r="Z23" s="246"/>
      <c r="AA23" s="246"/>
      <c r="AB23" s="246"/>
      <c r="AC23" s="268"/>
      <c r="AD23" s="268"/>
      <c r="AE23" s="266"/>
      <c r="AF23" s="246"/>
      <c r="AG23" s="246"/>
      <c r="AH23" s="246"/>
      <c r="AI23" s="246"/>
      <c r="AJ23" s="246"/>
      <c r="AK23" s="268"/>
      <c r="AL23" s="268"/>
      <c r="AM23" s="266"/>
      <c r="AN23" s="246"/>
      <c r="AO23" s="246"/>
      <c r="AP23" s="246"/>
      <c r="AQ23" s="246"/>
      <c r="AR23" s="246"/>
      <c r="AS23" s="268"/>
      <c r="AT23" s="268"/>
      <c r="AU23" s="266"/>
      <c r="AV23" s="246"/>
      <c r="AW23" s="246"/>
      <c r="AX23" s="246"/>
      <c r="AY23" s="246"/>
      <c r="AZ23" s="246"/>
      <c r="BA23" s="268"/>
      <c r="BB23" s="289"/>
      <c r="BC23" s="141"/>
      <c r="BD23" s="141"/>
      <c r="BE23" s="141"/>
      <c r="BF23" s="141"/>
    </row>
    <row r="24" spans="2:58" ht="18.75" customHeight="1">
      <c r="B24" s="704">
        <v>7</v>
      </c>
      <c r="C24" s="714" t="s">
        <v>192</v>
      </c>
      <c r="D24" s="723"/>
      <c r="E24" s="412"/>
      <c r="F24" s="412"/>
      <c r="G24" s="412"/>
      <c r="H24" s="412"/>
      <c r="I24" s="412"/>
      <c r="J24" s="413"/>
      <c r="K24" s="413"/>
      <c r="L24" s="412"/>
      <c r="M24" s="412"/>
      <c r="N24" s="412"/>
      <c r="O24" s="412"/>
      <c r="P24" s="416"/>
      <c r="Q24" s="735"/>
      <c r="R24" s="412"/>
      <c r="S24" s="416"/>
      <c r="T24" s="416"/>
      <c r="U24" s="420"/>
      <c r="V24" s="416"/>
      <c r="W24" s="420"/>
      <c r="X24" s="412"/>
      <c r="Y24" s="412"/>
      <c r="Z24" s="412"/>
      <c r="AA24" s="412"/>
      <c r="AB24" s="412"/>
      <c r="AC24" s="416"/>
      <c r="AD24" s="416"/>
      <c r="AE24" s="420"/>
      <c r="AF24" s="412"/>
      <c r="AG24" s="412"/>
      <c r="AH24" s="412"/>
      <c r="AI24" s="412"/>
      <c r="AJ24" s="412"/>
      <c r="AK24" s="416"/>
      <c r="AL24" s="416"/>
      <c r="AM24" s="420"/>
      <c r="AN24" s="412"/>
      <c r="AO24" s="412"/>
      <c r="AP24" s="412"/>
      <c r="AQ24" s="412"/>
      <c r="AR24" s="412"/>
      <c r="AS24" s="416"/>
      <c r="AT24" s="416"/>
      <c r="AU24" s="420"/>
      <c r="AV24" s="412"/>
      <c r="AW24" s="412"/>
      <c r="AX24" s="412"/>
      <c r="AY24" s="412"/>
      <c r="AZ24" s="412"/>
      <c r="BA24" s="416"/>
      <c r="BB24" s="758"/>
      <c r="BC24" s="141"/>
      <c r="BD24" s="141"/>
      <c r="BE24" s="141"/>
      <c r="BF24" s="141"/>
    </row>
    <row r="25" spans="2:58" ht="18.75" customHeight="1">
      <c r="B25" s="705">
        <v>7.1</v>
      </c>
      <c r="C25" s="715" t="s">
        <v>193</v>
      </c>
      <c r="D25" s="1067">
        <v>1</v>
      </c>
      <c r="E25" s="687"/>
      <c r="F25" s="687"/>
      <c r="G25" s="687"/>
      <c r="H25" s="687"/>
      <c r="I25" s="687"/>
      <c r="J25" s="688"/>
      <c r="K25" s="688"/>
      <c r="L25" s="687"/>
      <c r="M25" s="687"/>
      <c r="N25" s="687"/>
      <c r="O25" s="687"/>
      <c r="P25" s="689"/>
      <c r="Q25" s="736"/>
      <c r="R25" s="687"/>
      <c r="S25" s="689"/>
      <c r="T25" s="689"/>
      <c r="U25" s="746"/>
      <c r="V25" s="689"/>
      <c r="W25" s="746"/>
      <c r="X25" s="687"/>
      <c r="Y25" s="687"/>
      <c r="Z25" s="687"/>
      <c r="AA25" s="687"/>
      <c r="AB25" s="687"/>
      <c r="AC25" s="689"/>
      <c r="AD25" s="689"/>
      <c r="AE25" s="746"/>
      <c r="AF25" s="687"/>
      <c r="AG25" s="687"/>
      <c r="AH25" s="687"/>
      <c r="AI25" s="687"/>
      <c r="AJ25" s="687"/>
      <c r="AK25" s="689"/>
      <c r="AL25" s="689"/>
      <c r="AM25" s="746"/>
      <c r="AN25" s="687"/>
      <c r="AO25" s="687"/>
      <c r="AP25" s="687"/>
      <c r="AQ25" s="687"/>
      <c r="AR25" s="687"/>
      <c r="AS25" s="689"/>
      <c r="AT25" s="689"/>
      <c r="AU25" s="746"/>
      <c r="AV25" s="687"/>
      <c r="AW25" s="687"/>
      <c r="AX25" s="687"/>
      <c r="AY25" s="687"/>
      <c r="AZ25" s="687"/>
      <c r="BA25" s="689"/>
      <c r="BB25" s="759"/>
      <c r="BC25" s="141"/>
      <c r="BD25" s="141"/>
      <c r="BE25" s="141"/>
      <c r="BF25" s="141"/>
    </row>
    <row r="26" spans="2:58" ht="18.75" customHeight="1">
      <c r="B26" s="705"/>
      <c r="C26" s="715" t="s">
        <v>194</v>
      </c>
      <c r="D26" s="1068"/>
      <c r="E26" s="687">
        <v>0.5</v>
      </c>
      <c r="F26" s="687">
        <v>1</v>
      </c>
      <c r="G26" s="687">
        <v>2</v>
      </c>
      <c r="H26" s="687"/>
      <c r="I26" s="687">
        <v>0.5</v>
      </c>
      <c r="J26" s="688"/>
      <c r="K26" s="688"/>
      <c r="L26" s="687"/>
      <c r="M26" s="687"/>
      <c r="N26" s="687"/>
      <c r="O26" s="687"/>
      <c r="P26" s="689"/>
      <c r="Q26" s="736"/>
      <c r="R26" s="687"/>
      <c r="S26" s="689"/>
      <c r="T26" s="689"/>
      <c r="U26" s="746"/>
      <c r="V26" s="689"/>
      <c r="W26" s="746"/>
      <c r="X26" s="687"/>
      <c r="Y26" s="687"/>
      <c r="Z26" s="687"/>
      <c r="AA26" s="687"/>
      <c r="AB26" s="687"/>
      <c r="AC26" s="689"/>
      <c r="AD26" s="689"/>
      <c r="AE26" s="746"/>
      <c r="AF26" s="687"/>
      <c r="AG26" s="687"/>
      <c r="AH26" s="687"/>
      <c r="AI26" s="687"/>
      <c r="AJ26" s="687"/>
      <c r="AK26" s="689"/>
      <c r="AL26" s="689"/>
      <c r="AM26" s="746"/>
      <c r="AN26" s="687"/>
      <c r="AO26" s="687"/>
      <c r="AP26" s="687"/>
      <c r="AQ26" s="687"/>
      <c r="AR26" s="687"/>
      <c r="AS26" s="689"/>
      <c r="AT26" s="689"/>
      <c r="AU26" s="746"/>
      <c r="AV26" s="687"/>
      <c r="AW26" s="687"/>
      <c r="AX26" s="687"/>
      <c r="AY26" s="687"/>
      <c r="AZ26" s="687"/>
      <c r="BA26" s="689"/>
      <c r="BB26" s="759"/>
      <c r="BC26" s="141"/>
      <c r="BD26" s="141"/>
      <c r="BE26" s="141"/>
      <c r="BF26" s="141"/>
    </row>
    <row r="27" spans="2:58" ht="18.649999999999999" customHeight="1">
      <c r="B27" s="705">
        <v>7.2</v>
      </c>
      <c r="C27" s="765" t="s">
        <v>195</v>
      </c>
      <c r="D27" s="1068"/>
      <c r="E27" s="687"/>
      <c r="F27" s="687"/>
      <c r="G27" s="687"/>
      <c r="H27" s="687"/>
      <c r="I27" s="687"/>
      <c r="J27" s="688"/>
      <c r="K27" s="688"/>
      <c r="L27" s="687"/>
      <c r="M27" s="687"/>
      <c r="N27" s="687"/>
      <c r="O27" s="687"/>
      <c r="P27" s="689"/>
      <c r="Q27" s="736"/>
      <c r="R27" s="687"/>
      <c r="S27" s="689"/>
      <c r="T27" s="689"/>
      <c r="U27" s="746"/>
      <c r="V27" s="689"/>
      <c r="W27" s="746"/>
      <c r="X27" s="687"/>
      <c r="Y27" s="687"/>
      <c r="Z27" s="687"/>
      <c r="AA27" s="687"/>
      <c r="AB27" s="687"/>
      <c r="AC27" s="689"/>
      <c r="AD27" s="689"/>
      <c r="AE27" s="746"/>
      <c r="AF27" s="687"/>
      <c r="AG27" s="687"/>
      <c r="AH27" s="687"/>
      <c r="AI27" s="687"/>
      <c r="AJ27" s="687"/>
      <c r="AK27" s="689"/>
      <c r="AL27" s="689"/>
      <c r="AM27" s="746"/>
      <c r="AN27" s="687"/>
      <c r="AO27" s="687"/>
      <c r="AP27" s="687"/>
      <c r="AQ27" s="687"/>
      <c r="AR27" s="687"/>
      <c r="AS27" s="689"/>
      <c r="AT27" s="689"/>
      <c r="AU27" s="746"/>
      <c r="AV27" s="687"/>
      <c r="AW27" s="687"/>
      <c r="AX27" s="687"/>
      <c r="AY27" s="687"/>
      <c r="AZ27" s="687"/>
      <c r="BA27" s="689"/>
      <c r="BB27" s="759"/>
      <c r="BC27" s="141"/>
      <c r="BD27" s="141"/>
      <c r="BE27" s="141"/>
      <c r="BF27" s="141"/>
    </row>
    <row r="28" spans="2:58" ht="29.15" customHeight="1">
      <c r="B28" s="705"/>
      <c r="C28" s="715" t="s">
        <v>196</v>
      </c>
      <c r="D28" s="1068"/>
      <c r="E28" s="1070">
        <v>3</v>
      </c>
      <c r="F28" s="1070">
        <v>0.5</v>
      </c>
      <c r="G28" s="1070">
        <v>2</v>
      </c>
      <c r="H28" s="687"/>
      <c r="I28" s="1070">
        <v>2</v>
      </c>
      <c r="J28" s="688"/>
      <c r="K28" s="688"/>
      <c r="L28" s="1070">
        <v>1</v>
      </c>
      <c r="M28" s="687"/>
      <c r="N28" s="687"/>
      <c r="O28" s="687"/>
      <c r="P28" s="689"/>
      <c r="Q28" s="736"/>
      <c r="R28" s="687">
        <v>3</v>
      </c>
      <c r="S28" s="689"/>
      <c r="T28" s="689"/>
      <c r="U28" s="746"/>
      <c r="V28" s="689"/>
      <c r="W28" s="746"/>
      <c r="X28" s="687">
        <v>0.25</v>
      </c>
      <c r="Y28" s="687"/>
      <c r="Z28" s="687"/>
      <c r="AA28" s="687"/>
      <c r="AB28" s="687"/>
      <c r="AC28" s="689"/>
      <c r="AD28" s="689"/>
      <c r="AE28" s="746"/>
      <c r="AF28" s="687">
        <v>0.5</v>
      </c>
      <c r="AG28" s="687">
        <v>1</v>
      </c>
      <c r="AH28" s="687"/>
      <c r="AI28" s="687"/>
      <c r="AJ28" s="687"/>
      <c r="AK28" s="689"/>
      <c r="AL28" s="689"/>
      <c r="AM28" s="746"/>
      <c r="AN28" s="687">
        <v>1</v>
      </c>
      <c r="AO28" s="687">
        <v>2.5</v>
      </c>
      <c r="AP28" s="687">
        <v>0.5</v>
      </c>
      <c r="AQ28" s="687"/>
      <c r="AR28" s="687"/>
      <c r="AS28" s="689"/>
      <c r="AT28" s="689"/>
      <c r="AU28" s="771"/>
      <c r="AV28" s="772"/>
      <c r="AW28" s="772"/>
      <c r="AX28" s="772"/>
      <c r="AY28" s="772"/>
      <c r="AZ28" s="772"/>
      <c r="BA28" s="772"/>
      <c r="BB28" s="773"/>
      <c r="BC28" s="770"/>
      <c r="BD28" s="141"/>
      <c r="BE28" s="141"/>
      <c r="BF28" s="141"/>
    </row>
    <row r="29" spans="2:58" ht="18.75" customHeight="1">
      <c r="B29" s="705"/>
      <c r="C29" s="715" t="s">
        <v>197</v>
      </c>
      <c r="D29" s="1068"/>
      <c r="E29" s="1072"/>
      <c r="F29" s="1072"/>
      <c r="G29" s="1072"/>
      <c r="H29" s="687"/>
      <c r="I29" s="1072"/>
      <c r="J29" s="688"/>
      <c r="K29" s="688"/>
      <c r="L29" s="1072"/>
      <c r="M29" s="687"/>
      <c r="N29" s="687"/>
      <c r="O29" s="687"/>
      <c r="P29" s="689"/>
      <c r="Q29" s="736"/>
      <c r="R29" s="687">
        <v>1</v>
      </c>
      <c r="S29" s="689"/>
      <c r="T29" s="689"/>
      <c r="U29" s="746"/>
      <c r="V29" s="689"/>
      <c r="W29" s="746"/>
      <c r="X29" s="766">
        <v>0.25</v>
      </c>
      <c r="Y29" s="687"/>
      <c r="Z29" s="687"/>
      <c r="AA29" s="687"/>
      <c r="AB29" s="687"/>
      <c r="AC29" s="689"/>
      <c r="AD29" s="689"/>
      <c r="AE29" s="746"/>
      <c r="AF29" s="687">
        <v>0.5</v>
      </c>
      <c r="AG29" s="687">
        <v>1</v>
      </c>
      <c r="AH29" s="687"/>
      <c r="AI29" s="687"/>
      <c r="AJ29" s="687"/>
      <c r="AK29" s="689"/>
      <c r="AL29" s="689"/>
      <c r="AM29" s="746"/>
      <c r="AN29" s="687">
        <v>0.5</v>
      </c>
      <c r="AO29" s="687">
        <v>1</v>
      </c>
      <c r="AP29" s="687">
        <v>0.5</v>
      </c>
      <c r="AQ29" s="687"/>
      <c r="AR29" s="687"/>
      <c r="AS29" s="689"/>
      <c r="AT29" s="689"/>
      <c r="AU29" s="746"/>
      <c r="AV29" s="687"/>
      <c r="AW29" s="687"/>
      <c r="AX29" s="687"/>
      <c r="AY29" s="687"/>
      <c r="AZ29" s="687"/>
      <c r="BA29" s="689"/>
      <c r="BB29" s="759"/>
      <c r="BC29" s="141"/>
      <c r="BD29" s="141"/>
      <c r="BE29" s="141"/>
      <c r="BF29" s="141"/>
    </row>
    <row r="30" spans="2:58" ht="58">
      <c r="B30" s="705"/>
      <c r="C30" s="715" t="s">
        <v>198</v>
      </c>
      <c r="D30" s="1069"/>
      <c r="E30" s="769">
        <v>0.5</v>
      </c>
      <c r="F30" s="769"/>
      <c r="G30" s="769">
        <v>0.5</v>
      </c>
      <c r="H30" s="687"/>
      <c r="I30" s="769">
        <v>0.5</v>
      </c>
      <c r="J30" s="688"/>
      <c r="K30" s="688"/>
      <c r="L30" s="687"/>
      <c r="M30" s="687"/>
      <c r="N30" s="687"/>
      <c r="O30" s="687"/>
      <c r="P30" s="689"/>
      <c r="Q30" s="736"/>
      <c r="R30" s="687"/>
      <c r="S30" s="689"/>
      <c r="T30" s="689"/>
      <c r="U30" s="746"/>
      <c r="V30" s="689"/>
      <c r="W30" s="775"/>
      <c r="X30" s="766"/>
      <c r="Y30" s="776"/>
      <c r="Z30" s="687"/>
      <c r="AA30" s="687"/>
      <c r="AB30" s="687"/>
      <c r="AC30" s="689"/>
      <c r="AD30" s="689"/>
      <c r="AE30" s="746"/>
      <c r="AF30" s="687"/>
      <c r="AG30" s="687"/>
      <c r="AH30" s="687"/>
      <c r="AI30" s="687"/>
      <c r="AJ30" s="687"/>
      <c r="AK30" s="689"/>
      <c r="AL30" s="689"/>
      <c r="AM30" s="746"/>
      <c r="AN30" s="687"/>
      <c r="AO30" s="687"/>
      <c r="AP30" s="687"/>
      <c r="AQ30" s="687"/>
      <c r="AR30" s="687"/>
      <c r="AS30" s="689"/>
      <c r="AT30" s="689"/>
      <c r="AU30" s="746"/>
      <c r="AV30" s="687"/>
      <c r="AW30" s="687"/>
      <c r="AX30" s="687">
        <v>1</v>
      </c>
      <c r="AY30" s="687"/>
      <c r="AZ30" s="687"/>
      <c r="BA30" s="689"/>
      <c r="BB30" s="759">
        <v>1</v>
      </c>
      <c r="BC30" s="141"/>
      <c r="BD30" s="141"/>
      <c r="BE30" s="141"/>
      <c r="BF30" s="141"/>
    </row>
    <row r="31" spans="2:58" ht="18.75" customHeight="1">
      <c r="B31" s="705">
        <v>7.3</v>
      </c>
      <c r="C31" s="715" t="s">
        <v>199</v>
      </c>
      <c r="D31" s="774"/>
      <c r="E31" s="769"/>
      <c r="F31" s="769"/>
      <c r="G31" s="769"/>
      <c r="H31" s="687"/>
      <c r="I31" s="769"/>
      <c r="J31" s="688"/>
      <c r="K31" s="688"/>
      <c r="L31" s="687"/>
      <c r="M31" s="687"/>
      <c r="N31" s="687"/>
      <c r="O31" s="687"/>
      <c r="P31" s="689"/>
      <c r="Q31" s="736"/>
      <c r="R31" s="687"/>
      <c r="S31" s="689"/>
      <c r="T31" s="689"/>
      <c r="U31" s="746"/>
      <c r="V31" s="689"/>
      <c r="W31" s="775"/>
      <c r="X31" s="766"/>
      <c r="Y31" s="776"/>
      <c r="Z31" s="687"/>
      <c r="AA31" s="687"/>
      <c r="AB31" s="687"/>
      <c r="AC31" s="689"/>
      <c r="AD31" s="689"/>
      <c r="AE31" s="746"/>
      <c r="AF31" s="687"/>
      <c r="AG31" s="687"/>
      <c r="AH31" s="687"/>
      <c r="AI31" s="687"/>
      <c r="AJ31" s="687"/>
      <c r="AK31" s="689"/>
      <c r="AL31" s="689"/>
      <c r="AM31" s="746"/>
      <c r="AN31" s="687"/>
      <c r="AO31" s="687"/>
      <c r="AP31" s="687"/>
      <c r="AQ31" s="687"/>
      <c r="AR31" s="687"/>
      <c r="AS31" s="689"/>
      <c r="AT31" s="689"/>
      <c r="AU31" s="746"/>
      <c r="AV31" s="687"/>
      <c r="AW31" s="687"/>
      <c r="AX31" s="687"/>
      <c r="AY31" s="687"/>
      <c r="AZ31" s="687"/>
      <c r="BA31" s="689"/>
      <c r="BB31" s="759"/>
      <c r="BC31" s="141"/>
      <c r="BD31" s="141"/>
      <c r="BE31" s="141"/>
      <c r="BF31" s="141"/>
    </row>
    <row r="32" spans="2:58" ht="72.5">
      <c r="B32" s="705"/>
      <c r="C32" s="715" t="s">
        <v>200</v>
      </c>
      <c r="D32" s="1067"/>
      <c r="E32" s="769"/>
      <c r="F32" s="769"/>
      <c r="G32" s="769"/>
      <c r="H32" s="687"/>
      <c r="I32" s="769"/>
      <c r="J32" s="769"/>
      <c r="K32" s="688"/>
      <c r="L32" s="687"/>
      <c r="M32" s="687"/>
      <c r="N32" s="687"/>
      <c r="O32" s="687"/>
      <c r="P32" s="689"/>
      <c r="Q32" s="736"/>
      <c r="R32" s="687"/>
      <c r="S32" s="689"/>
      <c r="T32" s="689"/>
      <c r="U32" s="746"/>
      <c r="V32" s="689"/>
      <c r="W32" s="775"/>
      <c r="X32" s="766"/>
      <c r="Y32" s="776"/>
      <c r="Z32" s="687"/>
      <c r="AA32" s="687"/>
      <c r="AB32" s="687"/>
      <c r="AC32" s="689"/>
      <c r="AD32" s="689"/>
      <c r="AE32" s="746"/>
      <c r="AF32" s="687"/>
      <c r="AG32" s="687"/>
      <c r="AH32" s="687"/>
      <c r="AI32" s="687"/>
      <c r="AJ32" s="687"/>
      <c r="AK32" s="689"/>
      <c r="AL32" s="689"/>
      <c r="AM32" s="746"/>
      <c r="AN32" s="687"/>
      <c r="AO32" s="687"/>
      <c r="AP32" s="687"/>
      <c r="AQ32" s="687"/>
      <c r="AR32" s="687"/>
      <c r="AS32" s="689"/>
      <c r="AT32" s="689"/>
      <c r="AU32" s="746"/>
      <c r="AV32" s="687"/>
      <c r="AW32" s="687"/>
      <c r="AX32" s="687"/>
      <c r="AY32" s="687"/>
      <c r="AZ32" s="687"/>
      <c r="BA32" s="689"/>
      <c r="BB32" s="759"/>
      <c r="BC32" s="141"/>
      <c r="BD32" s="141"/>
      <c r="BE32" s="141"/>
      <c r="BF32" s="141"/>
    </row>
    <row r="33" spans="2:58" ht="87">
      <c r="B33" s="705"/>
      <c r="C33" s="715" t="s">
        <v>201</v>
      </c>
      <c r="D33" s="1068"/>
      <c r="E33" s="769"/>
      <c r="F33" s="769"/>
      <c r="G33" s="769"/>
      <c r="H33" s="687"/>
      <c r="I33" s="769"/>
      <c r="J33" s="769"/>
      <c r="K33" s="688"/>
      <c r="L33" s="766"/>
      <c r="M33" s="766"/>
      <c r="N33" s="687"/>
      <c r="O33" s="687"/>
      <c r="P33" s="689"/>
      <c r="Q33" s="736"/>
      <c r="R33" s="687"/>
      <c r="S33" s="689"/>
      <c r="T33" s="689"/>
      <c r="U33" s="746"/>
      <c r="V33" s="689"/>
      <c r="W33" s="775"/>
      <c r="X33" s="766"/>
      <c r="Y33" s="776"/>
      <c r="Z33" s="687"/>
      <c r="AA33" s="687"/>
      <c r="AB33" s="687"/>
      <c r="AC33" s="689"/>
      <c r="AD33" s="689"/>
      <c r="AE33" s="746"/>
      <c r="AF33" s="687"/>
      <c r="AG33" s="687"/>
      <c r="AH33" s="687"/>
      <c r="AI33" s="687"/>
      <c r="AJ33" s="687"/>
      <c r="AK33" s="689"/>
      <c r="AL33" s="689"/>
      <c r="AM33" s="746"/>
      <c r="AN33" s="687"/>
      <c r="AO33" s="687"/>
      <c r="AP33" s="687"/>
      <c r="AQ33" s="687"/>
      <c r="AR33" s="687"/>
      <c r="AS33" s="689"/>
      <c r="AT33" s="689"/>
      <c r="AU33" s="746"/>
      <c r="AV33" s="687"/>
      <c r="AW33" s="687"/>
      <c r="AX33" s="687"/>
      <c r="AY33" s="687"/>
      <c r="AZ33" s="687"/>
      <c r="BA33" s="689"/>
      <c r="BB33" s="759"/>
      <c r="BC33" s="141"/>
      <c r="BD33" s="141"/>
      <c r="BE33" s="141"/>
      <c r="BF33" s="141"/>
    </row>
    <row r="34" spans="2:58" ht="116">
      <c r="B34" s="705"/>
      <c r="C34" s="715" t="s">
        <v>202</v>
      </c>
      <c r="D34" s="1069"/>
      <c r="E34" s="769"/>
      <c r="F34" s="769"/>
      <c r="G34" s="769"/>
      <c r="H34" s="687"/>
      <c r="I34" s="769"/>
      <c r="J34" s="769"/>
      <c r="K34" s="793"/>
      <c r="L34" s="174"/>
      <c r="M34" s="794"/>
      <c r="N34" s="776"/>
      <c r="O34" s="687"/>
      <c r="P34" s="689"/>
      <c r="Q34" s="778"/>
      <c r="R34" s="687"/>
      <c r="S34" s="689"/>
      <c r="T34" s="689"/>
      <c r="U34" s="746"/>
      <c r="V34" s="689"/>
      <c r="W34" s="775"/>
      <c r="X34" s="766"/>
      <c r="Y34" s="776"/>
      <c r="Z34" s="687"/>
      <c r="AA34" s="687"/>
      <c r="AB34" s="687"/>
      <c r="AC34" s="689"/>
      <c r="AD34" s="689"/>
      <c r="AE34" s="746"/>
      <c r="AF34" s="687"/>
      <c r="AG34" s="687"/>
      <c r="AH34" s="687"/>
      <c r="AI34" s="687"/>
      <c r="AJ34" s="687"/>
      <c r="AK34" s="689"/>
      <c r="AL34" s="689"/>
      <c r="AM34" s="746"/>
      <c r="AN34" s="687"/>
      <c r="AO34" s="687"/>
      <c r="AP34" s="687"/>
      <c r="AQ34" s="687"/>
      <c r="AR34" s="687"/>
      <c r="AS34" s="689"/>
      <c r="AT34" s="689"/>
      <c r="AU34" s="746"/>
      <c r="AV34" s="687"/>
      <c r="AW34" s="687"/>
      <c r="AX34" s="687"/>
      <c r="AY34" s="687"/>
      <c r="AZ34" s="687"/>
      <c r="BA34" s="689"/>
      <c r="BB34" s="759"/>
      <c r="BC34" s="141"/>
      <c r="BD34" s="141"/>
      <c r="BE34" s="141"/>
      <c r="BF34" s="141"/>
    </row>
    <row r="35" spans="2:58" ht="18.75" customHeight="1">
      <c r="B35" s="705"/>
      <c r="C35" s="715" t="s">
        <v>203</v>
      </c>
      <c r="D35" s="774"/>
      <c r="E35" s="769"/>
      <c r="F35" s="1070"/>
      <c r="G35" s="769"/>
      <c r="H35" s="687"/>
      <c r="I35" s="1070"/>
      <c r="J35" s="688"/>
      <c r="K35" s="793"/>
      <c r="L35" s="174"/>
      <c r="M35" s="794"/>
      <c r="N35" s="776"/>
      <c r="O35" s="687"/>
      <c r="P35" s="689"/>
      <c r="Q35" s="736"/>
      <c r="R35" s="687"/>
      <c r="S35" s="689"/>
      <c r="T35" s="689"/>
      <c r="U35" s="746"/>
      <c r="V35" s="689"/>
      <c r="W35" s="775"/>
      <c r="X35" s="766"/>
      <c r="Y35" s="776"/>
      <c r="Z35" s="687"/>
      <c r="AA35" s="687"/>
      <c r="AB35" s="687"/>
      <c r="AC35" s="689"/>
      <c r="AD35" s="689"/>
      <c r="AE35" s="746"/>
      <c r="AF35" s="687"/>
      <c r="AG35" s="687"/>
      <c r="AH35" s="687"/>
      <c r="AI35" s="687"/>
      <c r="AJ35" s="687"/>
      <c r="AK35" s="689"/>
      <c r="AL35" s="689"/>
      <c r="AM35" s="746"/>
      <c r="AN35" s="687"/>
      <c r="AO35" s="687"/>
      <c r="AP35" s="687"/>
      <c r="AQ35" s="687"/>
      <c r="AR35" s="687"/>
      <c r="AS35" s="689"/>
      <c r="AT35" s="689"/>
      <c r="AU35" s="746"/>
      <c r="AV35" s="687"/>
      <c r="AW35" s="687"/>
      <c r="AX35" s="687"/>
      <c r="AY35" s="687"/>
      <c r="AZ35" s="687"/>
      <c r="BA35" s="689"/>
      <c r="BB35" s="759"/>
      <c r="BC35" s="777" t="s">
        <v>204</v>
      </c>
      <c r="BD35" s="141"/>
      <c r="BE35" s="141"/>
      <c r="BF35" s="141"/>
    </row>
    <row r="36" spans="2:58" ht="18.75" customHeight="1">
      <c r="B36" s="705"/>
      <c r="C36" s="715" t="s">
        <v>205</v>
      </c>
      <c r="D36" s="774"/>
      <c r="E36" s="769"/>
      <c r="F36" s="1071"/>
      <c r="G36" s="769"/>
      <c r="H36" s="687"/>
      <c r="I36" s="1071"/>
      <c r="J36" s="688"/>
      <c r="K36" s="793"/>
      <c r="L36" s="174"/>
      <c r="M36" s="794"/>
      <c r="N36" s="776"/>
      <c r="O36" s="687"/>
      <c r="P36" s="689"/>
      <c r="Q36" s="736"/>
      <c r="R36" s="687"/>
      <c r="S36" s="689"/>
      <c r="T36" s="689"/>
      <c r="U36" s="746"/>
      <c r="V36" s="689"/>
      <c r="W36" s="775"/>
      <c r="X36" s="766"/>
      <c r="Y36" s="776"/>
      <c r="Z36" s="687"/>
      <c r="AA36" s="687"/>
      <c r="AB36" s="687"/>
      <c r="AC36" s="689"/>
      <c r="AD36" s="689"/>
      <c r="AE36" s="746"/>
      <c r="AF36" s="687"/>
      <c r="AG36" s="687"/>
      <c r="AH36" s="687"/>
      <c r="AI36" s="687"/>
      <c r="AJ36" s="687"/>
      <c r="AK36" s="689"/>
      <c r="AL36" s="689"/>
      <c r="AM36" s="746"/>
      <c r="AN36" s="687"/>
      <c r="AO36" s="687"/>
      <c r="AP36" s="687"/>
      <c r="AQ36" s="687"/>
      <c r="AR36" s="687"/>
      <c r="AS36" s="689"/>
      <c r="AT36" s="689"/>
      <c r="AU36" s="746"/>
      <c r="AV36" s="687"/>
      <c r="AW36" s="687"/>
      <c r="AX36" s="687"/>
      <c r="AY36" s="687"/>
      <c r="AZ36" s="687"/>
      <c r="BA36" s="689"/>
      <c r="BB36" s="759"/>
      <c r="BC36" s="777" t="s">
        <v>206</v>
      </c>
      <c r="BD36" s="141"/>
      <c r="BE36" s="141"/>
      <c r="BF36" s="141"/>
    </row>
    <row r="37" spans="2:58" ht="18.75" customHeight="1">
      <c r="B37" s="705"/>
      <c r="C37" s="715" t="s">
        <v>207</v>
      </c>
      <c r="D37" s="774"/>
      <c r="E37" s="769"/>
      <c r="F37" s="1071"/>
      <c r="G37" s="769"/>
      <c r="H37" s="687"/>
      <c r="I37" s="1071"/>
      <c r="J37" s="688"/>
      <c r="K37" s="793"/>
      <c r="L37" s="174">
        <v>2</v>
      </c>
      <c r="M37" s="794">
        <v>0.5</v>
      </c>
      <c r="N37" s="776"/>
      <c r="O37" s="687"/>
      <c r="P37" s="689"/>
      <c r="Q37" s="736"/>
      <c r="R37" s="687"/>
      <c r="S37" s="689"/>
      <c r="T37" s="689"/>
      <c r="U37" s="746"/>
      <c r="V37" s="689"/>
      <c r="W37" s="775"/>
      <c r="X37" s="766"/>
      <c r="Y37" s="776"/>
      <c r="Z37" s="687"/>
      <c r="AA37" s="687"/>
      <c r="AB37" s="687"/>
      <c r="AC37" s="689"/>
      <c r="AD37" s="689"/>
      <c r="AE37" s="746"/>
      <c r="AF37" s="687"/>
      <c r="AG37" s="687"/>
      <c r="AH37" s="687"/>
      <c r="AI37" s="687"/>
      <c r="AJ37" s="687"/>
      <c r="AK37" s="689"/>
      <c r="AL37" s="689"/>
      <c r="AM37" s="746"/>
      <c r="AN37" s="687"/>
      <c r="AO37" s="687"/>
      <c r="AP37" s="687"/>
      <c r="AQ37" s="687"/>
      <c r="AR37" s="687"/>
      <c r="AS37" s="689"/>
      <c r="AT37" s="689"/>
      <c r="AU37" s="746"/>
      <c r="AV37" s="687"/>
      <c r="AW37" s="687"/>
      <c r="AX37" s="687"/>
      <c r="AY37" s="687"/>
      <c r="AZ37" s="687"/>
      <c r="BA37" s="689"/>
      <c r="BB37" s="759"/>
      <c r="BC37" s="777" t="s">
        <v>204</v>
      </c>
      <c r="BD37" s="141"/>
      <c r="BE37" s="141"/>
      <c r="BF37" s="141"/>
    </row>
    <row r="38" spans="2:58" ht="18.75" customHeight="1">
      <c r="B38" s="705"/>
      <c r="C38" s="715" t="s">
        <v>208</v>
      </c>
      <c r="D38" s="774"/>
      <c r="E38" s="769"/>
      <c r="F38" s="1071"/>
      <c r="G38" s="769"/>
      <c r="H38" s="687"/>
      <c r="I38" s="1071"/>
      <c r="J38" s="688"/>
      <c r="K38" s="793"/>
      <c r="L38" s="174"/>
      <c r="M38" s="794"/>
      <c r="N38" s="776"/>
      <c r="O38" s="687"/>
      <c r="P38" s="689"/>
      <c r="Q38" s="736"/>
      <c r="R38" s="687"/>
      <c r="S38" s="689"/>
      <c r="T38" s="689"/>
      <c r="U38" s="746"/>
      <c r="V38" s="689"/>
      <c r="W38" s="775"/>
      <c r="X38" s="766"/>
      <c r="Y38" s="776"/>
      <c r="Z38" s="687"/>
      <c r="AA38" s="687"/>
      <c r="AB38" s="687"/>
      <c r="AC38" s="689"/>
      <c r="AD38" s="689"/>
      <c r="AE38" s="746"/>
      <c r="AF38" s="687"/>
      <c r="AG38" s="687"/>
      <c r="AH38" s="687"/>
      <c r="AI38" s="687"/>
      <c r="AJ38" s="687"/>
      <c r="AK38" s="689"/>
      <c r="AL38" s="689"/>
      <c r="AM38" s="746"/>
      <c r="AN38" s="687"/>
      <c r="AO38" s="687"/>
      <c r="AP38" s="687"/>
      <c r="AQ38" s="687"/>
      <c r="AR38" s="687"/>
      <c r="AS38" s="689"/>
      <c r="AT38" s="689"/>
      <c r="AU38" s="746"/>
      <c r="AV38" s="687"/>
      <c r="AW38" s="687"/>
      <c r="AX38" s="687"/>
      <c r="AY38" s="687"/>
      <c r="AZ38" s="687"/>
      <c r="BA38" s="689"/>
      <c r="BB38" s="759"/>
      <c r="BC38" s="777" t="s">
        <v>204</v>
      </c>
      <c r="BD38" s="141"/>
      <c r="BE38" s="141"/>
      <c r="BF38" s="141"/>
    </row>
    <row r="39" spans="2:58" ht="18.75" customHeight="1">
      <c r="B39" s="705"/>
      <c r="C39" s="715" t="s">
        <v>209</v>
      </c>
      <c r="D39" s="774"/>
      <c r="E39" s="769"/>
      <c r="F39" s="1071"/>
      <c r="G39" s="769"/>
      <c r="H39" s="687"/>
      <c r="I39" s="1071"/>
      <c r="J39" s="688"/>
      <c r="K39" s="793"/>
      <c r="L39" s="174"/>
      <c r="M39" s="794"/>
      <c r="N39" s="776"/>
      <c r="O39" s="687"/>
      <c r="P39" s="689"/>
      <c r="Q39" s="736"/>
      <c r="R39" s="687"/>
      <c r="S39" s="689"/>
      <c r="T39" s="689"/>
      <c r="U39" s="746"/>
      <c r="V39" s="689"/>
      <c r="W39" s="775"/>
      <c r="X39" s="766"/>
      <c r="Y39" s="776"/>
      <c r="Z39" s="687"/>
      <c r="AA39" s="687"/>
      <c r="AB39" s="687"/>
      <c r="AC39" s="689"/>
      <c r="AD39" s="689"/>
      <c r="AE39" s="746"/>
      <c r="AF39" s="687"/>
      <c r="AG39" s="687"/>
      <c r="AH39" s="687"/>
      <c r="AI39" s="687"/>
      <c r="AJ39" s="687"/>
      <c r="AK39" s="689"/>
      <c r="AL39" s="689"/>
      <c r="AM39" s="746"/>
      <c r="AN39" s="687"/>
      <c r="AO39" s="687"/>
      <c r="AP39" s="687"/>
      <c r="AQ39" s="687"/>
      <c r="AR39" s="687"/>
      <c r="AS39" s="689"/>
      <c r="AT39" s="689"/>
      <c r="AU39" s="746"/>
      <c r="AV39" s="687"/>
      <c r="AW39" s="687"/>
      <c r="AX39" s="687"/>
      <c r="AY39" s="687"/>
      <c r="AZ39" s="687"/>
      <c r="BA39" s="689"/>
      <c r="BB39" s="759"/>
      <c r="BC39" s="777" t="s">
        <v>204</v>
      </c>
      <c r="BD39" s="141"/>
      <c r="BE39" s="141"/>
      <c r="BF39" s="141"/>
    </row>
    <row r="40" spans="2:58" ht="18.75" customHeight="1">
      <c r="B40" s="705"/>
      <c r="C40" s="715" t="s">
        <v>210</v>
      </c>
      <c r="D40" s="774"/>
      <c r="E40" s="769"/>
      <c r="F40" s="1072"/>
      <c r="G40" s="769"/>
      <c r="H40" s="687"/>
      <c r="I40" s="1072"/>
      <c r="J40" s="688"/>
      <c r="K40" s="793"/>
      <c r="L40" s="174"/>
      <c r="M40" s="794"/>
      <c r="N40" s="776"/>
      <c r="O40" s="687"/>
      <c r="P40" s="689"/>
      <c r="Q40" s="736"/>
      <c r="R40" s="687"/>
      <c r="S40" s="689"/>
      <c r="T40" s="689"/>
      <c r="U40" s="746"/>
      <c r="V40" s="689"/>
      <c r="W40" s="775"/>
      <c r="X40" s="766"/>
      <c r="Y40" s="776"/>
      <c r="Z40" s="687"/>
      <c r="AA40" s="687"/>
      <c r="AB40" s="687"/>
      <c r="AC40" s="689"/>
      <c r="AD40" s="689"/>
      <c r="AE40" s="746"/>
      <c r="AF40" s="687"/>
      <c r="AG40" s="687"/>
      <c r="AH40" s="687"/>
      <c r="AI40" s="687"/>
      <c r="AJ40" s="687"/>
      <c r="AK40" s="689"/>
      <c r="AL40" s="689"/>
      <c r="AM40" s="746"/>
      <c r="AN40" s="687"/>
      <c r="AO40" s="687"/>
      <c r="AP40" s="687"/>
      <c r="AQ40" s="687"/>
      <c r="AR40" s="687"/>
      <c r="AS40" s="689"/>
      <c r="AT40" s="689"/>
      <c r="AU40" s="746"/>
      <c r="AV40" s="687"/>
      <c r="AW40" s="687"/>
      <c r="AX40" s="687"/>
      <c r="AY40" s="687"/>
      <c r="AZ40" s="687"/>
      <c r="BA40" s="689"/>
      <c r="BB40" s="759"/>
      <c r="BC40" s="777" t="s">
        <v>204</v>
      </c>
      <c r="BD40" s="141"/>
      <c r="BE40" s="141"/>
      <c r="BF40" s="141"/>
    </row>
    <row r="41" spans="2:58" ht="14.5">
      <c r="B41" s="675">
        <v>11</v>
      </c>
      <c r="C41" s="676" t="s">
        <v>53</v>
      </c>
      <c r="D41" s="724"/>
      <c r="E41" s="518"/>
      <c r="F41" s="518"/>
      <c r="G41" s="518"/>
      <c r="H41" s="73"/>
      <c r="I41" s="73"/>
      <c r="J41" s="73"/>
      <c r="K41" s="73"/>
      <c r="L41" s="768"/>
      <c r="M41" s="768"/>
      <c r="N41" s="73"/>
      <c r="O41" s="73"/>
      <c r="P41" s="261"/>
      <c r="Q41" s="234"/>
      <c r="R41" s="73"/>
      <c r="S41" s="261"/>
      <c r="T41" s="261"/>
      <c r="U41" s="234"/>
      <c r="V41" s="261"/>
      <c r="W41" s="767"/>
      <c r="X41" s="73"/>
      <c r="Y41" s="270"/>
      <c r="Z41" s="62"/>
      <c r="AA41" s="73"/>
      <c r="AB41" s="73"/>
      <c r="AC41" s="261"/>
      <c r="AD41" s="261"/>
      <c r="AE41" s="234"/>
      <c r="AF41" s="73"/>
      <c r="AG41" s="73"/>
      <c r="AH41" s="73"/>
      <c r="AI41" s="73"/>
      <c r="AJ41" s="73"/>
      <c r="AK41" s="261"/>
      <c r="AL41" s="261"/>
      <c r="AM41" s="234"/>
      <c r="AN41" s="73"/>
      <c r="AO41" s="73"/>
      <c r="AP41" s="73"/>
      <c r="AQ41" s="73"/>
      <c r="AR41" s="73"/>
      <c r="AS41" s="261"/>
      <c r="AT41" s="261"/>
      <c r="AU41" s="234"/>
      <c r="AV41" s="73"/>
      <c r="AW41" s="73"/>
      <c r="AX41" s="73">
        <v>1</v>
      </c>
      <c r="AY41" s="73"/>
      <c r="AZ41" s="73"/>
      <c r="BA41" s="261"/>
      <c r="BB41" s="760"/>
      <c r="BC41" s="20"/>
    </row>
    <row r="42" spans="2:58" ht="14.5">
      <c r="B42" s="675">
        <v>12</v>
      </c>
      <c r="C42" s="676" t="s">
        <v>54</v>
      </c>
      <c r="D42" s="724"/>
      <c r="E42" s="73"/>
      <c r="F42" s="73"/>
      <c r="G42" s="73"/>
      <c r="H42" s="73"/>
      <c r="I42" s="62"/>
      <c r="J42" s="73"/>
      <c r="K42" s="73"/>
      <c r="L42" s="73"/>
      <c r="M42" s="73"/>
      <c r="N42" s="73"/>
      <c r="O42" s="73"/>
      <c r="P42" s="261"/>
      <c r="Q42" s="234"/>
      <c r="R42" s="73"/>
      <c r="S42" s="261"/>
      <c r="T42" s="261"/>
      <c r="U42" s="234"/>
      <c r="V42" s="261"/>
      <c r="W42" s="234"/>
      <c r="X42" s="768"/>
      <c r="Y42" s="73"/>
      <c r="Z42" s="62"/>
      <c r="AA42" s="73"/>
      <c r="AB42" s="73"/>
      <c r="AC42" s="261"/>
      <c r="AD42" s="261"/>
      <c r="AE42" s="234"/>
      <c r="AF42" s="73"/>
      <c r="AG42" s="73">
        <v>0.5</v>
      </c>
      <c r="AH42" s="73"/>
      <c r="AI42" s="73"/>
      <c r="AJ42" s="73"/>
      <c r="AK42" s="261"/>
      <c r="AL42" s="261"/>
      <c r="AM42" s="234"/>
      <c r="AN42" s="73">
        <v>0.25</v>
      </c>
      <c r="AO42" s="73">
        <v>0.25</v>
      </c>
      <c r="AP42" s="73">
        <v>0.25</v>
      </c>
      <c r="AQ42" s="73"/>
      <c r="AR42" s="73"/>
      <c r="AS42" s="261"/>
      <c r="AT42" s="261"/>
      <c r="AU42" s="234"/>
      <c r="AV42" s="73"/>
      <c r="AW42" s="73">
        <v>0.25</v>
      </c>
      <c r="AX42" s="73">
        <v>1</v>
      </c>
      <c r="AY42" s="73"/>
      <c r="AZ42" s="73"/>
      <c r="BA42" s="261"/>
      <c r="BB42" s="760"/>
      <c r="BC42" s="20"/>
    </row>
    <row r="43" spans="2:58" ht="14.5">
      <c r="B43" s="675">
        <v>13</v>
      </c>
      <c r="C43" s="676" t="s">
        <v>55</v>
      </c>
      <c r="D43" s="724"/>
      <c r="E43" s="518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261"/>
      <c r="Q43" s="234"/>
      <c r="R43" s="518"/>
      <c r="S43" s="261"/>
      <c r="T43" s="261"/>
      <c r="U43" s="234"/>
      <c r="V43" s="261"/>
      <c r="W43" s="234"/>
      <c r="X43" s="73"/>
      <c r="Y43" s="73"/>
      <c r="Z43" s="62"/>
      <c r="AA43" s="73"/>
      <c r="AB43" s="73"/>
      <c r="AC43" s="261"/>
      <c r="AD43" s="261"/>
      <c r="AE43" s="234"/>
      <c r="AF43" s="73"/>
      <c r="AG43" s="73">
        <v>0.25</v>
      </c>
      <c r="AH43" s="73">
        <v>0.25</v>
      </c>
      <c r="AI43" s="73"/>
      <c r="AJ43" s="73"/>
      <c r="AK43" s="261"/>
      <c r="AL43" s="261"/>
      <c r="AM43" s="234"/>
      <c r="AN43" s="73"/>
      <c r="AO43" s="73"/>
      <c r="AP43" s="73"/>
      <c r="AQ43" s="73"/>
      <c r="AR43" s="73"/>
      <c r="AS43" s="261"/>
      <c r="AT43" s="261"/>
      <c r="AU43" s="234"/>
      <c r="AV43" s="73"/>
      <c r="AW43" s="73">
        <v>0.25</v>
      </c>
      <c r="AX43" s="73">
        <v>1</v>
      </c>
      <c r="AY43" s="73"/>
      <c r="AZ43" s="73"/>
      <c r="BA43" s="261"/>
      <c r="BB43" s="760"/>
      <c r="BC43" s="20"/>
    </row>
    <row r="44" spans="2:58" ht="14.5">
      <c r="B44" s="675">
        <v>14</v>
      </c>
      <c r="C44" s="676" t="s">
        <v>56</v>
      </c>
      <c r="D44" s="270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261"/>
      <c r="Q44" s="234"/>
      <c r="R44" s="73"/>
      <c r="S44" s="261"/>
      <c r="T44" s="261"/>
      <c r="U44" s="234"/>
      <c r="V44" s="261"/>
      <c r="W44" s="234"/>
      <c r="X44" s="73">
        <v>0.25</v>
      </c>
      <c r="Y44" s="73">
        <v>0.5</v>
      </c>
      <c r="Z44" s="73"/>
      <c r="AA44" s="73"/>
      <c r="AB44" s="73"/>
      <c r="AC44" s="261"/>
      <c r="AD44" s="261"/>
      <c r="AE44" s="234"/>
      <c r="AF44" s="73">
        <v>0.25</v>
      </c>
      <c r="AG44" s="73">
        <v>0.5</v>
      </c>
      <c r="AH44" s="73"/>
      <c r="AI44" s="73"/>
      <c r="AJ44" s="73"/>
      <c r="AK44" s="261"/>
      <c r="AL44" s="261"/>
      <c r="AM44" s="234"/>
      <c r="AN44" s="73">
        <v>0.25</v>
      </c>
      <c r="AO44" s="73">
        <v>1</v>
      </c>
      <c r="AP44" s="73"/>
      <c r="AQ44" s="73"/>
      <c r="AR44" s="73"/>
      <c r="AS44" s="261"/>
      <c r="AT44" s="261"/>
      <c r="AU44" s="234"/>
      <c r="AV44" s="73"/>
      <c r="AW44" s="73"/>
      <c r="AX44" s="73">
        <v>1</v>
      </c>
      <c r="AY44" s="73"/>
      <c r="AZ44" s="73"/>
      <c r="BA44" s="261"/>
      <c r="BB44" s="760"/>
      <c r="BC44" s="20"/>
    </row>
    <row r="45" spans="2:58" ht="14.5">
      <c r="B45" s="675">
        <v>15</v>
      </c>
      <c r="C45" s="676" t="s">
        <v>57</v>
      </c>
      <c r="D45" s="271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262"/>
      <c r="Q45" s="233"/>
      <c r="R45" s="62"/>
      <c r="S45" s="262"/>
      <c r="T45" s="262"/>
      <c r="U45" s="233"/>
      <c r="V45" s="262"/>
      <c r="W45" s="233"/>
      <c r="X45" s="73">
        <v>0.25</v>
      </c>
      <c r="Y45" s="62">
        <v>0.5</v>
      </c>
      <c r="Z45" s="62"/>
      <c r="AA45" s="62"/>
      <c r="AB45" s="62"/>
      <c r="AC45" s="262">
        <v>3</v>
      </c>
      <c r="AD45" s="262"/>
      <c r="AE45" s="233"/>
      <c r="AF45" s="62">
        <v>0.25</v>
      </c>
      <c r="AG45" s="62">
        <v>0.5</v>
      </c>
      <c r="AH45" s="62"/>
      <c r="AI45" s="62"/>
      <c r="AJ45" s="62"/>
      <c r="AK45" s="262">
        <v>3</v>
      </c>
      <c r="AL45" s="262"/>
      <c r="AM45" s="233"/>
      <c r="AN45" s="62">
        <v>0.25</v>
      </c>
      <c r="AO45" s="62">
        <v>1</v>
      </c>
      <c r="AP45" s="62">
        <v>0.25</v>
      </c>
      <c r="AQ45" s="62"/>
      <c r="AR45" s="62"/>
      <c r="AS45" s="262">
        <v>3</v>
      </c>
      <c r="AT45" s="262"/>
      <c r="AU45" s="233"/>
      <c r="AV45" s="62"/>
      <c r="AW45" s="62"/>
      <c r="AX45" s="62"/>
      <c r="AY45" s="62"/>
      <c r="AZ45" s="62"/>
      <c r="BA45" s="262">
        <v>3</v>
      </c>
      <c r="BB45" s="754"/>
      <c r="BC45" s="20"/>
    </row>
    <row r="46" spans="2:58" ht="14.5">
      <c r="B46" s="675">
        <v>16</v>
      </c>
      <c r="C46" s="676" t="s">
        <v>106</v>
      </c>
      <c r="D46" s="271"/>
      <c r="E46" s="62">
        <v>2</v>
      </c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262"/>
      <c r="Q46" s="233"/>
      <c r="R46" s="62"/>
      <c r="S46" s="262"/>
      <c r="T46" s="262"/>
      <c r="U46" s="233"/>
      <c r="V46" s="262"/>
      <c r="W46" s="233"/>
      <c r="X46" s="62">
        <v>0.125</v>
      </c>
      <c r="Y46" s="62">
        <v>0.125</v>
      </c>
      <c r="Z46" s="73"/>
      <c r="AA46" s="62"/>
      <c r="AB46" s="62"/>
      <c r="AC46" s="262"/>
      <c r="AD46" s="262">
        <v>1</v>
      </c>
      <c r="AE46" s="233"/>
      <c r="AF46" s="62">
        <v>0.25</v>
      </c>
      <c r="AG46" s="62">
        <v>0.25</v>
      </c>
      <c r="AH46" s="62">
        <v>0.25</v>
      </c>
      <c r="AI46" s="62"/>
      <c r="AJ46" s="62"/>
      <c r="AK46" s="262"/>
      <c r="AL46" s="262">
        <v>1</v>
      </c>
      <c r="AM46" s="233"/>
      <c r="AN46" s="73">
        <v>0.75</v>
      </c>
      <c r="AO46" s="62">
        <v>1</v>
      </c>
      <c r="AP46" s="62">
        <v>1</v>
      </c>
      <c r="AQ46" s="62"/>
      <c r="AR46" s="62"/>
      <c r="AS46" s="262"/>
      <c r="AT46" s="262">
        <v>1</v>
      </c>
      <c r="AU46" s="233"/>
      <c r="AV46" s="62"/>
      <c r="AW46" s="62">
        <v>1</v>
      </c>
      <c r="AX46" s="62">
        <v>1</v>
      </c>
      <c r="AY46" s="62"/>
      <c r="AZ46" s="62"/>
      <c r="BA46" s="262"/>
      <c r="BB46" s="754"/>
      <c r="BC46" s="20"/>
    </row>
    <row r="47" spans="2:58" ht="14.5">
      <c r="B47" s="708"/>
      <c r="C47" s="716" t="s">
        <v>123</v>
      </c>
      <c r="D47" s="725"/>
      <c r="E47" s="709">
        <v>1</v>
      </c>
      <c r="F47" s="709">
        <v>0.5</v>
      </c>
      <c r="G47" s="709">
        <v>0.5</v>
      </c>
      <c r="H47" s="709">
        <f>15%*SUM(H3:H46)</f>
        <v>0</v>
      </c>
      <c r="I47" s="709">
        <v>1</v>
      </c>
      <c r="J47" s="709">
        <f t="shared" ref="J47:Q47" si="0">15%*SUM(J3:J46)</f>
        <v>0</v>
      </c>
      <c r="K47" s="709">
        <f t="shared" si="0"/>
        <v>0</v>
      </c>
      <c r="L47" s="709">
        <f t="shared" si="0"/>
        <v>0.44999999999999996</v>
      </c>
      <c r="M47" s="709">
        <f t="shared" si="0"/>
        <v>7.4999999999999997E-2</v>
      </c>
      <c r="N47" s="709">
        <f t="shared" si="0"/>
        <v>0</v>
      </c>
      <c r="O47" s="709">
        <f t="shared" si="0"/>
        <v>0</v>
      </c>
      <c r="P47" s="741">
        <f t="shared" si="0"/>
        <v>0</v>
      </c>
      <c r="Q47" s="737">
        <f t="shared" si="0"/>
        <v>0</v>
      </c>
      <c r="R47" s="709">
        <v>1</v>
      </c>
      <c r="S47" s="741">
        <f>15%*SUM(S3:S46)</f>
        <v>0</v>
      </c>
      <c r="T47" s="741">
        <v>0</v>
      </c>
      <c r="U47" s="737">
        <f>15%*SUM(U3:U46)</f>
        <v>0</v>
      </c>
      <c r="V47" s="741">
        <f>15%*SUM(V3:V46)</f>
        <v>0</v>
      </c>
      <c r="W47" s="737">
        <f>15%*SUM(W3:W46)</f>
        <v>0</v>
      </c>
      <c r="X47" s="709">
        <v>0</v>
      </c>
      <c r="Y47" s="709">
        <v>0</v>
      </c>
      <c r="Z47" s="709">
        <f t="shared" ref="Z47:BB47" si="1">15%*SUM(Z3:Z46)</f>
        <v>0</v>
      </c>
      <c r="AA47" s="709">
        <f t="shared" si="1"/>
        <v>0</v>
      </c>
      <c r="AB47" s="709">
        <f t="shared" si="1"/>
        <v>0</v>
      </c>
      <c r="AC47" s="709">
        <f t="shared" si="1"/>
        <v>0.44999999999999996</v>
      </c>
      <c r="AD47" s="709">
        <f t="shared" si="1"/>
        <v>0.15</v>
      </c>
      <c r="AE47" s="737">
        <f t="shared" si="1"/>
        <v>0</v>
      </c>
      <c r="AF47" s="709">
        <f t="shared" si="1"/>
        <v>0.26250000000000001</v>
      </c>
      <c r="AG47" s="709">
        <f t="shared" si="1"/>
        <v>0.6</v>
      </c>
      <c r="AH47" s="709">
        <f t="shared" si="1"/>
        <v>7.4999999999999997E-2</v>
      </c>
      <c r="AI47" s="709">
        <f t="shared" si="1"/>
        <v>0</v>
      </c>
      <c r="AJ47" s="709">
        <f t="shared" si="1"/>
        <v>0</v>
      </c>
      <c r="AK47" s="709">
        <f t="shared" si="1"/>
        <v>0.44999999999999996</v>
      </c>
      <c r="AL47" s="741">
        <f t="shared" si="1"/>
        <v>0.15</v>
      </c>
      <c r="AM47" s="737">
        <f t="shared" si="1"/>
        <v>0</v>
      </c>
      <c r="AN47" s="709">
        <f t="shared" si="1"/>
        <v>0.44999999999999996</v>
      </c>
      <c r="AO47" s="709">
        <f t="shared" si="1"/>
        <v>1.0125</v>
      </c>
      <c r="AP47" s="709">
        <f t="shared" si="1"/>
        <v>0.375</v>
      </c>
      <c r="AQ47" s="709">
        <f t="shared" si="1"/>
        <v>0</v>
      </c>
      <c r="AR47" s="709">
        <f t="shared" si="1"/>
        <v>0</v>
      </c>
      <c r="AS47" s="709">
        <f t="shared" si="1"/>
        <v>0.44999999999999996</v>
      </c>
      <c r="AT47" s="741">
        <f t="shared" si="1"/>
        <v>0.15</v>
      </c>
      <c r="AU47" s="737">
        <f t="shared" si="1"/>
        <v>0</v>
      </c>
      <c r="AV47" s="709">
        <f t="shared" si="1"/>
        <v>0</v>
      </c>
      <c r="AW47" s="709">
        <f t="shared" si="1"/>
        <v>0.22499999999999998</v>
      </c>
      <c r="AX47" s="709">
        <f t="shared" si="1"/>
        <v>0.89999999999999991</v>
      </c>
      <c r="AY47" s="709">
        <f t="shared" si="1"/>
        <v>0</v>
      </c>
      <c r="AZ47" s="709">
        <f t="shared" si="1"/>
        <v>0</v>
      </c>
      <c r="BA47" s="741">
        <f t="shared" si="1"/>
        <v>0.44999999999999996</v>
      </c>
      <c r="BB47" s="761">
        <f t="shared" si="1"/>
        <v>0.15</v>
      </c>
      <c r="BC47" s="20"/>
    </row>
    <row r="48" spans="2:58" ht="14.5">
      <c r="B48" s="706"/>
      <c r="C48" s="717" t="s">
        <v>26</v>
      </c>
      <c r="D48" s="726">
        <f t="shared" ref="D48:AI48" si="2">SUM(D3:D47)</f>
        <v>1</v>
      </c>
      <c r="E48" s="707">
        <f t="shared" si="2"/>
        <v>7</v>
      </c>
      <c r="F48" s="707">
        <f t="shared" si="2"/>
        <v>2</v>
      </c>
      <c r="G48" s="707">
        <f t="shared" si="2"/>
        <v>5</v>
      </c>
      <c r="H48" s="707">
        <f t="shared" si="2"/>
        <v>0</v>
      </c>
      <c r="I48" s="707">
        <f t="shared" si="2"/>
        <v>4</v>
      </c>
      <c r="J48" s="707">
        <f t="shared" si="2"/>
        <v>0</v>
      </c>
      <c r="K48" s="707">
        <f t="shared" si="2"/>
        <v>0</v>
      </c>
      <c r="L48" s="707">
        <f t="shared" si="2"/>
        <v>3.45</v>
      </c>
      <c r="M48" s="707">
        <f t="shared" si="2"/>
        <v>0.57499999999999996</v>
      </c>
      <c r="N48" s="707">
        <f t="shared" si="2"/>
        <v>0</v>
      </c>
      <c r="O48" s="707">
        <f t="shared" si="2"/>
        <v>0</v>
      </c>
      <c r="P48" s="742">
        <f t="shared" si="2"/>
        <v>0</v>
      </c>
      <c r="Q48" s="738">
        <f t="shared" si="2"/>
        <v>0</v>
      </c>
      <c r="R48" s="707">
        <f t="shared" si="2"/>
        <v>5</v>
      </c>
      <c r="S48" s="742">
        <f t="shared" si="2"/>
        <v>0</v>
      </c>
      <c r="T48" s="742">
        <f t="shared" si="2"/>
        <v>1</v>
      </c>
      <c r="U48" s="738">
        <f t="shared" si="2"/>
        <v>0</v>
      </c>
      <c r="V48" s="742">
        <f t="shared" si="2"/>
        <v>0</v>
      </c>
      <c r="W48" s="738">
        <f t="shared" si="2"/>
        <v>0</v>
      </c>
      <c r="X48" s="707">
        <f t="shared" si="2"/>
        <v>1.125</v>
      </c>
      <c r="Y48" s="707">
        <f t="shared" si="2"/>
        <v>1.125</v>
      </c>
      <c r="Z48" s="707">
        <f t="shared" si="2"/>
        <v>0</v>
      </c>
      <c r="AA48" s="707">
        <f t="shared" si="2"/>
        <v>0</v>
      </c>
      <c r="AB48" s="707">
        <f t="shared" si="2"/>
        <v>0</v>
      </c>
      <c r="AC48" s="707">
        <f t="shared" si="2"/>
        <v>3.45</v>
      </c>
      <c r="AD48" s="742">
        <f t="shared" si="2"/>
        <v>1.1499999999999999</v>
      </c>
      <c r="AE48" s="738">
        <f t="shared" si="2"/>
        <v>0</v>
      </c>
      <c r="AF48" s="707">
        <f t="shared" si="2"/>
        <v>2.0125000000000002</v>
      </c>
      <c r="AG48" s="707">
        <f t="shared" si="2"/>
        <v>4.5999999999999996</v>
      </c>
      <c r="AH48" s="707">
        <f t="shared" si="2"/>
        <v>0.57499999999999996</v>
      </c>
      <c r="AI48" s="707">
        <f t="shared" si="2"/>
        <v>0</v>
      </c>
      <c r="AJ48" s="707">
        <f t="shared" ref="AJ48:BB48" si="3">SUM(AJ3:AJ47)</f>
        <v>0</v>
      </c>
      <c r="AK48" s="707">
        <f t="shared" si="3"/>
        <v>3.45</v>
      </c>
      <c r="AL48" s="742">
        <f t="shared" si="3"/>
        <v>1.1499999999999999</v>
      </c>
      <c r="AM48" s="738">
        <f t="shared" si="3"/>
        <v>0</v>
      </c>
      <c r="AN48" s="707">
        <f t="shared" si="3"/>
        <v>3.45</v>
      </c>
      <c r="AO48" s="707">
        <f t="shared" si="3"/>
        <v>7.7625000000000002</v>
      </c>
      <c r="AP48" s="707">
        <f t="shared" si="3"/>
        <v>2.875</v>
      </c>
      <c r="AQ48" s="707">
        <f t="shared" si="3"/>
        <v>0</v>
      </c>
      <c r="AR48" s="707">
        <f t="shared" si="3"/>
        <v>0</v>
      </c>
      <c r="AS48" s="707">
        <f t="shared" si="3"/>
        <v>3.45</v>
      </c>
      <c r="AT48" s="742">
        <f t="shared" si="3"/>
        <v>1.1499999999999999</v>
      </c>
      <c r="AU48" s="738">
        <f t="shared" si="3"/>
        <v>0</v>
      </c>
      <c r="AV48" s="707">
        <f t="shared" si="3"/>
        <v>0</v>
      </c>
      <c r="AW48" s="707">
        <f t="shared" si="3"/>
        <v>1.7250000000000001</v>
      </c>
      <c r="AX48" s="707">
        <f t="shared" si="3"/>
        <v>6.9</v>
      </c>
      <c r="AY48" s="707">
        <f t="shared" si="3"/>
        <v>0</v>
      </c>
      <c r="AZ48" s="707">
        <f t="shared" si="3"/>
        <v>0</v>
      </c>
      <c r="BA48" s="742">
        <f t="shared" si="3"/>
        <v>3.45</v>
      </c>
      <c r="BB48" s="762">
        <f t="shared" si="3"/>
        <v>1.1499999999999999</v>
      </c>
      <c r="BC48" s="567">
        <f>SUM(D48:BB48)</f>
        <v>79.575000000000031</v>
      </c>
    </row>
    <row r="49" spans="2:57" ht="14.5">
      <c r="B49" s="675"/>
      <c r="C49" s="718" t="s">
        <v>27</v>
      </c>
      <c r="D49" s="727">
        <v>8500</v>
      </c>
      <c r="E49" s="453">
        <v>8500</v>
      </c>
      <c r="F49" s="453">
        <v>14000</v>
      </c>
      <c r="G49" s="453">
        <v>14000</v>
      </c>
      <c r="H49" s="453">
        <v>8500</v>
      </c>
      <c r="I49" s="453">
        <v>8500</v>
      </c>
      <c r="J49" s="453">
        <v>8500</v>
      </c>
      <c r="K49" s="453">
        <v>8500</v>
      </c>
      <c r="L49" s="453">
        <v>8500</v>
      </c>
      <c r="M49" s="453">
        <v>14000</v>
      </c>
      <c r="N49" s="453">
        <v>8500</v>
      </c>
      <c r="O49" s="453">
        <v>8500</v>
      </c>
      <c r="P49" s="743">
        <v>8500</v>
      </c>
      <c r="Q49" s="452">
        <v>14000</v>
      </c>
      <c r="R49" s="453">
        <v>14000</v>
      </c>
      <c r="S49" s="743">
        <v>7500</v>
      </c>
      <c r="T49" s="453">
        <v>14000</v>
      </c>
      <c r="U49" s="452">
        <v>8500</v>
      </c>
      <c r="V49" s="743">
        <v>8500</v>
      </c>
      <c r="W49" s="452">
        <v>14000</v>
      </c>
      <c r="X49" s="453">
        <v>8500</v>
      </c>
      <c r="Y49" s="453">
        <v>14000</v>
      </c>
      <c r="Z49" s="453">
        <v>8500</v>
      </c>
      <c r="AA49" s="453">
        <v>8500</v>
      </c>
      <c r="AB49" s="453">
        <v>8500</v>
      </c>
      <c r="AC49" s="453">
        <v>8500</v>
      </c>
      <c r="AD49" s="743">
        <v>8500</v>
      </c>
      <c r="AE49" s="452">
        <v>14000</v>
      </c>
      <c r="AF49" s="453">
        <v>8500</v>
      </c>
      <c r="AG49" s="453">
        <v>14000</v>
      </c>
      <c r="AH49" s="453">
        <v>8500</v>
      </c>
      <c r="AI49" s="453">
        <v>8500</v>
      </c>
      <c r="AJ49" s="453">
        <v>8500</v>
      </c>
      <c r="AK49" s="453">
        <v>8500</v>
      </c>
      <c r="AL49" s="743">
        <v>8500</v>
      </c>
      <c r="AM49" s="452">
        <v>14000</v>
      </c>
      <c r="AN49" s="453">
        <v>8500</v>
      </c>
      <c r="AO49" s="453">
        <v>14000</v>
      </c>
      <c r="AP49" s="453">
        <v>8500</v>
      </c>
      <c r="AQ49" s="453">
        <v>8500</v>
      </c>
      <c r="AR49" s="453">
        <v>8500</v>
      </c>
      <c r="AS49" s="453">
        <v>8500</v>
      </c>
      <c r="AT49" s="743">
        <v>8500</v>
      </c>
      <c r="AU49" s="452">
        <v>14000</v>
      </c>
      <c r="AV49" s="453">
        <v>8500</v>
      </c>
      <c r="AW49" s="453">
        <v>14000</v>
      </c>
      <c r="AX49" s="453">
        <v>8500</v>
      </c>
      <c r="AY49" s="453">
        <v>8500</v>
      </c>
      <c r="AZ49" s="453">
        <v>8500</v>
      </c>
      <c r="BA49" s="743">
        <v>8500</v>
      </c>
      <c r="BB49" s="763">
        <v>8500</v>
      </c>
    </row>
    <row r="50" spans="2:57" ht="14.5">
      <c r="B50" s="677"/>
      <c r="C50" s="719" t="s">
        <v>28</v>
      </c>
      <c r="D50" s="728">
        <f>D48*D49</f>
        <v>8500</v>
      </c>
      <c r="E50" s="459">
        <f t="shared" ref="E50:BB50" si="4">E48*E49</f>
        <v>59500</v>
      </c>
      <c r="F50" s="459">
        <f t="shared" si="4"/>
        <v>28000</v>
      </c>
      <c r="G50" s="459">
        <f t="shared" si="4"/>
        <v>70000</v>
      </c>
      <c r="H50" s="459">
        <f t="shared" si="4"/>
        <v>0</v>
      </c>
      <c r="I50" s="459">
        <f t="shared" si="4"/>
        <v>34000</v>
      </c>
      <c r="J50" s="459">
        <f t="shared" si="4"/>
        <v>0</v>
      </c>
      <c r="K50" s="459">
        <f t="shared" si="4"/>
        <v>0</v>
      </c>
      <c r="L50" s="459">
        <f t="shared" si="4"/>
        <v>29325</v>
      </c>
      <c r="M50" s="459">
        <f t="shared" si="4"/>
        <v>8049.9999999999991</v>
      </c>
      <c r="N50" s="459">
        <f t="shared" si="4"/>
        <v>0</v>
      </c>
      <c r="O50" s="459">
        <f t="shared" si="4"/>
        <v>0</v>
      </c>
      <c r="P50" s="744">
        <f t="shared" si="4"/>
        <v>0</v>
      </c>
      <c r="Q50" s="458">
        <f t="shared" si="4"/>
        <v>0</v>
      </c>
      <c r="R50" s="459">
        <f t="shared" si="4"/>
        <v>70000</v>
      </c>
      <c r="S50" s="744">
        <f t="shared" ref="S50" si="5">S48*S49</f>
        <v>0</v>
      </c>
      <c r="T50" s="744">
        <f t="shared" si="4"/>
        <v>14000</v>
      </c>
      <c r="U50" s="458">
        <f t="shared" si="4"/>
        <v>0</v>
      </c>
      <c r="V50" s="744">
        <f t="shared" si="4"/>
        <v>0</v>
      </c>
      <c r="W50" s="458">
        <f t="shared" si="4"/>
        <v>0</v>
      </c>
      <c r="X50" s="459">
        <f t="shared" si="4"/>
        <v>9562.5</v>
      </c>
      <c r="Y50" s="459">
        <f t="shared" si="4"/>
        <v>15750</v>
      </c>
      <c r="Z50" s="459">
        <f t="shared" si="4"/>
        <v>0</v>
      </c>
      <c r="AA50" s="459">
        <f t="shared" si="4"/>
        <v>0</v>
      </c>
      <c r="AB50" s="459">
        <f t="shared" si="4"/>
        <v>0</v>
      </c>
      <c r="AC50" s="459">
        <f>AC48*AC49</f>
        <v>29325</v>
      </c>
      <c r="AD50" s="744">
        <f t="shared" si="4"/>
        <v>9775</v>
      </c>
      <c r="AE50" s="458">
        <f>AE48*AE49</f>
        <v>0</v>
      </c>
      <c r="AF50" s="459">
        <f>AF48*AF49</f>
        <v>17106.25</v>
      </c>
      <c r="AG50" s="459">
        <f t="shared" si="4"/>
        <v>64399.999999999993</v>
      </c>
      <c r="AH50" s="459">
        <f t="shared" si="4"/>
        <v>4887.5</v>
      </c>
      <c r="AI50" s="459">
        <f t="shared" si="4"/>
        <v>0</v>
      </c>
      <c r="AJ50" s="459">
        <f t="shared" si="4"/>
        <v>0</v>
      </c>
      <c r="AK50" s="459">
        <f>AK48*AK49</f>
        <v>29325</v>
      </c>
      <c r="AL50" s="744">
        <f t="shared" si="4"/>
        <v>9775</v>
      </c>
      <c r="AM50" s="458">
        <f t="shared" si="4"/>
        <v>0</v>
      </c>
      <c r="AN50" s="459">
        <f>AN48*AN49</f>
        <v>29325</v>
      </c>
      <c r="AO50" s="459">
        <f t="shared" si="4"/>
        <v>108675</v>
      </c>
      <c r="AP50" s="459">
        <f t="shared" si="4"/>
        <v>24437.5</v>
      </c>
      <c r="AQ50" s="459">
        <f t="shared" si="4"/>
        <v>0</v>
      </c>
      <c r="AR50" s="459">
        <f t="shared" si="4"/>
        <v>0</v>
      </c>
      <c r="AS50" s="459">
        <f>AS48*AS49</f>
        <v>29325</v>
      </c>
      <c r="AT50" s="744">
        <f t="shared" si="4"/>
        <v>9775</v>
      </c>
      <c r="AU50" s="458">
        <f t="shared" si="4"/>
        <v>0</v>
      </c>
      <c r="AV50" s="459">
        <f t="shared" si="4"/>
        <v>0</v>
      </c>
      <c r="AW50" s="459">
        <f t="shared" si="4"/>
        <v>24150</v>
      </c>
      <c r="AX50" s="459">
        <f t="shared" si="4"/>
        <v>58650</v>
      </c>
      <c r="AY50" s="459">
        <f t="shared" si="4"/>
        <v>0</v>
      </c>
      <c r="AZ50" s="459">
        <f t="shared" si="4"/>
        <v>0</v>
      </c>
      <c r="BA50" s="744">
        <f t="shared" si="4"/>
        <v>29325</v>
      </c>
      <c r="BB50" s="764">
        <f t="shared" si="4"/>
        <v>9775</v>
      </c>
      <c r="BC50" s="512">
        <f>SUM(D50:BB50)</f>
        <v>834718.75</v>
      </c>
      <c r="BD50" s="281"/>
      <c r="BE50" s="281"/>
    </row>
    <row r="51" spans="2:57" ht="13.5" customHeight="1">
      <c r="D51" s="19" t="s">
        <v>124</v>
      </c>
      <c r="E51" s="19" t="s">
        <v>124</v>
      </c>
      <c r="F51" s="19" t="s">
        <v>124</v>
      </c>
      <c r="G51" s="19" t="s">
        <v>124</v>
      </c>
      <c r="I51" s="19" t="s">
        <v>124</v>
      </c>
      <c r="L51" s="19" t="s">
        <v>124</v>
      </c>
      <c r="M51" s="19" t="s">
        <v>124</v>
      </c>
      <c r="O51" s="19" t="s">
        <v>124</v>
      </c>
      <c r="P51" s="19" t="s">
        <v>124</v>
      </c>
      <c r="W51" s="19" t="s">
        <v>124</v>
      </c>
      <c r="X51" s="19" t="s">
        <v>124</v>
      </c>
      <c r="AF51" s="19" t="s">
        <v>124</v>
      </c>
      <c r="AN51" s="19" t="s">
        <v>124</v>
      </c>
      <c r="AO51" s="19" t="s">
        <v>124</v>
      </c>
      <c r="AV51" s="19" t="s">
        <v>124</v>
      </c>
      <c r="BB51" s="19" t="s">
        <v>124</v>
      </c>
      <c r="BE51" s="281"/>
    </row>
    <row r="52" spans="2:57" ht="14.5">
      <c r="C52" s="20" t="s">
        <v>125</v>
      </c>
      <c r="D52" s="19">
        <f t="shared" ref="D52:P52" si="6">D48*8</f>
        <v>8</v>
      </c>
      <c r="E52" s="19">
        <f t="shared" si="6"/>
        <v>56</v>
      </c>
      <c r="F52" s="19">
        <f t="shared" si="6"/>
        <v>16</v>
      </c>
      <c r="G52" s="19">
        <f t="shared" si="6"/>
        <v>40</v>
      </c>
      <c r="H52" s="19">
        <f t="shared" si="6"/>
        <v>0</v>
      </c>
      <c r="I52" s="19">
        <f t="shared" si="6"/>
        <v>32</v>
      </c>
      <c r="J52" s="19">
        <f t="shared" si="6"/>
        <v>0</v>
      </c>
      <c r="K52" s="19">
        <f t="shared" si="6"/>
        <v>0</v>
      </c>
      <c r="L52" s="19">
        <f t="shared" si="6"/>
        <v>27.6</v>
      </c>
      <c r="M52" s="19">
        <f t="shared" si="6"/>
        <v>4.5999999999999996</v>
      </c>
      <c r="N52" s="19">
        <f t="shared" si="6"/>
        <v>0</v>
      </c>
      <c r="O52" s="19">
        <f t="shared" si="6"/>
        <v>0</v>
      </c>
      <c r="P52" s="19">
        <f t="shared" si="6"/>
        <v>0</v>
      </c>
      <c r="R52" s="19">
        <f>R48*8</f>
        <v>40</v>
      </c>
      <c r="S52" s="19">
        <f>S48*8</f>
        <v>0</v>
      </c>
      <c r="T52" s="19">
        <f>T48*8</f>
        <v>8</v>
      </c>
      <c r="W52" s="19">
        <f>W48*8</f>
        <v>0</v>
      </c>
      <c r="X52" s="19">
        <f>X48*8</f>
        <v>9</v>
      </c>
      <c r="AD52" s="19">
        <f>AD48*8</f>
        <v>9.1999999999999993</v>
      </c>
      <c r="AE52" s="19">
        <f>AE48*8</f>
        <v>0</v>
      </c>
      <c r="AF52" s="19">
        <f>AF48*8</f>
        <v>16.100000000000001</v>
      </c>
      <c r="AL52" s="19">
        <f>AL48*8</f>
        <v>9.1999999999999993</v>
      </c>
      <c r="AM52" s="19">
        <f>AM48*8</f>
        <v>0</v>
      </c>
      <c r="AN52" s="19">
        <f>AN48*8</f>
        <v>27.6</v>
      </c>
      <c r="AT52" s="19">
        <f>AT48*8</f>
        <v>9.1999999999999993</v>
      </c>
      <c r="AU52" s="19">
        <f>AU48*8</f>
        <v>0</v>
      </c>
      <c r="AV52" s="19">
        <f>AV48*8</f>
        <v>0</v>
      </c>
      <c r="BA52" s="19">
        <f>BA48*8</f>
        <v>27.6</v>
      </c>
      <c r="BB52" s="19">
        <f>BB48*8</f>
        <v>9.1999999999999993</v>
      </c>
    </row>
    <row r="53" spans="2:57" ht="14.5"/>
    <row r="54" spans="2:57" ht="13.5" customHeight="1">
      <c r="J54" s="692"/>
      <c r="K54" s="692"/>
      <c r="L54" s="692" t="s">
        <v>211</v>
      </c>
      <c r="M54" s="692"/>
      <c r="N54" s="692"/>
      <c r="Q54" s="781"/>
      <c r="R54" s="781"/>
      <c r="S54" s="781" t="s">
        <v>212</v>
      </c>
      <c r="T54" s="781"/>
      <c r="U54" s="781"/>
      <c r="V54" s="781"/>
    </row>
    <row r="55" spans="2:57" ht="61.5">
      <c r="C55" s="228" t="s">
        <v>126</v>
      </c>
      <c r="D55" s="19" t="s">
        <v>127</v>
      </c>
      <c r="E55" s="19" t="s">
        <v>128</v>
      </c>
      <c r="F55" s="19" t="s">
        <v>129</v>
      </c>
      <c r="G55" s="19" t="s">
        <v>130</v>
      </c>
      <c r="H55" s="19" t="s">
        <v>131</v>
      </c>
      <c r="J55" s="693" t="s">
        <v>132</v>
      </c>
      <c r="K55" s="693" t="s">
        <v>133</v>
      </c>
      <c r="L55" s="693" t="s">
        <v>134</v>
      </c>
      <c r="M55" s="693" t="s">
        <v>135</v>
      </c>
      <c r="N55" s="693" t="s">
        <v>136</v>
      </c>
      <c r="P55" s="20"/>
      <c r="Q55" s="693" t="s">
        <v>132</v>
      </c>
      <c r="R55" s="693" t="s">
        <v>133</v>
      </c>
      <c r="S55" s="693" t="s">
        <v>134</v>
      </c>
      <c r="T55" s="693" t="s">
        <v>134</v>
      </c>
      <c r="U55" s="693" t="s">
        <v>135</v>
      </c>
      <c r="V55" s="693" t="s">
        <v>136</v>
      </c>
      <c r="W55" s="20"/>
      <c r="X55" s="693" t="s">
        <v>132</v>
      </c>
      <c r="Y55" s="693" t="s">
        <v>133</v>
      </c>
      <c r="Z55" s="693" t="s">
        <v>134</v>
      </c>
      <c r="AA55" s="693" t="s">
        <v>135</v>
      </c>
      <c r="AB55" s="693" t="s">
        <v>136</v>
      </c>
      <c r="AC55" s="693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</row>
    <row r="56" spans="2:57" ht="43">
      <c r="D56" s="19" t="s">
        <v>137</v>
      </c>
      <c r="E56" s="19" t="s">
        <v>138</v>
      </c>
      <c r="F56" s="19">
        <v>20</v>
      </c>
      <c r="G56" s="694">
        <v>8500</v>
      </c>
      <c r="H56" s="694">
        <f>F56*G56</f>
        <v>170000</v>
      </c>
      <c r="J56" s="60" t="s">
        <v>139</v>
      </c>
      <c r="K56" s="60" t="s">
        <v>140</v>
      </c>
      <c r="L56" s="692">
        <v>17</v>
      </c>
      <c r="M56" s="694">
        <v>8500</v>
      </c>
      <c r="N56" s="694">
        <f>L56*M56</f>
        <v>144500</v>
      </c>
      <c r="P56" s="20"/>
      <c r="Q56" s="60" t="s">
        <v>139</v>
      </c>
      <c r="R56" s="60" t="s">
        <v>140</v>
      </c>
      <c r="S56" s="60">
        <v>17</v>
      </c>
      <c r="T56" s="60">
        <v>17</v>
      </c>
      <c r="U56" s="695">
        <v>8500</v>
      </c>
      <c r="V56" s="695">
        <f>T56*U56</f>
        <v>144500</v>
      </c>
      <c r="W56" s="20"/>
      <c r="X56" s="696" t="s">
        <v>139</v>
      </c>
      <c r="Y56" s="696" t="s">
        <v>140</v>
      </c>
      <c r="Z56" s="60">
        <v>17</v>
      </c>
      <c r="AA56" s="695">
        <v>8500</v>
      </c>
      <c r="AB56" s="695">
        <v>144500</v>
      </c>
      <c r="AC56" s="695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</row>
    <row r="57" spans="2:57" ht="13.5" customHeight="1">
      <c r="D57" s="19" t="s">
        <v>141</v>
      </c>
      <c r="E57" s="19" t="s">
        <v>142</v>
      </c>
      <c r="F57" s="19">
        <v>37.5</v>
      </c>
      <c r="G57" s="694">
        <v>8500</v>
      </c>
      <c r="H57" s="694">
        <f t="shared" ref="H57:H73" si="7">F57*G57</f>
        <v>318750</v>
      </c>
      <c r="J57" s="60" t="s">
        <v>143</v>
      </c>
      <c r="K57" s="60" t="s">
        <v>144</v>
      </c>
      <c r="L57" s="692">
        <v>29</v>
      </c>
      <c r="M57" s="694">
        <v>8500</v>
      </c>
      <c r="N57" s="694">
        <f t="shared" ref="N57:N72" si="8">L57*M57</f>
        <v>246500</v>
      </c>
      <c r="P57" s="20"/>
      <c r="Q57" s="60" t="s">
        <v>143</v>
      </c>
      <c r="R57" s="60" t="s">
        <v>144</v>
      </c>
      <c r="S57" s="60">
        <v>29</v>
      </c>
      <c r="T57" s="60">
        <v>29</v>
      </c>
      <c r="U57" s="695">
        <v>8500</v>
      </c>
      <c r="V57" s="695">
        <f t="shared" ref="V57:V72" si="9">T57*U57</f>
        <v>246500</v>
      </c>
      <c r="W57" s="20"/>
      <c r="X57" s="696" t="s">
        <v>143</v>
      </c>
      <c r="Y57" s="696" t="s">
        <v>144</v>
      </c>
      <c r="Z57" s="60">
        <v>29</v>
      </c>
      <c r="AA57" s="695">
        <v>8500</v>
      </c>
      <c r="AB57" s="695">
        <v>246500</v>
      </c>
      <c r="AC57" s="695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</row>
    <row r="58" spans="2:57" ht="13.5" customHeight="1">
      <c r="D58" s="19" t="s">
        <v>141</v>
      </c>
      <c r="E58" s="19" t="s">
        <v>5</v>
      </c>
      <c r="F58" s="19">
        <v>13.5</v>
      </c>
      <c r="G58" s="694">
        <v>14000</v>
      </c>
      <c r="H58" s="694">
        <f t="shared" si="7"/>
        <v>189000</v>
      </c>
      <c r="J58" s="60" t="s">
        <v>145</v>
      </c>
      <c r="K58" s="60" t="s">
        <v>146</v>
      </c>
      <c r="L58" s="692">
        <v>12</v>
      </c>
      <c r="M58" s="694">
        <v>14000</v>
      </c>
      <c r="N58" s="694">
        <f t="shared" si="8"/>
        <v>168000</v>
      </c>
      <c r="P58" s="20"/>
      <c r="Q58" s="60" t="s">
        <v>145</v>
      </c>
      <c r="R58" s="60" t="s">
        <v>146</v>
      </c>
      <c r="S58" s="60">
        <v>12</v>
      </c>
      <c r="T58" s="60">
        <v>12</v>
      </c>
      <c r="U58" s="695">
        <v>14000</v>
      </c>
      <c r="V58" s="695">
        <f t="shared" si="9"/>
        <v>168000</v>
      </c>
      <c r="W58" s="20"/>
      <c r="X58" s="696" t="s">
        <v>145</v>
      </c>
      <c r="Y58" s="696" t="s">
        <v>146</v>
      </c>
      <c r="Z58" s="60">
        <v>12</v>
      </c>
      <c r="AA58" s="695">
        <v>14000</v>
      </c>
      <c r="AB58" s="695">
        <v>168000</v>
      </c>
      <c r="AC58" s="695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</row>
    <row r="59" spans="2:57" ht="13.5" customHeight="1">
      <c r="D59" s="19" t="s">
        <v>141</v>
      </c>
      <c r="E59" s="19" t="s">
        <v>108</v>
      </c>
      <c r="F59" s="19">
        <v>35</v>
      </c>
      <c r="G59" s="694">
        <v>14000</v>
      </c>
      <c r="H59" s="694">
        <f t="shared" si="7"/>
        <v>490000</v>
      </c>
      <c r="J59" s="60" t="s">
        <v>147</v>
      </c>
      <c r="K59" s="60" t="s">
        <v>148</v>
      </c>
      <c r="L59" s="692">
        <v>33</v>
      </c>
      <c r="M59" s="694">
        <v>14000</v>
      </c>
      <c r="N59" s="694">
        <f t="shared" si="8"/>
        <v>462000</v>
      </c>
      <c r="P59" s="20"/>
      <c r="Q59" s="60" t="s">
        <v>147</v>
      </c>
      <c r="R59" s="60" t="s">
        <v>148</v>
      </c>
      <c r="S59" s="60">
        <v>33</v>
      </c>
      <c r="T59" s="60">
        <v>33</v>
      </c>
      <c r="U59" s="695">
        <v>14000</v>
      </c>
      <c r="V59" s="695">
        <f t="shared" si="9"/>
        <v>462000</v>
      </c>
      <c r="W59" s="20"/>
      <c r="X59" s="696" t="s">
        <v>147</v>
      </c>
      <c r="Y59" s="696" t="s">
        <v>148</v>
      </c>
      <c r="Z59" s="60">
        <v>33</v>
      </c>
      <c r="AA59" s="695">
        <v>14000</v>
      </c>
      <c r="AB59" s="695">
        <v>462000</v>
      </c>
      <c r="AC59" s="695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</row>
    <row r="60" spans="2:57" ht="13.5" customHeight="1">
      <c r="D60" s="19" t="s">
        <v>141</v>
      </c>
      <c r="E60" s="690" t="s">
        <v>7</v>
      </c>
      <c r="F60" s="19">
        <v>13</v>
      </c>
      <c r="G60" s="694">
        <v>8500</v>
      </c>
      <c r="H60" s="694">
        <f t="shared" si="7"/>
        <v>110500</v>
      </c>
      <c r="J60" s="60" t="s">
        <v>149</v>
      </c>
      <c r="K60" s="60" t="s">
        <v>150</v>
      </c>
      <c r="L60" s="692">
        <v>13</v>
      </c>
      <c r="M60" s="694">
        <v>8500</v>
      </c>
      <c r="N60" s="694">
        <f t="shared" si="8"/>
        <v>110500</v>
      </c>
      <c r="P60" s="20"/>
      <c r="Q60" s="60" t="s">
        <v>149</v>
      </c>
      <c r="R60" s="60" t="s">
        <v>150</v>
      </c>
      <c r="S60" s="60">
        <v>13</v>
      </c>
      <c r="T60" s="60">
        <v>13</v>
      </c>
      <c r="U60" s="695">
        <v>8500</v>
      </c>
      <c r="V60" s="695">
        <f t="shared" si="9"/>
        <v>110500</v>
      </c>
      <c r="W60" s="20"/>
      <c r="X60" s="696" t="s">
        <v>149</v>
      </c>
      <c r="Y60" s="696" t="s">
        <v>150</v>
      </c>
      <c r="Z60" s="60">
        <v>13</v>
      </c>
      <c r="AA60" s="695">
        <v>8500</v>
      </c>
      <c r="AB60" s="695">
        <v>110500</v>
      </c>
      <c r="AC60" s="695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</row>
    <row r="61" spans="2:57" ht="13.5" customHeight="1">
      <c r="D61" s="19" t="s">
        <v>60</v>
      </c>
      <c r="E61" s="691" t="s">
        <v>71</v>
      </c>
      <c r="F61" s="19">
        <v>17</v>
      </c>
      <c r="G61" s="694">
        <v>14000</v>
      </c>
      <c r="H61" s="694">
        <f t="shared" si="7"/>
        <v>238000</v>
      </c>
      <c r="J61" s="60" t="s">
        <v>151</v>
      </c>
      <c r="K61" s="60" t="s">
        <v>152</v>
      </c>
      <c r="L61" s="692">
        <v>16</v>
      </c>
      <c r="M61" s="694">
        <v>14000</v>
      </c>
      <c r="N61" s="694">
        <f t="shared" si="8"/>
        <v>224000</v>
      </c>
      <c r="P61" s="20"/>
      <c r="Q61" s="60" t="s">
        <v>182</v>
      </c>
      <c r="R61" s="60" t="s">
        <v>152</v>
      </c>
      <c r="S61" s="60">
        <v>16</v>
      </c>
      <c r="T61" s="60">
        <v>16</v>
      </c>
      <c r="U61" s="695">
        <v>14000</v>
      </c>
      <c r="V61" s="695">
        <f t="shared" si="9"/>
        <v>224000</v>
      </c>
      <c r="W61" s="20"/>
      <c r="X61" s="696" t="s">
        <v>182</v>
      </c>
      <c r="Y61" s="696" t="s">
        <v>152</v>
      </c>
      <c r="Z61" s="60">
        <v>16</v>
      </c>
      <c r="AA61" s="695">
        <v>14000</v>
      </c>
      <c r="AB61" s="695">
        <v>224000</v>
      </c>
      <c r="AC61" s="695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</row>
    <row r="62" spans="2:57" ht="13.5" customHeight="1">
      <c r="D62" s="19" t="s">
        <v>60</v>
      </c>
      <c r="E62" s="19" t="s">
        <v>153</v>
      </c>
      <c r="F62" s="19">
        <v>5</v>
      </c>
      <c r="G62" s="694">
        <v>7500</v>
      </c>
      <c r="H62" s="694">
        <f t="shared" si="7"/>
        <v>37500</v>
      </c>
      <c r="J62" s="19" t="s">
        <v>154</v>
      </c>
      <c r="K62" s="19" t="s">
        <v>153</v>
      </c>
      <c r="L62" s="692">
        <v>5</v>
      </c>
      <c r="M62" s="694">
        <v>7500</v>
      </c>
      <c r="N62" s="694">
        <f t="shared" si="8"/>
        <v>37500</v>
      </c>
      <c r="P62" s="20"/>
      <c r="Q62" s="60" t="s">
        <v>154</v>
      </c>
      <c r="R62" s="60" t="s">
        <v>153</v>
      </c>
      <c r="S62" s="60">
        <v>5</v>
      </c>
      <c r="T62" s="60">
        <v>5</v>
      </c>
      <c r="U62" s="695">
        <v>7500</v>
      </c>
      <c r="V62" s="695">
        <f t="shared" si="9"/>
        <v>37500</v>
      </c>
      <c r="W62" s="20"/>
      <c r="X62" s="696" t="s">
        <v>154</v>
      </c>
      <c r="Y62" s="696" t="s">
        <v>153</v>
      </c>
      <c r="Z62" s="60">
        <v>5</v>
      </c>
      <c r="AA62" s="695">
        <v>7500</v>
      </c>
      <c r="AB62" s="695">
        <v>37500</v>
      </c>
      <c r="AC62" s="695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</row>
    <row r="63" spans="2:57" ht="13.5" customHeight="1">
      <c r="D63" s="19" t="s">
        <v>155</v>
      </c>
      <c r="E63" s="19" t="s">
        <v>74</v>
      </c>
      <c r="F63" s="19">
        <v>0.5</v>
      </c>
      <c r="G63" s="694">
        <v>14000</v>
      </c>
      <c r="H63" s="694">
        <f t="shared" si="7"/>
        <v>7000</v>
      </c>
      <c r="J63" s="60" t="s">
        <v>156</v>
      </c>
      <c r="K63" s="60" t="s">
        <v>157</v>
      </c>
      <c r="L63" s="692">
        <v>1</v>
      </c>
      <c r="M63" s="694">
        <v>14000</v>
      </c>
      <c r="N63" s="694">
        <f t="shared" si="8"/>
        <v>14000</v>
      </c>
      <c r="P63" s="20"/>
      <c r="Q63" s="60" t="s">
        <v>156</v>
      </c>
      <c r="R63" s="60" t="s">
        <v>157</v>
      </c>
      <c r="S63" s="60">
        <v>1</v>
      </c>
      <c r="T63" s="60">
        <v>1</v>
      </c>
      <c r="U63" s="695">
        <v>14000</v>
      </c>
      <c r="V63" s="695">
        <f t="shared" si="9"/>
        <v>14000</v>
      </c>
      <c r="W63" s="20"/>
      <c r="X63" s="696" t="s">
        <v>156</v>
      </c>
      <c r="Y63" s="696" t="s">
        <v>157</v>
      </c>
      <c r="Z63" s="60">
        <v>1</v>
      </c>
      <c r="AA63" s="695">
        <v>14000</v>
      </c>
      <c r="AB63" s="695">
        <v>14000</v>
      </c>
      <c r="AC63" s="695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</row>
    <row r="64" spans="2:57" ht="13.5" customHeight="1">
      <c r="D64" s="19" t="s">
        <v>155</v>
      </c>
      <c r="E64" s="19" t="s">
        <v>142</v>
      </c>
      <c r="F64" s="19">
        <v>0.75</v>
      </c>
      <c r="G64" s="694">
        <v>8500</v>
      </c>
      <c r="H64" s="694">
        <f t="shared" si="7"/>
        <v>6375</v>
      </c>
      <c r="J64" s="60" t="s">
        <v>158</v>
      </c>
      <c r="K64" s="60" t="s">
        <v>150</v>
      </c>
      <c r="L64" s="692">
        <v>1</v>
      </c>
      <c r="M64" s="694">
        <v>8500</v>
      </c>
      <c r="N64" s="694">
        <f t="shared" si="8"/>
        <v>8500</v>
      </c>
      <c r="P64" s="20"/>
      <c r="Q64" s="60" t="s">
        <v>158</v>
      </c>
      <c r="R64" s="60" t="s">
        <v>150</v>
      </c>
      <c r="S64" s="60">
        <v>1</v>
      </c>
      <c r="T64" s="60">
        <v>1</v>
      </c>
      <c r="U64" s="695">
        <v>8500</v>
      </c>
      <c r="V64" s="695">
        <f t="shared" si="9"/>
        <v>8500</v>
      </c>
      <c r="W64" s="20"/>
      <c r="X64" s="696" t="s">
        <v>158</v>
      </c>
      <c r="Y64" s="696" t="s">
        <v>150</v>
      </c>
      <c r="Z64" s="60">
        <v>1</v>
      </c>
      <c r="AA64" s="695">
        <v>8500</v>
      </c>
      <c r="AB64" s="695">
        <v>8500</v>
      </c>
      <c r="AC64" s="695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</row>
    <row r="65" spans="4:55" ht="13.5" customHeight="1">
      <c r="D65" s="19" t="s">
        <v>63</v>
      </c>
      <c r="E65" s="19" t="s">
        <v>142</v>
      </c>
      <c r="F65" s="19">
        <v>0.5</v>
      </c>
      <c r="G65" s="694">
        <v>8500</v>
      </c>
      <c r="H65" s="694">
        <f t="shared" si="7"/>
        <v>4250</v>
      </c>
      <c r="J65" s="60" t="s">
        <v>159</v>
      </c>
      <c r="K65" s="60" t="s">
        <v>150</v>
      </c>
      <c r="L65" s="692">
        <v>1</v>
      </c>
      <c r="M65" s="694">
        <v>8500</v>
      </c>
      <c r="N65" s="694">
        <f t="shared" si="8"/>
        <v>8500</v>
      </c>
      <c r="P65" s="20"/>
      <c r="Q65" s="60" t="s">
        <v>159</v>
      </c>
      <c r="R65" s="60" t="s">
        <v>150</v>
      </c>
      <c r="S65" s="60">
        <v>2</v>
      </c>
      <c r="T65" s="60">
        <v>2</v>
      </c>
      <c r="U65" s="695">
        <v>8500</v>
      </c>
      <c r="V65" s="695">
        <f t="shared" si="9"/>
        <v>17000</v>
      </c>
      <c r="W65" s="20"/>
      <c r="X65" s="696" t="s">
        <v>159</v>
      </c>
      <c r="Y65" s="696" t="s">
        <v>150</v>
      </c>
      <c r="Z65" s="60">
        <v>2</v>
      </c>
      <c r="AA65" s="695">
        <v>8500</v>
      </c>
      <c r="AB65" s="695">
        <v>17000</v>
      </c>
      <c r="AC65" s="695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</row>
    <row r="66" spans="4:55" ht="13.5" customHeight="1">
      <c r="D66" s="19" t="s">
        <v>64</v>
      </c>
      <c r="E66" s="19" t="s">
        <v>142</v>
      </c>
      <c r="F66" s="19">
        <v>0.75</v>
      </c>
      <c r="G66" s="694">
        <v>8500</v>
      </c>
      <c r="H66" s="694">
        <f t="shared" si="7"/>
        <v>6375</v>
      </c>
      <c r="J66" s="60" t="s">
        <v>159</v>
      </c>
      <c r="K66" s="60" t="s">
        <v>150</v>
      </c>
      <c r="L66" s="692">
        <v>1</v>
      </c>
      <c r="M66" s="694">
        <v>8500</v>
      </c>
      <c r="N66" s="694">
        <f t="shared" si="8"/>
        <v>8500</v>
      </c>
      <c r="P66" s="20"/>
      <c r="Q66" s="60" t="s">
        <v>162</v>
      </c>
      <c r="R66" s="60" t="s">
        <v>163</v>
      </c>
      <c r="S66" s="60">
        <v>1</v>
      </c>
      <c r="T66" s="60">
        <v>1</v>
      </c>
      <c r="U66" s="695">
        <v>8500</v>
      </c>
      <c r="V66" s="695">
        <f t="shared" si="9"/>
        <v>8500</v>
      </c>
      <c r="W66" s="20"/>
      <c r="X66" s="696" t="s">
        <v>162</v>
      </c>
      <c r="Y66" s="696" t="s">
        <v>163</v>
      </c>
      <c r="Z66" s="60">
        <v>1</v>
      </c>
      <c r="AA66" s="695">
        <v>8500</v>
      </c>
      <c r="AB66" s="695">
        <v>8500</v>
      </c>
      <c r="AC66" s="695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</row>
    <row r="67" spans="4:55" ht="13.5" customHeight="1">
      <c r="D67" s="19" t="s">
        <v>160</v>
      </c>
      <c r="E67" s="19" t="s">
        <v>161</v>
      </c>
      <c r="F67" s="19">
        <v>0.5</v>
      </c>
      <c r="G67" s="694">
        <v>8500</v>
      </c>
      <c r="H67" s="694">
        <f t="shared" si="7"/>
        <v>4250</v>
      </c>
      <c r="J67" s="60" t="s">
        <v>162</v>
      </c>
      <c r="K67" s="60" t="s">
        <v>163</v>
      </c>
      <c r="L67" s="692">
        <v>1</v>
      </c>
      <c r="M67" s="694">
        <v>8500</v>
      </c>
      <c r="N67" s="694">
        <f t="shared" si="8"/>
        <v>8500</v>
      </c>
      <c r="P67" s="20"/>
      <c r="Q67" s="60" t="s">
        <v>165</v>
      </c>
      <c r="R67" s="60" t="s">
        <v>144</v>
      </c>
      <c r="S67" s="60">
        <v>1</v>
      </c>
      <c r="T67" s="60">
        <v>1</v>
      </c>
      <c r="U67" s="695">
        <v>8500</v>
      </c>
      <c r="V67" s="695">
        <f t="shared" si="9"/>
        <v>8500</v>
      </c>
      <c r="W67" s="20"/>
      <c r="X67" s="696" t="s">
        <v>165</v>
      </c>
      <c r="Y67" s="696" t="s">
        <v>144</v>
      </c>
      <c r="Z67" s="60">
        <v>1</v>
      </c>
      <c r="AA67" s="695">
        <v>8500</v>
      </c>
      <c r="AB67" s="695">
        <v>8500</v>
      </c>
      <c r="AC67" s="695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</row>
    <row r="68" spans="4:55" ht="13.5" customHeight="1">
      <c r="D68" s="19" t="s">
        <v>164</v>
      </c>
      <c r="E68" s="19" t="s">
        <v>142</v>
      </c>
      <c r="F68" s="19">
        <v>0.5</v>
      </c>
      <c r="G68" s="694">
        <v>8500</v>
      </c>
      <c r="H68" s="694">
        <f t="shared" si="7"/>
        <v>4250</v>
      </c>
      <c r="J68" s="60" t="s">
        <v>165</v>
      </c>
      <c r="K68" s="60" t="s">
        <v>144</v>
      </c>
      <c r="L68" s="692">
        <v>1</v>
      </c>
      <c r="M68" s="694">
        <v>8500</v>
      </c>
      <c r="N68" s="694">
        <f t="shared" si="8"/>
        <v>8500</v>
      </c>
      <c r="P68" s="20"/>
      <c r="Q68" s="60" t="s">
        <v>167</v>
      </c>
      <c r="R68" s="60" t="s">
        <v>168</v>
      </c>
      <c r="S68" s="60">
        <v>5</v>
      </c>
      <c r="T68" s="60">
        <v>5</v>
      </c>
      <c r="U68" s="695">
        <v>8500</v>
      </c>
      <c r="V68" s="695">
        <f t="shared" si="9"/>
        <v>42500</v>
      </c>
      <c r="W68" s="20"/>
      <c r="X68" s="696" t="s">
        <v>167</v>
      </c>
      <c r="Y68" s="696" t="s">
        <v>168</v>
      </c>
      <c r="Z68" s="60">
        <v>5</v>
      </c>
      <c r="AA68" s="695">
        <v>8500</v>
      </c>
      <c r="AB68" s="695">
        <v>42500</v>
      </c>
      <c r="AC68" s="695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</row>
    <row r="69" spans="4:55" ht="13.5" customHeight="1">
      <c r="D69" s="19" t="s">
        <v>137</v>
      </c>
      <c r="E69" s="19" t="s">
        <v>166</v>
      </c>
      <c r="F69" s="19">
        <v>6</v>
      </c>
      <c r="G69" s="694">
        <v>8500</v>
      </c>
      <c r="H69" s="694">
        <f t="shared" si="7"/>
        <v>51000</v>
      </c>
      <c r="J69" s="60" t="s">
        <v>167</v>
      </c>
      <c r="K69" s="60" t="s">
        <v>168</v>
      </c>
      <c r="L69" s="692">
        <v>5</v>
      </c>
      <c r="M69" s="694">
        <v>8500</v>
      </c>
      <c r="N69" s="694">
        <f t="shared" si="8"/>
        <v>42500</v>
      </c>
      <c r="P69" s="20"/>
      <c r="Q69" s="60" t="s">
        <v>170</v>
      </c>
      <c r="R69" s="60" t="s">
        <v>171</v>
      </c>
      <c r="S69" s="60">
        <v>1</v>
      </c>
      <c r="T69" s="60">
        <v>1</v>
      </c>
      <c r="U69" s="695">
        <v>14000</v>
      </c>
      <c r="V69" s="695">
        <f t="shared" si="9"/>
        <v>14000</v>
      </c>
      <c r="W69" s="20"/>
      <c r="X69" s="696" t="s">
        <v>170</v>
      </c>
      <c r="Y69" s="696" t="s">
        <v>171</v>
      </c>
      <c r="Z69" s="60">
        <v>1</v>
      </c>
      <c r="AA69" s="695">
        <v>14000</v>
      </c>
      <c r="AB69" s="695">
        <v>14000</v>
      </c>
      <c r="AC69" s="695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</row>
    <row r="70" spans="4:55" ht="13.5" customHeight="1">
      <c r="D70" s="19" t="s">
        <v>137</v>
      </c>
      <c r="E70" s="19" t="s">
        <v>169</v>
      </c>
      <c r="F70" s="19">
        <v>0.5</v>
      </c>
      <c r="G70" s="694">
        <v>14000</v>
      </c>
      <c r="H70" s="694">
        <f t="shared" si="7"/>
        <v>7000</v>
      </c>
      <c r="J70" s="60" t="s">
        <v>170</v>
      </c>
      <c r="K70" s="60" t="s">
        <v>171</v>
      </c>
      <c r="L70" s="692">
        <v>1</v>
      </c>
      <c r="M70" s="694">
        <v>14000</v>
      </c>
      <c r="N70" s="694">
        <f t="shared" si="8"/>
        <v>14000</v>
      </c>
      <c r="P70" s="20"/>
      <c r="Q70" s="60" t="s">
        <v>173</v>
      </c>
      <c r="R70" s="60" t="s">
        <v>174</v>
      </c>
      <c r="S70" s="60">
        <v>3</v>
      </c>
      <c r="T70" s="60">
        <v>3</v>
      </c>
      <c r="U70" s="695">
        <v>8500</v>
      </c>
      <c r="V70" s="695">
        <f t="shared" si="9"/>
        <v>25500</v>
      </c>
      <c r="W70" s="20"/>
      <c r="X70" s="696" t="s">
        <v>173</v>
      </c>
      <c r="Y70" s="696" t="s">
        <v>174</v>
      </c>
      <c r="Z70" s="60">
        <v>3</v>
      </c>
      <c r="AA70" s="695">
        <v>8500</v>
      </c>
      <c r="AB70" s="695">
        <v>25500</v>
      </c>
      <c r="AC70" s="695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</row>
    <row r="71" spans="4:55" ht="13.5" customHeight="1">
      <c r="D71" s="19" t="s">
        <v>137</v>
      </c>
      <c r="E71" s="19" t="s">
        <v>172</v>
      </c>
      <c r="F71" s="19">
        <v>3</v>
      </c>
      <c r="G71" s="694">
        <v>8500</v>
      </c>
      <c r="H71" s="694">
        <f t="shared" si="7"/>
        <v>25500</v>
      </c>
      <c r="J71" s="19" t="s">
        <v>173</v>
      </c>
      <c r="K71" s="19" t="s">
        <v>174</v>
      </c>
      <c r="L71" s="692">
        <v>3</v>
      </c>
      <c r="M71" s="694">
        <v>8500</v>
      </c>
      <c r="N71" s="694">
        <f t="shared" si="8"/>
        <v>25500</v>
      </c>
      <c r="P71" s="20"/>
      <c r="Q71" s="60" t="s">
        <v>175</v>
      </c>
      <c r="R71" s="60" t="s">
        <v>176</v>
      </c>
      <c r="S71" s="60">
        <v>2</v>
      </c>
      <c r="T71" s="60">
        <v>2</v>
      </c>
      <c r="U71" s="695">
        <v>8500</v>
      </c>
      <c r="V71" s="695">
        <f t="shared" si="9"/>
        <v>17000</v>
      </c>
      <c r="W71" s="20"/>
      <c r="X71" s="696" t="s">
        <v>175</v>
      </c>
      <c r="Y71" s="696" t="s">
        <v>176</v>
      </c>
      <c r="Z71" s="60">
        <v>2</v>
      </c>
      <c r="AA71" s="695">
        <v>8500</v>
      </c>
      <c r="AB71" s="695">
        <v>17000</v>
      </c>
      <c r="AC71" s="695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</row>
    <row r="72" spans="4:55" ht="13.5" customHeight="1">
      <c r="D72" s="19" t="s">
        <v>137</v>
      </c>
      <c r="E72" s="19" t="s">
        <v>35</v>
      </c>
      <c r="F72" s="19">
        <v>2</v>
      </c>
      <c r="G72" s="694">
        <v>8500</v>
      </c>
      <c r="H72" s="694">
        <f t="shared" si="7"/>
        <v>17000</v>
      </c>
      <c r="J72" s="697" t="s">
        <v>175</v>
      </c>
      <c r="K72" s="697" t="s">
        <v>176</v>
      </c>
      <c r="L72" s="692">
        <v>2</v>
      </c>
      <c r="M72" s="694">
        <v>8500</v>
      </c>
      <c r="N72" s="694">
        <f t="shared" si="8"/>
        <v>17000</v>
      </c>
      <c r="P72" s="20"/>
      <c r="Q72" s="60" t="s">
        <v>183</v>
      </c>
      <c r="R72" s="60" t="s">
        <v>178</v>
      </c>
      <c r="S72" s="60">
        <v>3</v>
      </c>
      <c r="T72" s="60">
        <v>3</v>
      </c>
      <c r="U72" s="695">
        <v>8500</v>
      </c>
      <c r="V72" s="695">
        <f t="shared" si="9"/>
        <v>25500</v>
      </c>
      <c r="W72" s="20"/>
      <c r="X72" s="696" t="s">
        <v>183</v>
      </c>
      <c r="Y72" s="696" t="s">
        <v>178</v>
      </c>
      <c r="Z72" s="60">
        <v>3</v>
      </c>
      <c r="AA72" s="695">
        <v>8500</v>
      </c>
      <c r="AB72" s="695">
        <v>25500</v>
      </c>
      <c r="AC72" s="695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</row>
    <row r="73" spans="4:55" ht="21.65" customHeight="1">
      <c r="D73" s="19" t="s">
        <v>137</v>
      </c>
      <c r="E73" s="19" t="s">
        <v>11</v>
      </c>
      <c r="F73" s="19">
        <v>3</v>
      </c>
      <c r="G73" s="694">
        <v>8500</v>
      </c>
      <c r="H73" s="694">
        <f t="shared" si="7"/>
        <v>25500</v>
      </c>
      <c r="J73" s="697" t="s">
        <v>177</v>
      </c>
      <c r="K73" s="60" t="s">
        <v>178</v>
      </c>
      <c r="L73" s="692">
        <v>3</v>
      </c>
      <c r="M73" s="694">
        <v>8500</v>
      </c>
      <c r="N73" s="694">
        <f>L73*M73</f>
        <v>25500</v>
      </c>
      <c r="P73" s="20"/>
      <c r="Q73" s="1073" t="s">
        <v>184</v>
      </c>
      <c r="R73" s="1073"/>
      <c r="S73" s="60">
        <v>145</v>
      </c>
      <c r="T73" s="60">
        <v>145</v>
      </c>
      <c r="U73" s="698"/>
      <c r="V73" s="695">
        <f>SUM(V56:V72)</f>
        <v>1574000</v>
      </c>
      <c r="W73" s="20"/>
      <c r="X73" s="1073" t="s">
        <v>184</v>
      </c>
      <c r="Y73" s="1073"/>
      <c r="Z73" s="60">
        <v>145</v>
      </c>
      <c r="AA73" s="698"/>
      <c r="AB73" s="695">
        <v>1574000</v>
      </c>
      <c r="AC73" s="695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</row>
    <row r="74" spans="4:55" ht="13.5" customHeight="1">
      <c r="F74" s="507">
        <f>SUM(F56:F73)</f>
        <v>159</v>
      </c>
      <c r="G74" s="694"/>
      <c r="H74" s="699">
        <f>SUM(H56:H73)</f>
        <v>1712250</v>
      </c>
      <c r="L74" s="568">
        <f>SUM(L56:L73)</f>
        <v>145</v>
      </c>
      <c r="M74" s="694"/>
      <c r="N74" s="699">
        <f>SUM(N56:N73)</f>
        <v>1574000</v>
      </c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</row>
    <row r="75" spans="4:55" ht="13.5" customHeight="1">
      <c r="H75" s="512">
        <f>H74-BC50</f>
        <v>877531.25</v>
      </c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</row>
    <row r="76" spans="4:55" ht="19" customHeight="1"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</row>
    <row r="77" spans="4:55" ht="13.5" customHeight="1">
      <c r="D77" s="19" t="s">
        <v>213</v>
      </c>
      <c r="E77" s="19" t="s">
        <v>214</v>
      </c>
      <c r="F77" s="19" t="s">
        <v>131</v>
      </c>
      <c r="G77" s="19" t="s">
        <v>215</v>
      </c>
      <c r="J77" s="788" t="s">
        <v>216</v>
      </c>
      <c r="K77" s="788"/>
      <c r="L77" s="788"/>
      <c r="M77" s="788"/>
      <c r="N77" s="788"/>
      <c r="Q77" s="790" t="s">
        <v>217</v>
      </c>
      <c r="R77" s="790"/>
      <c r="S77" s="790"/>
      <c r="T77" s="790"/>
      <c r="U77" s="79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</row>
    <row r="78" spans="4:55" ht="13.5" customHeight="1">
      <c r="D78" s="19" t="s">
        <v>218</v>
      </c>
      <c r="E78" s="19">
        <v>145</v>
      </c>
      <c r="F78" s="19">
        <v>1574000</v>
      </c>
      <c r="G78" s="19" t="s">
        <v>219</v>
      </c>
      <c r="J78" s="789" t="s">
        <v>220</v>
      </c>
      <c r="K78" s="789" t="s">
        <v>221</v>
      </c>
      <c r="L78" s="789" t="s">
        <v>214</v>
      </c>
      <c r="M78" s="796" t="s">
        <v>135</v>
      </c>
      <c r="N78" s="789" t="s">
        <v>131</v>
      </c>
      <c r="Q78" s="789" t="s">
        <v>220</v>
      </c>
      <c r="R78" s="789" t="s">
        <v>221</v>
      </c>
      <c r="S78" s="789" t="s">
        <v>214</v>
      </c>
      <c r="T78" s="796" t="s">
        <v>135</v>
      </c>
      <c r="U78" s="789" t="s">
        <v>131</v>
      </c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</row>
    <row r="79" spans="4:55" ht="13.5" customHeight="1">
      <c r="D79" s="19" t="s">
        <v>216</v>
      </c>
      <c r="E79" s="19">
        <v>77</v>
      </c>
      <c r="F79" s="87">
        <v>808000</v>
      </c>
      <c r="G79" s="19" t="s">
        <v>222</v>
      </c>
      <c r="H79" s="787"/>
      <c r="J79" s="301" t="s">
        <v>137</v>
      </c>
      <c r="K79" s="301" t="s">
        <v>223</v>
      </c>
      <c r="L79" s="301">
        <v>1</v>
      </c>
      <c r="M79" s="301">
        <v>8500</v>
      </c>
      <c r="N79" s="301">
        <f t="shared" ref="N79:N93" si="10">L79*M79</f>
        <v>8500</v>
      </c>
      <c r="O79" s="19">
        <f>L79</f>
        <v>1</v>
      </c>
      <c r="P79" s="19">
        <v>1</v>
      </c>
      <c r="Q79" s="301" t="s">
        <v>137</v>
      </c>
      <c r="R79" s="301" t="s">
        <v>223</v>
      </c>
      <c r="S79" s="301">
        <v>1</v>
      </c>
      <c r="T79" s="301">
        <v>8500</v>
      </c>
      <c r="U79" s="301">
        <f t="shared" ref="U79:U89" si="11">S79*T79</f>
        <v>8500</v>
      </c>
      <c r="V79" s="87">
        <v>1</v>
      </c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</row>
    <row r="80" spans="4:55" ht="13.5" customHeight="1">
      <c r="D80" s="19" t="s">
        <v>217</v>
      </c>
      <c r="E80" s="19">
        <v>86</v>
      </c>
      <c r="F80" s="19">
        <v>995000</v>
      </c>
      <c r="G80" s="19" t="s">
        <v>224</v>
      </c>
      <c r="H80" s="787" t="s">
        <v>225</v>
      </c>
      <c r="J80" s="1064" t="s">
        <v>226</v>
      </c>
      <c r="K80" s="301" t="s">
        <v>227</v>
      </c>
      <c r="L80" s="301">
        <v>11</v>
      </c>
      <c r="M80" s="301">
        <v>8500</v>
      </c>
      <c r="N80" s="301">
        <f t="shared" si="10"/>
        <v>93500</v>
      </c>
      <c r="O80" s="1062">
        <f>SUM(L80:L81)</f>
        <v>18</v>
      </c>
      <c r="P80" s="19">
        <v>9</v>
      </c>
      <c r="Q80" s="1064" t="s">
        <v>226</v>
      </c>
      <c r="R80" s="301" t="s">
        <v>227</v>
      </c>
      <c r="S80" s="301">
        <v>10</v>
      </c>
      <c r="T80" s="301">
        <v>8500</v>
      </c>
      <c r="U80" s="301">
        <f t="shared" si="11"/>
        <v>85000</v>
      </c>
      <c r="V80" s="87">
        <v>8.5</v>
      </c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</row>
    <row r="81" spans="10:55" ht="13.5" customHeight="1">
      <c r="J81" s="1064"/>
      <c r="K81" s="301" t="s">
        <v>228</v>
      </c>
      <c r="L81" s="301">
        <v>7</v>
      </c>
      <c r="M81" s="301">
        <v>14000</v>
      </c>
      <c r="N81" s="301">
        <f t="shared" si="10"/>
        <v>98000</v>
      </c>
      <c r="O81" s="1063"/>
      <c r="P81" s="19">
        <v>6</v>
      </c>
      <c r="Q81" s="1064"/>
      <c r="R81" s="301" t="s">
        <v>228</v>
      </c>
      <c r="S81" s="301">
        <v>23</v>
      </c>
      <c r="T81" s="301">
        <v>14000</v>
      </c>
      <c r="U81" s="301">
        <f t="shared" si="11"/>
        <v>322000</v>
      </c>
      <c r="V81" s="87">
        <v>20.5</v>
      </c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</row>
    <row r="82" spans="10:55" ht="13.5" customHeight="1">
      <c r="J82" s="1064" t="s">
        <v>229</v>
      </c>
      <c r="K82" s="301" t="s">
        <v>74</v>
      </c>
      <c r="L82" s="301">
        <v>5</v>
      </c>
      <c r="M82" s="301">
        <v>14000</v>
      </c>
      <c r="N82" s="301">
        <f t="shared" si="10"/>
        <v>70000</v>
      </c>
      <c r="O82" s="1064">
        <f>SUM(L82:L83)</f>
        <v>6</v>
      </c>
      <c r="P82" s="19">
        <v>4</v>
      </c>
      <c r="Q82" s="1064" t="s">
        <v>229</v>
      </c>
      <c r="R82" s="301" t="s">
        <v>74</v>
      </c>
      <c r="S82" s="301">
        <v>15</v>
      </c>
      <c r="T82" s="301">
        <v>14000</v>
      </c>
      <c r="U82" s="301">
        <f t="shared" si="11"/>
        <v>210000</v>
      </c>
      <c r="V82" s="87">
        <v>13</v>
      </c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</row>
    <row r="83" spans="10:55" ht="13.5" customHeight="1">
      <c r="J83" s="1064"/>
      <c r="K83" s="301" t="s">
        <v>230</v>
      </c>
      <c r="L83" s="301">
        <v>1</v>
      </c>
      <c r="M83" s="301">
        <v>8500</v>
      </c>
      <c r="N83" s="301">
        <f t="shared" si="10"/>
        <v>8500</v>
      </c>
      <c r="O83" s="1064"/>
      <c r="P83" s="87">
        <v>1</v>
      </c>
      <c r="Q83" s="1064"/>
      <c r="R83" s="62" t="s">
        <v>34</v>
      </c>
      <c r="S83" s="301">
        <v>1</v>
      </c>
      <c r="T83" s="301">
        <v>7500</v>
      </c>
      <c r="U83" s="301">
        <f t="shared" si="11"/>
        <v>7500</v>
      </c>
      <c r="V83" s="87">
        <v>1</v>
      </c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</row>
    <row r="84" spans="10:55" ht="13.5" customHeight="1">
      <c r="J84" s="1064" t="s">
        <v>155</v>
      </c>
      <c r="K84" s="797" t="s">
        <v>142</v>
      </c>
      <c r="L84" s="301">
        <v>2</v>
      </c>
      <c r="M84" s="301">
        <v>8500</v>
      </c>
      <c r="N84" s="301">
        <f t="shared" si="10"/>
        <v>17000</v>
      </c>
      <c r="O84" s="1064">
        <f>SUM(L85:L86)</f>
        <v>4</v>
      </c>
      <c r="P84" s="87">
        <f>1.125+1</f>
        <v>2.125</v>
      </c>
      <c r="Q84" s="1064"/>
      <c r="R84" s="301" t="s">
        <v>230</v>
      </c>
      <c r="S84" s="301">
        <v>1</v>
      </c>
      <c r="T84" s="301">
        <v>14000</v>
      </c>
      <c r="U84" s="301">
        <f t="shared" si="11"/>
        <v>14000</v>
      </c>
      <c r="V84" s="87">
        <v>1</v>
      </c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</row>
    <row r="85" spans="10:55" ht="13.5" customHeight="1">
      <c r="J85" s="1064"/>
      <c r="K85" s="301" t="s">
        <v>231</v>
      </c>
      <c r="L85" s="301">
        <v>1</v>
      </c>
      <c r="M85" s="301">
        <v>14000</v>
      </c>
      <c r="N85" s="301">
        <f t="shared" si="10"/>
        <v>14000</v>
      </c>
      <c r="O85" s="1064"/>
      <c r="P85" s="87">
        <v>1.125</v>
      </c>
      <c r="Q85" s="1064" t="s">
        <v>164</v>
      </c>
      <c r="R85" s="301" t="s">
        <v>231</v>
      </c>
      <c r="S85" s="301">
        <v>3</v>
      </c>
      <c r="T85" s="301">
        <v>14000</v>
      </c>
      <c r="U85" s="301">
        <f t="shared" si="11"/>
        <v>42000</v>
      </c>
      <c r="V85" s="87">
        <v>3</v>
      </c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</row>
    <row r="86" spans="10:55" ht="13.5" customHeight="1">
      <c r="J86" s="1064" t="s">
        <v>63</v>
      </c>
      <c r="K86" s="797" t="s">
        <v>142</v>
      </c>
      <c r="L86" s="301">
        <v>3</v>
      </c>
      <c r="M86" s="301">
        <v>8500</v>
      </c>
      <c r="N86" s="301">
        <f t="shared" si="10"/>
        <v>25500</v>
      </c>
      <c r="O86" s="1064">
        <f>SUM(L86:L88)</f>
        <v>7.5</v>
      </c>
      <c r="P86" s="87">
        <f>1.75+1</f>
        <v>2.75</v>
      </c>
      <c r="Q86" s="1064"/>
      <c r="R86" s="301" t="s">
        <v>161</v>
      </c>
      <c r="S86" s="301">
        <v>17</v>
      </c>
      <c r="T86" s="301">
        <v>8500</v>
      </c>
      <c r="U86" s="301">
        <f t="shared" si="11"/>
        <v>144500</v>
      </c>
      <c r="V86" s="87">
        <v>15</v>
      </c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</row>
    <row r="87" spans="10:55" ht="13.5" customHeight="1">
      <c r="J87" s="1064"/>
      <c r="K87" s="301" t="s">
        <v>231</v>
      </c>
      <c r="L87" s="301">
        <v>4</v>
      </c>
      <c r="M87" s="301">
        <v>14000</v>
      </c>
      <c r="N87" s="301">
        <f t="shared" si="10"/>
        <v>56000</v>
      </c>
      <c r="O87" s="1064"/>
      <c r="P87" s="87">
        <v>4</v>
      </c>
      <c r="Q87" s="301" t="s">
        <v>137</v>
      </c>
      <c r="R87" s="62" t="s">
        <v>169</v>
      </c>
      <c r="S87" s="62">
        <v>3</v>
      </c>
      <c r="T87" s="301">
        <v>14000</v>
      </c>
      <c r="U87" s="301">
        <f t="shared" si="11"/>
        <v>42000</v>
      </c>
      <c r="V87" s="19">
        <v>2</v>
      </c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</row>
    <row r="88" spans="10:55" ht="13.5" customHeight="1">
      <c r="J88" s="1064"/>
      <c r="K88" s="301" t="s">
        <v>190</v>
      </c>
      <c r="L88" s="301">
        <v>0.5</v>
      </c>
      <c r="M88" s="301">
        <v>8500</v>
      </c>
      <c r="N88" s="301">
        <f t="shared" si="10"/>
        <v>4250</v>
      </c>
      <c r="O88" s="1064"/>
      <c r="P88" s="87">
        <v>0.5</v>
      </c>
      <c r="Q88" s="301" t="s">
        <v>137</v>
      </c>
      <c r="R88" s="62" t="s">
        <v>166</v>
      </c>
      <c r="S88" s="62">
        <v>9</v>
      </c>
      <c r="T88" s="301">
        <v>8500</v>
      </c>
      <c r="U88" s="301">
        <f t="shared" si="11"/>
        <v>76500</v>
      </c>
      <c r="V88" s="19">
        <v>7.5</v>
      </c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</row>
    <row r="89" spans="10:55" ht="13.5" customHeight="1">
      <c r="J89" s="1064" t="s">
        <v>64</v>
      </c>
      <c r="K89" s="797" t="s">
        <v>142</v>
      </c>
      <c r="L89" s="301">
        <v>4</v>
      </c>
      <c r="M89" s="301">
        <v>8500</v>
      </c>
      <c r="N89" s="301">
        <f t="shared" si="10"/>
        <v>34000</v>
      </c>
      <c r="O89" s="1064">
        <f>SUM(L89:L91)</f>
        <v>14.5</v>
      </c>
      <c r="P89" s="87">
        <f>3+1</f>
        <v>4</v>
      </c>
      <c r="Q89" s="301" t="s">
        <v>137</v>
      </c>
      <c r="R89" s="62" t="s">
        <v>232</v>
      </c>
      <c r="S89" s="518">
        <v>12</v>
      </c>
      <c r="T89" s="301">
        <v>14000</v>
      </c>
      <c r="U89" s="301">
        <f t="shared" si="11"/>
        <v>168000</v>
      </c>
      <c r="V89" s="87">
        <v>9</v>
      </c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</row>
    <row r="90" spans="10:55" ht="13.5" customHeight="1">
      <c r="J90" s="1064"/>
      <c r="K90" s="301" t="s">
        <v>231</v>
      </c>
      <c r="L90" s="301">
        <v>8</v>
      </c>
      <c r="M90" s="301">
        <v>14000</v>
      </c>
      <c r="N90" s="301">
        <f t="shared" si="10"/>
        <v>112000</v>
      </c>
      <c r="O90" s="1064"/>
      <c r="P90" s="87">
        <v>6.75</v>
      </c>
      <c r="Q90" s="20"/>
      <c r="R90" s="20"/>
      <c r="S90" s="87">
        <f>SUM(S79:S89)</f>
        <v>95</v>
      </c>
      <c r="T90" s="87"/>
      <c r="U90" s="87">
        <f>SUM(U79:U89)</f>
        <v>1120000</v>
      </c>
      <c r="V90" s="87">
        <f>SUM(V79:V89)</f>
        <v>81.5</v>
      </c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</row>
    <row r="91" spans="10:55" ht="13.5" customHeight="1">
      <c r="J91" s="1064"/>
      <c r="K91" s="301" t="s">
        <v>190</v>
      </c>
      <c r="L91" s="301">
        <v>2.5</v>
      </c>
      <c r="M91" s="301">
        <v>8500</v>
      </c>
      <c r="N91" s="301">
        <f t="shared" si="10"/>
        <v>21250</v>
      </c>
      <c r="O91" s="1064"/>
      <c r="P91" s="87">
        <v>2.5</v>
      </c>
      <c r="Q91" s="20"/>
      <c r="R91" s="20"/>
      <c r="S91" s="20"/>
      <c r="T91" s="20"/>
      <c r="U91" s="20"/>
      <c r="V91" s="87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</row>
    <row r="92" spans="10:55" ht="13.5" customHeight="1">
      <c r="J92" s="1064" t="s">
        <v>164</v>
      </c>
      <c r="K92" s="301" t="s">
        <v>231</v>
      </c>
      <c r="L92" s="301">
        <v>2</v>
      </c>
      <c r="M92" s="301">
        <v>14000</v>
      </c>
      <c r="N92" s="301">
        <f t="shared" si="10"/>
        <v>28000</v>
      </c>
      <c r="O92" s="1064">
        <f>SUM(L92:L93)</f>
        <v>9</v>
      </c>
      <c r="P92" s="87">
        <v>1.5</v>
      </c>
      <c r="Q92" s="20"/>
      <c r="R92" s="20"/>
      <c r="S92" s="20"/>
      <c r="T92" s="20"/>
      <c r="U92" s="20"/>
      <c r="V92" s="87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</row>
    <row r="93" spans="10:55" ht="13.5" customHeight="1">
      <c r="J93" s="1064"/>
      <c r="K93" s="301" t="s">
        <v>161</v>
      </c>
      <c r="L93" s="301">
        <v>7</v>
      </c>
      <c r="M93" s="301">
        <v>8500</v>
      </c>
      <c r="N93" s="301">
        <f t="shared" si="10"/>
        <v>59500</v>
      </c>
      <c r="O93" s="1064"/>
      <c r="P93" s="87">
        <v>6</v>
      </c>
      <c r="Q93" s="20"/>
      <c r="R93" s="20"/>
      <c r="S93" s="20"/>
      <c r="T93" s="20"/>
      <c r="U93" s="20"/>
      <c r="V93" s="87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</row>
    <row r="94" spans="10:55" ht="13.5" customHeight="1">
      <c r="J94" s="301" t="s">
        <v>137</v>
      </c>
      <c r="K94" s="62" t="s">
        <v>166</v>
      </c>
      <c r="L94" s="62">
        <v>3</v>
      </c>
      <c r="M94" s="301">
        <v>8500</v>
      </c>
      <c r="N94" s="301">
        <f>L94*M94</f>
        <v>25500</v>
      </c>
      <c r="O94" s="1060">
        <f>SUM(L94:L97)</f>
        <v>16.5</v>
      </c>
      <c r="P94" s="87">
        <v>1</v>
      </c>
      <c r="Q94" s="20"/>
      <c r="R94" s="20"/>
      <c r="S94" s="20"/>
      <c r="T94" s="20"/>
      <c r="U94" s="20"/>
      <c r="V94" s="87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</row>
    <row r="95" spans="10:55" ht="13.5" customHeight="1">
      <c r="J95" s="301" t="s">
        <v>137</v>
      </c>
      <c r="K95" s="62" t="s">
        <v>169</v>
      </c>
      <c r="L95" s="62">
        <v>0.5</v>
      </c>
      <c r="M95" s="301">
        <v>14000</v>
      </c>
      <c r="N95" s="301">
        <f>L95*M95</f>
        <v>7000</v>
      </c>
      <c r="O95" s="1061"/>
      <c r="P95" s="87"/>
      <c r="Q95" s="20"/>
      <c r="R95" s="20"/>
      <c r="S95" s="20"/>
      <c r="T95" s="20"/>
      <c r="U95" s="20"/>
      <c r="V95" s="87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</row>
    <row r="96" spans="10:55" ht="13.5" customHeight="1">
      <c r="J96" s="301" t="s">
        <v>137</v>
      </c>
      <c r="K96" s="62" t="s">
        <v>172</v>
      </c>
      <c r="L96" s="62">
        <v>1</v>
      </c>
      <c r="M96" s="301">
        <v>8500</v>
      </c>
      <c r="N96" s="301">
        <f>L96*M96</f>
        <v>8500</v>
      </c>
      <c r="O96" s="1061"/>
      <c r="P96" s="87">
        <v>1</v>
      </c>
      <c r="Q96" s="20"/>
      <c r="R96" s="20"/>
      <c r="S96" s="20"/>
      <c r="T96" s="20"/>
      <c r="U96" s="20"/>
      <c r="V96" s="87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</row>
    <row r="97" spans="10:55" ht="13.5" customHeight="1">
      <c r="J97" s="301" t="s">
        <v>137</v>
      </c>
      <c r="K97" s="62" t="s">
        <v>233</v>
      </c>
      <c r="L97" s="62">
        <v>12</v>
      </c>
      <c r="M97" s="301">
        <v>8500</v>
      </c>
      <c r="N97" s="301">
        <f>L97*M97</f>
        <v>102000</v>
      </c>
      <c r="O97" s="1061"/>
      <c r="P97" s="87">
        <f>3+3+3+3</f>
        <v>12</v>
      </c>
      <c r="Q97" s="20"/>
      <c r="R97" s="20"/>
      <c r="S97" s="20"/>
      <c r="T97" s="20"/>
      <c r="U97" s="20"/>
      <c r="V97" s="87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</row>
    <row r="98" spans="10:55" ht="13.5" customHeight="1">
      <c r="L98" s="19">
        <f>SUM(L79:L97)</f>
        <v>75.5</v>
      </c>
      <c r="N98" s="20">
        <f>SUM(N79:N97)</f>
        <v>793000</v>
      </c>
      <c r="P98" s="87">
        <f>SUM(P79:P97)</f>
        <v>66.25</v>
      </c>
      <c r="Q98" s="20"/>
      <c r="R98" s="20"/>
      <c r="S98" s="20"/>
      <c r="T98" s="20"/>
      <c r="U98" s="20"/>
      <c r="V98" s="87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</row>
    <row r="99" spans="10:55" ht="13.5" customHeight="1"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</row>
    <row r="100" spans="10:55" ht="13.5" customHeight="1"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</row>
    <row r="101" spans="10:55" ht="13.5" customHeight="1"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</row>
    <row r="102" spans="10:55" ht="13.5" customHeight="1"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</row>
    <row r="103" spans="10:55" ht="13.5" customHeight="1"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</row>
    <row r="104" spans="10:55" ht="13.5" customHeight="1"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</row>
    <row r="105" spans="10:55" ht="13.5" customHeight="1"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</row>
    <row r="106" spans="10:55" ht="13.5" customHeight="1"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</row>
    <row r="107" spans="10:55" ht="13.5" customHeight="1"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</row>
    <row r="108" spans="10:55" ht="13.5" customHeight="1"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</row>
    <row r="109" spans="10:55" ht="13.5" customHeight="1"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</row>
    <row r="110" spans="10:55" ht="13.5" customHeight="1"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</row>
    <row r="111" spans="10:55" ht="13.5" customHeight="1"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</row>
    <row r="112" spans="10:55" ht="13.5" customHeight="1"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</row>
    <row r="113" spans="14:55" ht="13.5" customHeight="1"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</row>
    <row r="114" spans="14:55" ht="13.5" customHeight="1"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</row>
    <row r="115" spans="14:55" ht="13.5" customHeight="1"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</row>
    <row r="116" spans="14:55" ht="13.5" customHeight="1"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</row>
    <row r="117" spans="14:55" ht="13.5" customHeight="1"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</row>
    <row r="118" spans="14:55" ht="13.5" customHeight="1"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</row>
    <row r="119" spans="14:55" ht="13.5" customHeight="1"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</row>
    <row r="120" spans="14:55" ht="13.5" customHeight="1"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</row>
    <row r="121" spans="14:55" ht="13.5" customHeight="1"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</row>
    <row r="122" spans="14:55" ht="13.5" customHeight="1"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</row>
    <row r="123" spans="14:55" ht="13.5" customHeight="1"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</row>
    <row r="124" spans="14:55" ht="13.5" customHeight="1"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</row>
    <row r="125" spans="14:55" ht="13.5" customHeight="1"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</row>
    <row r="126" spans="14:55" ht="13.5" customHeight="1"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</row>
    <row r="127" spans="14:55" ht="13.5" customHeight="1"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</row>
    <row r="128" spans="14:55" ht="13.5" customHeight="1"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</row>
    <row r="129" spans="14:55" ht="13.5" customHeight="1">
      <c r="N129" s="20"/>
      <c r="O129" s="20"/>
      <c r="P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</row>
    <row r="130" spans="14:55" ht="13.5" customHeight="1">
      <c r="N130" s="20"/>
      <c r="O130" s="20"/>
      <c r="P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</row>
    <row r="131" spans="14:55" ht="13.5" customHeight="1">
      <c r="N131" s="20"/>
      <c r="O131" s="20"/>
      <c r="P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</row>
    <row r="132" spans="14:55" ht="13.5" customHeight="1">
      <c r="N132" s="20"/>
      <c r="O132" s="20"/>
      <c r="P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</row>
    <row r="133" spans="14:55" ht="13.5" customHeight="1">
      <c r="N133" s="20"/>
      <c r="O133" s="20"/>
      <c r="P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</row>
    <row r="134" spans="14:55" ht="13.5" customHeight="1">
      <c r="N134" s="20"/>
      <c r="O134" s="20"/>
      <c r="P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</row>
    <row r="135" spans="14:55" ht="13.5" customHeight="1">
      <c r="N135" s="20"/>
      <c r="O135" s="20"/>
      <c r="P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</row>
    <row r="136" spans="14:55" ht="13.5" customHeight="1"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</row>
  </sheetData>
  <mergeCells count="39">
    <mergeCell ref="Q73:R73"/>
    <mergeCell ref="X73:Y73"/>
    <mergeCell ref="F28:F29"/>
    <mergeCell ref="G28:G29"/>
    <mergeCell ref="E28:E29"/>
    <mergeCell ref="I28:I29"/>
    <mergeCell ref="D32:D34"/>
    <mergeCell ref="F35:F40"/>
    <mergeCell ref="I35:I40"/>
    <mergeCell ref="D25:D30"/>
    <mergeCell ref="L28:L29"/>
    <mergeCell ref="D8:D18"/>
    <mergeCell ref="D20:D23"/>
    <mergeCell ref="E20:E23"/>
    <mergeCell ref="F20:F23"/>
    <mergeCell ref="G20:G23"/>
    <mergeCell ref="AM1:AT1"/>
    <mergeCell ref="AU1:BA1"/>
    <mergeCell ref="L20:L22"/>
    <mergeCell ref="Q1:T1"/>
    <mergeCell ref="U1:V1"/>
    <mergeCell ref="W1:AD1"/>
    <mergeCell ref="AE1:AL1"/>
    <mergeCell ref="O94:O97"/>
    <mergeCell ref="O80:O81"/>
    <mergeCell ref="Q85:Q86"/>
    <mergeCell ref="Q82:Q84"/>
    <mergeCell ref="J92:J93"/>
    <mergeCell ref="J80:J81"/>
    <mergeCell ref="Q80:Q81"/>
    <mergeCell ref="O82:O83"/>
    <mergeCell ref="O84:O85"/>
    <mergeCell ref="O86:O88"/>
    <mergeCell ref="O89:O91"/>
    <mergeCell ref="O92:O93"/>
    <mergeCell ref="J82:J83"/>
    <mergeCell ref="J84:J85"/>
    <mergeCell ref="J86:J88"/>
    <mergeCell ref="J89:J9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1DBA1-4ABB-4587-AC95-B477534C471B}">
  <sheetPr>
    <tabColor rgb="FFFFFF00"/>
  </sheetPr>
  <dimension ref="A1:DY135"/>
  <sheetViews>
    <sheetView zoomScale="70" zoomScaleNormal="70" workbookViewId="0">
      <pane xSplit="3" ySplit="2" topLeftCell="I10" activePane="bottomRight" state="frozen"/>
      <selection pane="topRight" activeCell="D1" sqref="D1"/>
      <selection pane="bottomLeft" activeCell="A3" sqref="A3"/>
      <selection pane="bottomRight" activeCell="C35" sqref="C35:C40"/>
    </sheetView>
  </sheetViews>
  <sheetFormatPr defaultColWidth="8.6328125" defaultRowHeight="13.5" customHeight="1"/>
  <cols>
    <col min="1" max="1" width="4.36328125" style="20" customWidth="1"/>
    <col min="2" max="2" width="5.08984375" style="87" customWidth="1"/>
    <col min="3" max="3" width="61.36328125" style="20" customWidth="1"/>
    <col min="4" max="4" width="27.36328125" style="19" bestFit="1" customWidth="1"/>
    <col min="5" max="5" width="12" style="19" customWidth="1"/>
    <col min="6" max="6" width="12.6328125" style="19" customWidth="1"/>
    <col min="7" max="7" width="14.90625" style="19" customWidth="1"/>
    <col min="8" max="8" width="16.6328125" style="19" customWidth="1"/>
    <col min="9" max="10" width="11.6328125" style="19" customWidth="1"/>
    <col min="11" max="11" width="12.6328125" style="19" customWidth="1"/>
    <col min="12" max="12" width="11.90625" style="19" customWidth="1"/>
    <col min="13" max="13" width="11.36328125" style="19" customWidth="1"/>
    <col min="14" max="14" width="12.36328125" style="19" customWidth="1"/>
    <col min="15" max="15" width="11.36328125" style="19" customWidth="1"/>
    <col min="16" max="18" width="12.6328125" style="19" customWidth="1"/>
    <col min="19" max="20" width="13.08984375" style="19" customWidth="1"/>
    <col min="21" max="43" width="13.08984375" style="19" hidden="1" customWidth="1"/>
    <col min="44" max="51" width="20.90625" style="19" customWidth="1"/>
    <col min="52" max="52" width="52.36328125" style="19" customWidth="1"/>
    <col min="53" max="53" width="11.08984375" style="20" bestFit="1" customWidth="1"/>
    <col min="54" max="54" width="15.36328125" style="20" bestFit="1" customWidth="1"/>
    <col min="55" max="16384" width="8.6328125" style="20"/>
  </cols>
  <sheetData>
    <row r="1" spans="1:129" ht="15" customHeight="1">
      <c r="Q1" s="1037" t="s">
        <v>60</v>
      </c>
      <c r="R1" s="1038"/>
      <c r="S1" s="1038"/>
      <c r="T1" s="1038"/>
      <c r="U1" s="1037" t="s">
        <v>61</v>
      </c>
      <c r="V1" s="1038"/>
      <c r="W1" s="1037" t="s">
        <v>62</v>
      </c>
      <c r="X1" s="1038"/>
      <c r="Y1" s="1038"/>
      <c r="Z1" s="1038"/>
      <c r="AA1" s="1038"/>
      <c r="AB1" s="1038"/>
      <c r="AC1" s="1038"/>
      <c r="AD1" s="1037" t="s">
        <v>63</v>
      </c>
      <c r="AE1" s="1038"/>
      <c r="AF1" s="1038"/>
      <c r="AG1" s="1038"/>
      <c r="AH1" s="1038"/>
      <c r="AI1" s="1038"/>
      <c r="AJ1" s="1038"/>
      <c r="AK1" s="1037" t="s">
        <v>64</v>
      </c>
      <c r="AL1" s="1038"/>
      <c r="AM1" s="1038"/>
      <c r="AN1" s="1038"/>
      <c r="AO1" s="1038"/>
      <c r="AP1" s="1038"/>
      <c r="AQ1" s="1038"/>
      <c r="AR1" s="1037" t="s">
        <v>65</v>
      </c>
      <c r="AS1" s="1038"/>
      <c r="AT1" s="1038"/>
      <c r="AU1" s="1038"/>
      <c r="AV1" s="1038"/>
      <c r="AW1" s="1038"/>
      <c r="AX1" s="1038"/>
      <c r="AY1" s="731" t="s">
        <v>114</v>
      </c>
      <c r="AZ1" s="20"/>
    </row>
    <row r="2" spans="1:129" ht="29">
      <c r="B2" s="700" t="s">
        <v>29</v>
      </c>
      <c r="C2" s="710" t="s">
        <v>30</v>
      </c>
      <c r="D2" s="720" t="s">
        <v>3</v>
      </c>
      <c r="E2" s="315" t="s">
        <v>31</v>
      </c>
      <c r="F2" s="315" t="s">
        <v>5</v>
      </c>
      <c r="G2" s="315" t="s">
        <v>108</v>
      </c>
      <c r="H2" s="315" t="s">
        <v>32</v>
      </c>
      <c r="I2" s="315" t="s">
        <v>7</v>
      </c>
      <c r="J2" s="315" t="s">
        <v>68</v>
      </c>
      <c r="K2" s="315" t="s">
        <v>69</v>
      </c>
      <c r="L2" s="315" t="s">
        <v>8</v>
      </c>
      <c r="M2" s="315" t="s">
        <v>9</v>
      </c>
      <c r="N2" s="315" t="s">
        <v>10</v>
      </c>
      <c r="O2" s="315" t="s">
        <v>35</v>
      </c>
      <c r="P2" s="739" t="s">
        <v>11</v>
      </c>
      <c r="Q2" s="732" t="s">
        <v>70</v>
      </c>
      <c r="R2" s="729" t="s">
        <v>71</v>
      </c>
      <c r="S2" s="747" t="s">
        <v>34</v>
      </c>
      <c r="T2" s="747" t="s">
        <v>230</v>
      </c>
      <c r="U2" s="745" t="s">
        <v>72</v>
      </c>
      <c r="V2" s="749" t="s">
        <v>73</v>
      </c>
      <c r="W2" s="748" t="s">
        <v>74</v>
      </c>
      <c r="X2" s="730" t="s">
        <v>31</v>
      </c>
      <c r="Y2" s="730" t="s">
        <v>6</v>
      </c>
      <c r="Z2" s="730" t="s">
        <v>75</v>
      </c>
      <c r="AA2" s="730" t="s">
        <v>7</v>
      </c>
      <c r="AB2" s="730" t="s">
        <v>76</v>
      </c>
      <c r="AC2" s="750" t="s">
        <v>77</v>
      </c>
      <c r="AD2" s="748" t="s">
        <v>74</v>
      </c>
      <c r="AE2" s="730" t="s">
        <v>31</v>
      </c>
      <c r="AF2" s="730" t="s">
        <v>6</v>
      </c>
      <c r="AG2" s="730" t="s">
        <v>190</v>
      </c>
      <c r="AH2" s="730" t="s">
        <v>7</v>
      </c>
      <c r="AI2" s="730" t="s">
        <v>76</v>
      </c>
      <c r="AJ2" s="750" t="s">
        <v>77</v>
      </c>
      <c r="AK2" s="748" t="s">
        <v>74</v>
      </c>
      <c r="AL2" s="730" t="s">
        <v>31</v>
      </c>
      <c r="AM2" s="730" t="s">
        <v>6</v>
      </c>
      <c r="AN2" s="730" t="s">
        <v>190</v>
      </c>
      <c r="AO2" s="730" t="s">
        <v>7</v>
      </c>
      <c r="AP2" s="730" t="s">
        <v>76</v>
      </c>
      <c r="AQ2" s="750" t="s">
        <v>77</v>
      </c>
      <c r="AR2" s="748" t="s">
        <v>74</v>
      </c>
      <c r="AS2" s="730" t="s">
        <v>31</v>
      </c>
      <c r="AT2" s="730" t="s">
        <v>6</v>
      </c>
      <c r="AU2" s="730" t="s">
        <v>75</v>
      </c>
      <c r="AV2" s="730" t="s">
        <v>7</v>
      </c>
      <c r="AW2" s="730" t="s">
        <v>76</v>
      </c>
      <c r="AX2" s="750" t="s">
        <v>77</v>
      </c>
      <c r="AY2" s="751" t="s">
        <v>78</v>
      </c>
      <c r="AZ2" s="20"/>
    </row>
    <row r="3" spans="1:129" ht="14.5">
      <c r="B3" s="675">
        <v>1</v>
      </c>
      <c r="C3" s="676" t="s">
        <v>36</v>
      </c>
      <c r="D3" s="271"/>
      <c r="E3" s="62"/>
      <c r="F3" s="322"/>
      <c r="G3" s="322"/>
      <c r="H3" s="322"/>
      <c r="I3" s="322"/>
      <c r="J3" s="322"/>
      <c r="K3" s="322"/>
      <c r="L3" s="322"/>
      <c r="M3" s="322"/>
      <c r="N3" s="322"/>
      <c r="O3" s="322"/>
      <c r="P3" s="344"/>
      <c r="Q3" s="657"/>
      <c r="R3" s="322"/>
      <c r="S3" s="344"/>
      <c r="T3" s="344"/>
      <c r="U3" s="657"/>
      <c r="V3" s="344"/>
      <c r="W3" s="657"/>
      <c r="X3" s="322"/>
      <c r="Y3" s="322"/>
      <c r="Z3" s="322"/>
      <c r="AA3" s="322"/>
      <c r="AB3" s="322"/>
      <c r="AC3" s="344"/>
      <c r="AD3" s="657"/>
      <c r="AE3" s="322"/>
      <c r="AF3" s="322"/>
      <c r="AG3" s="322"/>
      <c r="AH3" s="322"/>
      <c r="AI3" s="322"/>
      <c r="AJ3" s="344"/>
      <c r="AK3" s="657"/>
      <c r="AL3" s="322"/>
      <c r="AM3" s="322"/>
      <c r="AN3" s="322"/>
      <c r="AO3" s="322"/>
      <c r="AP3" s="322"/>
      <c r="AQ3" s="344"/>
      <c r="AR3" s="657"/>
      <c r="AS3" s="322"/>
      <c r="AT3" s="322"/>
      <c r="AU3" s="322"/>
      <c r="AV3" s="322"/>
      <c r="AW3" s="322"/>
      <c r="AX3" s="344"/>
      <c r="AY3" s="752"/>
      <c r="AZ3" s="20"/>
    </row>
    <row r="4" spans="1:129" s="108" customFormat="1" ht="14.5">
      <c r="A4" s="20"/>
      <c r="B4" s="701">
        <v>2</v>
      </c>
      <c r="C4" s="711" t="s">
        <v>79</v>
      </c>
      <c r="D4" s="721"/>
      <c r="E4" s="230"/>
      <c r="F4" s="334"/>
      <c r="G4" s="334"/>
      <c r="H4" s="334"/>
      <c r="I4" s="334"/>
      <c r="J4" s="231"/>
      <c r="K4" s="231"/>
      <c r="L4" s="231"/>
      <c r="M4" s="231"/>
      <c r="N4" s="231"/>
      <c r="O4" s="231"/>
      <c r="P4" s="646"/>
      <c r="Q4" s="656"/>
      <c r="R4" s="334"/>
      <c r="S4" s="336"/>
      <c r="T4" s="336"/>
      <c r="U4" s="656"/>
      <c r="V4" s="336"/>
      <c r="W4" s="656"/>
      <c r="X4" s="334"/>
      <c r="Y4" s="334"/>
      <c r="Z4" s="334"/>
      <c r="AA4" s="334"/>
      <c r="AB4" s="334"/>
      <c r="AC4" s="336"/>
      <c r="AD4" s="656"/>
      <c r="AE4" s="334"/>
      <c r="AF4" s="334"/>
      <c r="AG4" s="334"/>
      <c r="AH4" s="334"/>
      <c r="AI4" s="334"/>
      <c r="AJ4" s="336"/>
      <c r="AK4" s="656"/>
      <c r="AL4" s="334"/>
      <c r="AM4" s="334"/>
      <c r="AN4" s="334"/>
      <c r="AO4" s="334"/>
      <c r="AP4" s="334"/>
      <c r="AQ4" s="336"/>
      <c r="AR4" s="656"/>
      <c r="AS4" s="334"/>
      <c r="AT4" s="334"/>
      <c r="AU4" s="334"/>
      <c r="AV4" s="334"/>
      <c r="AW4" s="334"/>
      <c r="AX4" s="336"/>
      <c r="AY4" s="753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</row>
    <row r="5" spans="1:129" s="108" customFormat="1" ht="14.5">
      <c r="A5" s="20"/>
      <c r="B5" s="701">
        <v>2</v>
      </c>
      <c r="C5" s="711" t="s">
        <v>80</v>
      </c>
      <c r="D5" s="721"/>
      <c r="E5" s="230"/>
      <c r="F5" s="334"/>
      <c r="G5" s="334"/>
      <c r="H5" s="334"/>
      <c r="I5" s="334"/>
      <c r="J5" s="334"/>
      <c r="K5" s="334"/>
      <c r="L5" s="334"/>
      <c r="M5" s="334"/>
      <c r="N5" s="334"/>
      <c r="O5" s="334"/>
      <c r="P5" s="336"/>
      <c r="Q5" s="656"/>
      <c r="R5" s="334"/>
      <c r="S5" s="336"/>
      <c r="T5" s="336"/>
      <c r="U5" s="656"/>
      <c r="V5" s="336"/>
      <c r="W5" s="656"/>
      <c r="X5" s="334"/>
      <c r="Y5" s="334"/>
      <c r="Z5" s="334"/>
      <c r="AA5" s="334"/>
      <c r="AB5" s="334"/>
      <c r="AC5" s="336"/>
      <c r="AD5" s="656"/>
      <c r="AE5" s="334"/>
      <c r="AF5" s="334"/>
      <c r="AG5" s="334"/>
      <c r="AH5" s="334"/>
      <c r="AI5" s="334"/>
      <c r="AJ5" s="336"/>
      <c r="AK5" s="656"/>
      <c r="AL5" s="334"/>
      <c r="AM5" s="334"/>
      <c r="AN5" s="334"/>
      <c r="AO5" s="334"/>
      <c r="AP5" s="334"/>
      <c r="AQ5" s="336"/>
      <c r="AR5" s="656"/>
      <c r="AS5" s="334"/>
      <c r="AT5" s="334"/>
      <c r="AU5" s="334"/>
      <c r="AV5" s="334"/>
      <c r="AW5" s="334"/>
      <c r="AX5" s="336"/>
      <c r="AY5" s="753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</row>
    <row r="6" spans="1:129" ht="14.5">
      <c r="B6" s="675">
        <v>3</v>
      </c>
      <c r="C6" s="676" t="s">
        <v>38</v>
      </c>
      <c r="D6" s="271"/>
      <c r="E6" s="518"/>
      <c r="F6" s="322"/>
      <c r="G6" s="322"/>
      <c r="H6" s="322"/>
      <c r="I6" s="322"/>
      <c r="J6" s="322"/>
      <c r="K6" s="322"/>
      <c r="L6" s="322"/>
      <c r="M6" s="322"/>
      <c r="N6" s="322"/>
      <c r="O6" s="322"/>
      <c r="P6" s="344"/>
      <c r="Q6" s="657"/>
      <c r="R6" s="322"/>
      <c r="S6" s="344"/>
      <c r="T6" s="344"/>
      <c r="U6" s="657"/>
      <c r="V6" s="344"/>
      <c r="W6" s="233"/>
      <c r="X6" s="62"/>
      <c r="Y6" s="62"/>
      <c r="Z6" s="62"/>
      <c r="AA6" s="62"/>
      <c r="AB6" s="62"/>
      <c r="AC6" s="262"/>
      <c r="AD6" s="233"/>
      <c r="AE6" s="62"/>
      <c r="AF6" s="62"/>
      <c r="AG6" s="62"/>
      <c r="AH6" s="62"/>
      <c r="AI6" s="62"/>
      <c r="AJ6" s="262"/>
      <c r="AK6" s="233"/>
      <c r="AL6" s="62"/>
      <c r="AM6" s="62"/>
      <c r="AN6" s="62"/>
      <c r="AO6" s="62"/>
      <c r="AP6" s="62"/>
      <c r="AQ6" s="262"/>
      <c r="AR6" s="233"/>
      <c r="AS6" s="62"/>
      <c r="AT6" s="62"/>
      <c r="AU6" s="62"/>
      <c r="AV6" s="62"/>
      <c r="AW6" s="62"/>
      <c r="AX6" s="262"/>
      <c r="AY6" s="754"/>
      <c r="AZ6" s="20"/>
    </row>
    <row r="7" spans="1:129" ht="14.5">
      <c r="B7" s="675">
        <v>4</v>
      </c>
      <c r="C7" s="676" t="s">
        <v>81</v>
      </c>
      <c r="D7" s="271"/>
      <c r="E7" s="62"/>
      <c r="F7" s="322"/>
      <c r="G7" s="322"/>
      <c r="H7" s="322"/>
      <c r="I7" s="322"/>
      <c r="J7" s="322"/>
      <c r="K7" s="322"/>
      <c r="L7" s="322"/>
      <c r="M7" s="322"/>
      <c r="N7" s="322"/>
      <c r="O7" s="322"/>
      <c r="P7" s="344"/>
      <c r="Q7" s="657"/>
      <c r="R7" s="322"/>
      <c r="S7" s="344"/>
      <c r="T7" s="344"/>
      <c r="U7" s="657"/>
      <c r="V7" s="344"/>
      <c r="W7" s="233"/>
      <c r="X7" s="322"/>
      <c r="Y7" s="322"/>
      <c r="Z7" s="322"/>
      <c r="AA7" s="322"/>
      <c r="AB7" s="322"/>
      <c r="AC7" s="344"/>
      <c r="AD7" s="233"/>
      <c r="AE7" s="322"/>
      <c r="AF7" s="322"/>
      <c r="AG7" s="322"/>
      <c r="AH7" s="322"/>
      <c r="AI7" s="322"/>
      <c r="AJ7" s="344"/>
      <c r="AK7" s="233"/>
      <c r="AL7" s="322"/>
      <c r="AM7" s="322"/>
      <c r="AN7" s="322"/>
      <c r="AO7" s="322"/>
      <c r="AP7" s="322"/>
      <c r="AQ7" s="344"/>
      <c r="AR7" s="233"/>
      <c r="AS7" s="322"/>
      <c r="AT7" s="322"/>
      <c r="AU7" s="322"/>
      <c r="AV7" s="322"/>
      <c r="AW7" s="322"/>
      <c r="AX7" s="344"/>
      <c r="AY7" s="754"/>
      <c r="AZ7" s="20"/>
    </row>
    <row r="8" spans="1:129" s="135" customFormat="1" ht="14.5">
      <c r="A8" s="20"/>
      <c r="B8" s="702">
        <v>5</v>
      </c>
      <c r="C8" s="712" t="s">
        <v>83</v>
      </c>
      <c r="D8" s="1065"/>
      <c r="E8" s="366"/>
      <c r="F8" s="366"/>
      <c r="G8" s="366"/>
      <c r="H8" s="366"/>
      <c r="I8" s="366"/>
      <c r="J8" s="366"/>
      <c r="K8" s="366"/>
      <c r="L8" s="366"/>
      <c r="M8" s="366"/>
      <c r="N8" s="366"/>
      <c r="O8" s="366"/>
      <c r="P8" s="369"/>
      <c r="Q8" s="365"/>
      <c r="R8" s="366"/>
      <c r="S8" s="369"/>
      <c r="T8" s="369"/>
      <c r="U8" s="365"/>
      <c r="V8" s="369"/>
      <c r="W8" s="365"/>
      <c r="X8" s="366"/>
      <c r="Y8" s="366"/>
      <c r="Z8" s="366"/>
      <c r="AA8" s="366"/>
      <c r="AB8" s="366"/>
      <c r="AC8" s="369"/>
      <c r="AD8" s="365"/>
      <c r="AE8" s="366"/>
      <c r="AF8" s="366"/>
      <c r="AG8" s="366"/>
      <c r="AH8" s="366"/>
      <c r="AI8" s="366"/>
      <c r="AJ8" s="369"/>
      <c r="AK8" s="365"/>
      <c r="AL8" s="366"/>
      <c r="AM8" s="366"/>
      <c r="AN8" s="366"/>
      <c r="AO8" s="366"/>
      <c r="AP8" s="366"/>
      <c r="AQ8" s="369"/>
      <c r="AR8" s="365"/>
      <c r="AS8" s="366"/>
      <c r="AT8" s="366"/>
      <c r="AU8" s="366"/>
      <c r="AV8" s="366"/>
      <c r="AW8" s="366"/>
      <c r="AX8" s="369"/>
      <c r="AY8" s="755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</row>
    <row r="9" spans="1:129" ht="18.75" customHeight="1">
      <c r="B9" s="703">
        <v>5.0999999999999996</v>
      </c>
      <c r="C9" s="713" t="s">
        <v>84</v>
      </c>
      <c r="D9" s="1065"/>
      <c r="E9" s="376"/>
      <c r="F9" s="376"/>
      <c r="G9" s="376"/>
      <c r="H9" s="376"/>
      <c r="I9" s="376"/>
      <c r="J9" s="377"/>
      <c r="K9" s="377"/>
      <c r="L9" s="376"/>
      <c r="M9" s="376"/>
      <c r="N9" s="376"/>
      <c r="O9" s="377"/>
      <c r="P9" s="740"/>
      <c r="Q9" s="384"/>
      <c r="R9" s="376"/>
      <c r="S9" s="380"/>
      <c r="T9" s="380"/>
      <c r="U9" s="384"/>
      <c r="V9" s="380"/>
      <c r="W9" s="384"/>
      <c r="X9" s="376"/>
      <c r="Y9" s="376"/>
      <c r="Z9" s="376"/>
      <c r="AA9" s="376"/>
      <c r="AB9" s="376"/>
      <c r="AC9" s="380"/>
      <c r="AD9" s="384"/>
      <c r="AE9" s="376"/>
      <c r="AF9" s="376"/>
      <c r="AG9" s="376"/>
      <c r="AH9" s="376"/>
      <c r="AI9" s="376"/>
      <c r="AJ9" s="380"/>
      <c r="AK9" s="384"/>
      <c r="AL9" s="376"/>
      <c r="AM9" s="376"/>
      <c r="AN9" s="376"/>
      <c r="AO9" s="376"/>
      <c r="AP9" s="376"/>
      <c r="AQ9" s="380"/>
      <c r="AR9" s="384"/>
      <c r="AS9" s="376"/>
      <c r="AT9" s="376"/>
      <c r="AU9" s="376"/>
      <c r="AV9" s="376"/>
      <c r="AW9" s="376"/>
      <c r="AX9" s="380"/>
      <c r="AY9" s="756"/>
      <c r="AZ9" s="20"/>
    </row>
    <row r="10" spans="1:129" ht="87" customHeight="1">
      <c r="B10" s="703"/>
      <c r="C10" s="713" t="s">
        <v>115</v>
      </c>
      <c r="D10" s="1065"/>
      <c r="E10" s="376"/>
      <c r="F10" s="376"/>
      <c r="G10" s="376"/>
      <c r="H10" s="376"/>
      <c r="I10" s="376"/>
      <c r="J10" s="377"/>
      <c r="K10" s="377"/>
      <c r="L10" s="376"/>
      <c r="M10" s="376"/>
      <c r="N10" s="376"/>
      <c r="O10" s="377"/>
      <c r="P10" s="740"/>
      <c r="Q10" s="384"/>
      <c r="R10" s="376"/>
      <c r="S10" s="380"/>
      <c r="T10" s="380"/>
      <c r="U10" s="384"/>
      <c r="V10" s="380"/>
      <c r="W10" s="384"/>
      <c r="X10" s="376"/>
      <c r="Y10" s="376"/>
      <c r="Z10" s="376"/>
      <c r="AA10" s="376"/>
      <c r="AB10" s="376"/>
      <c r="AC10" s="380"/>
      <c r="AD10" s="384"/>
      <c r="AE10" s="376"/>
      <c r="AF10" s="376"/>
      <c r="AG10" s="376"/>
      <c r="AH10" s="376"/>
      <c r="AI10" s="376"/>
      <c r="AJ10" s="380"/>
      <c r="AK10" s="384"/>
      <c r="AL10" s="376"/>
      <c r="AM10" s="376"/>
      <c r="AN10" s="376"/>
      <c r="AO10" s="376"/>
      <c r="AP10" s="376"/>
      <c r="AQ10" s="380"/>
      <c r="AR10" s="384"/>
      <c r="AS10" s="376"/>
      <c r="AT10" s="376"/>
      <c r="AU10" s="376"/>
      <c r="AV10" s="376"/>
      <c r="AW10" s="376"/>
      <c r="AX10" s="380"/>
      <c r="AY10" s="756"/>
      <c r="AZ10" s="20"/>
    </row>
    <row r="11" spans="1:129" ht="18.5">
      <c r="B11" s="703"/>
      <c r="C11" s="713" t="s">
        <v>116</v>
      </c>
      <c r="D11" s="1065"/>
      <c r="E11" s="376"/>
      <c r="F11" s="376"/>
      <c r="G11" s="376"/>
      <c r="H11" s="376"/>
      <c r="I11" s="376"/>
      <c r="J11" s="377"/>
      <c r="K11" s="377"/>
      <c r="L11" s="376"/>
      <c r="M11" s="376"/>
      <c r="N11" s="376"/>
      <c r="O11" s="377"/>
      <c r="P11" s="740"/>
      <c r="Q11" s="384"/>
      <c r="R11" s="376"/>
      <c r="S11" s="380"/>
      <c r="T11" s="380"/>
      <c r="U11" s="384"/>
      <c r="V11" s="380"/>
      <c r="W11" s="384"/>
      <c r="X11" s="376"/>
      <c r="Y11" s="376"/>
      <c r="Z11" s="376"/>
      <c r="AA11" s="376"/>
      <c r="AB11" s="376"/>
      <c r="AC11" s="380"/>
      <c r="AD11" s="384"/>
      <c r="AE11" s="376"/>
      <c r="AF11" s="376"/>
      <c r="AG11" s="376"/>
      <c r="AH11" s="376"/>
      <c r="AI11" s="376"/>
      <c r="AJ11" s="380"/>
      <c r="AK11" s="384"/>
      <c r="AL11" s="376"/>
      <c r="AM11" s="376"/>
      <c r="AN11" s="376"/>
      <c r="AO11" s="376"/>
      <c r="AP11" s="376"/>
      <c r="AQ11" s="380"/>
      <c r="AR11" s="384"/>
      <c r="AS11" s="376"/>
      <c r="AT11" s="376"/>
      <c r="AU11" s="376"/>
      <c r="AV11" s="376"/>
      <c r="AW11" s="376"/>
      <c r="AX11" s="380"/>
      <c r="AY11" s="756"/>
      <c r="AZ11" s="20"/>
    </row>
    <row r="12" spans="1:129" ht="18.5">
      <c r="B12" s="703"/>
      <c r="C12" s="713" t="s">
        <v>117</v>
      </c>
      <c r="D12" s="1065"/>
      <c r="E12" s="376"/>
      <c r="F12" s="376"/>
      <c r="G12" s="376"/>
      <c r="H12" s="376"/>
      <c r="I12" s="376"/>
      <c r="J12" s="377"/>
      <c r="K12" s="377"/>
      <c r="L12" s="376"/>
      <c r="M12" s="376"/>
      <c r="N12" s="376"/>
      <c r="O12" s="377"/>
      <c r="P12" s="740"/>
      <c r="Q12" s="384"/>
      <c r="R12" s="376"/>
      <c r="S12" s="380"/>
      <c r="T12" s="380"/>
      <c r="U12" s="384"/>
      <c r="V12" s="380"/>
      <c r="W12" s="384"/>
      <c r="X12" s="376"/>
      <c r="Y12" s="376"/>
      <c r="Z12" s="376"/>
      <c r="AA12" s="376"/>
      <c r="AB12" s="376"/>
      <c r="AC12" s="380"/>
      <c r="AD12" s="384"/>
      <c r="AE12" s="376"/>
      <c r="AF12" s="376"/>
      <c r="AG12" s="376"/>
      <c r="AH12" s="376"/>
      <c r="AI12" s="376"/>
      <c r="AJ12" s="380"/>
      <c r="AK12" s="384"/>
      <c r="AL12" s="376"/>
      <c r="AM12" s="376"/>
      <c r="AN12" s="376"/>
      <c r="AO12" s="376"/>
      <c r="AP12" s="376"/>
      <c r="AQ12" s="380"/>
      <c r="AR12" s="384"/>
      <c r="AS12" s="376"/>
      <c r="AT12" s="376"/>
      <c r="AU12" s="376"/>
      <c r="AV12" s="376"/>
      <c r="AW12" s="376"/>
      <c r="AX12" s="380"/>
      <c r="AY12" s="756"/>
      <c r="AZ12" s="20"/>
    </row>
    <row r="13" spans="1:129" ht="18.5">
      <c r="B13" s="703"/>
      <c r="C13" s="713" t="s">
        <v>118</v>
      </c>
      <c r="D13" s="1065"/>
      <c r="E13" s="376"/>
      <c r="F13" s="376"/>
      <c r="G13" s="376"/>
      <c r="H13" s="376"/>
      <c r="I13" s="376"/>
      <c r="J13" s="377"/>
      <c r="K13" s="377"/>
      <c r="L13" s="376"/>
      <c r="M13" s="376"/>
      <c r="N13" s="376"/>
      <c r="O13" s="377"/>
      <c r="P13" s="740"/>
      <c r="Q13" s="384"/>
      <c r="R13" s="376"/>
      <c r="S13" s="380"/>
      <c r="T13" s="380"/>
      <c r="U13" s="384"/>
      <c r="V13" s="380"/>
      <c r="W13" s="384"/>
      <c r="X13" s="376"/>
      <c r="Y13" s="376"/>
      <c r="Z13" s="376"/>
      <c r="AA13" s="376"/>
      <c r="AB13" s="376"/>
      <c r="AC13" s="380"/>
      <c r="AD13" s="384"/>
      <c r="AE13" s="376"/>
      <c r="AF13" s="376"/>
      <c r="AG13" s="376"/>
      <c r="AH13" s="376"/>
      <c r="AI13" s="376"/>
      <c r="AJ13" s="380"/>
      <c r="AK13" s="384"/>
      <c r="AL13" s="376"/>
      <c r="AM13" s="376"/>
      <c r="AN13" s="376"/>
      <c r="AO13" s="376"/>
      <c r="AP13" s="376"/>
      <c r="AQ13" s="380"/>
      <c r="AR13" s="384"/>
      <c r="AS13" s="376"/>
      <c r="AT13" s="376"/>
      <c r="AU13" s="376"/>
      <c r="AV13" s="376"/>
      <c r="AW13" s="376"/>
      <c r="AX13" s="380"/>
      <c r="AY13" s="756"/>
      <c r="AZ13" s="20"/>
    </row>
    <row r="14" spans="1:129" ht="18.5">
      <c r="B14" s="703">
        <v>5.2</v>
      </c>
      <c r="C14" s="713" t="s">
        <v>86</v>
      </c>
      <c r="D14" s="1065"/>
      <c r="E14" s="376"/>
      <c r="F14" s="376"/>
      <c r="G14" s="376"/>
      <c r="H14" s="376"/>
      <c r="I14" s="376"/>
      <c r="J14" s="377"/>
      <c r="K14" s="377"/>
      <c r="L14" s="376"/>
      <c r="M14" s="376"/>
      <c r="N14" s="376"/>
      <c r="O14" s="377"/>
      <c r="P14" s="740"/>
      <c r="Q14" s="384"/>
      <c r="R14" s="376"/>
      <c r="S14" s="380"/>
      <c r="T14" s="380"/>
      <c r="U14" s="384"/>
      <c r="V14" s="380"/>
      <c r="W14" s="384"/>
      <c r="X14" s="376"/>
      <c r="Y14" s="376"/>
      <c r="Z14" s="376"/>
      <c r="AA14" s="376"/>
      <c r="AB14" s="376"/>
      <c r="AC14" s="380"/>
      <c r="AD14" s="384"/>
      <c r="AE14" s="376"/>
      <c r="AF14" s="376"/>
      <c r="AG14" s="376"/>
      <c r="AH14" s="376"/>
      <c r="AI14" s="376"/>
      <c r="AJ14" s="380"/>
      <c r="AK14" s="384"/>
      <c r="AL14" s="376"/>
      <c r="AM14" s="376"/>
      <c r="AN14" s="376"/>
      <c r="AO14" s="376"/>
      <c r="AP14" s="376"/>
      <c r="AQ14" s="380"/>
      <c r="AR14" s="384"/>
      <c r="AS14" s="376"/>
      <c r="AT14" s="376"/>
      <c r="AU14" s="376"/>
      <c r="AV14" s="376"/>
      <c r="AW14" s="376"/>
      <c r="AX14" s="380"/>
      <c r="AY14" s="756"/>
      <c r="AZ14" s="20"/>
    </row>
    <row r="15" spans="1:129" ht="18.5">
      <c r="B15" s="703"/>
      <c r="C15" s="713" t="s">
        <v>87</v>
      </c>
      <c r="D15" s="1065"/>
      <c r="E15" s="428"/>
      <c r="F15" s="376"/>
      <c r="G15" s="376"/>
      <c r="H15" s="376"/>
      <c r="I15" s="376"/>
      <c r="J15" s="377"/>
      <c r="K15" s="377"/>
      <c r="L15" s="376"/>
      <c r="M15" s="376"/>
      <c r="N15" s="376"/>
      <c r="O15" s="377"/>
      <c r="P15" s="740"/>
      <c r="Q15" s="384"/>
      <c r="R15" s="376"/>
      <c r="S15" s="380"/>
      <c r="T15" s="380"/>
      <c r="U15" s="384"/>
      <c r="V15" s="380"/>
      <c r="W15" s="384"/>
      <c r="X15" s="376"/>
      <c r="Y15" s="376"/>
      <c r="Z15" s="376"/>
      <c r="AA15" s="376"/>
      <c r="AB15" s="376"/>
      <c r="AC15" s="380"/>
      <c r="AD15" s="384"/>
      <c r="AE15" s="376"/>
      <c r="AF15" s="376"/>
      <c r="AG15" s="376"/>
      <c r="AH15" s="376"/>
      <c r="AI15" s="376"/>
      <c r="AJ15" s="380"/>
      <c r="AK15" s="384"/>
      <c r="AL15" s="376"/>
      <c r="AM15" s="376"/>
      <c r="AN15" s="376"/>
      <c r="AO15" s="376"/>
      <c r="AP15" s="376"/>
      <c r="AQ15" s="380"/>
      <c r="AR15" s="384"/>
      <c r="AS15" s="376"/>
      <c r="AT15" s="376"/>
      <c r="AU15" s="376"/>
      <c r="AV15" s="376"/>
      <c r="AW15" s="376"/>
      <c r="AX15" s="380"/>
      <c r="AY15" s="756"/>
      <c r="AZ15" s="20"/>
    </row>
    <row r="16" spans="1:129" ht="18.5">
      <c r="B16" s="703"/>
      <c r="C16" s="713" t="s">
        <v>179</v>
      </c>
      <c r="D16" s="1065"/>
      <c r="E16" s="428"/>
      <c r="F16" s="376"/>
      <c r="G16" s="376"/>
      <c r="H16" s="376"/>
      <c r="I16" s="376"/>
      <c r="J16" s="377"/>
      <c r="K16" s="377"/>
      <c r="L16" s="376"/>
      <c r="M16" s="376"/>
      <c r="N16" s="376"/>
      <c r="O16" s="377"/>
      <c r="P16" s="740"/>
      <c r="Q16" s="384"/>
      <c r="R16" s="376"/>
      <c r="S16" s="380"/>
      <c r="T16" s="380"/>
      <c r="U16" s="384"/>
      <c r="V16" s="380"/>
      <c r="W16" s="384"/>
      <c r="X16" s="376"/>
      <c r="Y16" s="376"/>
      <c r="Z16" s="376"/>
      <c r="AA16" s="376"/>
      <c r="AB16" s="376"/>
      <c r="AC16" s="380"/>
      <c r="AD16" s="384"/>
      <c r="AE16" s="376"/>
      <c r="AF16" s="376"/>
      <c r="AG16" s="376"/>
      <c r="AH16" s="376"/>
      <c r="AI16" s="376"/>
      <c r="AJ16" s="380"/>
      <c r="AK16" s="384"/>
      <c r="AL16" s="376"/>
      <c r="AM16" s="376"/>
      <c r="AN16" s="376"/>
      <c r="AO16" s="376"/>
      <c r="AP16" s="376"/>
      <c r="AQ16" s="380"/>
      <c r="AR16" s="384"/>
      <c r="AS16" s="376"/>
      <c r="AT16" s="376"/>
      <c r="AU16" s="376"/>
      <c r="AV16" s="376"/>
      <c r="AW16" s="376"/>
      <c r="AX16" s="380"/>
      <c r="AY16" s="756"/>
      <c r="AZ16" s="20"/>
    </row>
    <row r="17" spans="2:55" ht="18.5">
      <c r="B17" s="703"/>
      <c r="C17" s="713" t="s">
        <v>180</v>
      </c>
      <c r="D17" s="1065"/>
      <c r="E17" s="428"/>
      <c r="F17" s="376"/>
      <c r="G17" s="376"/>
      <c r="H17" s="376"/>
      <c r="I17" s="376"/>
      <c r="J17" s="377"/>
      <c r="K17" s="377"/>
      <c r="L17" s="376"/>
      <c r="M17" s="376"/>
      <c r="N17" s="376"/>
      <c r="O17" s="377"/>
      <c r="P17" s="740"/>
      <c r="Q17" s="384"/>
      <c r="R17" s="376"/>
      <c r="S17" s="380"/>
      <c r="T17" s="380"/>
      <c r="U17" s="384"/>
      <c r="V17" s="380"/>
      <c r="W17" s="384"/>
      <c r="X17" s="376"/>
      <c r="Y17" s="376"/>
      <c r="Z17" s="376"/>
      <c r="AA17" s="376"/>
      <c r="AB17" s="376"/>
      <c r="AC17" s="380"/>
      <c r="AD17" s="384"/>
      <c r="AE17" s="376"/>
      <c r="AF17" s="376"/>
      <c r="AG17" s="376"/>
      <c r="AH17" s="376"/>
      <c r="AI17" s="376"/>
      <c r="AJ17" s="380"/>
      <c r="AK17" s="384"/>
      <c r="AL17" s="376"/>
      <c r="AM17" s="376"/>
      <c r="AN17" s="376"/>
      <c r="AO17" s="376"/>
      <c r="AP17" s="376"/>
      <c r="AQ17" s="380"/>
      <c r="AR17" s="384"/>
      <c r="AS17" s="376"/>
      <c r="AT17" s="376"/>
      <c r="AU17" s="376"/>
      <c r="AV17" s="376"/>
      <c r="AW17" s="376"/>
      <c r="AX17" s="380"/>
      <c r="AY17" s="756"/>
      <c r="AZ17" s="20"/>
    </row>
    <row r="18" spans="2:55" ht="18.5">
      <c r="B18" s="703"/>
      <c r="C18" s="713" t="s">
        <v>181</v>
      </c>
      <c r="D18" s="1065"/>
      <c r="E18" s="428"/>
      <c r="F18" s="376"/>
      <c r="G18" s="376"/>
      <c r="H18" s="376"/>
      <c r="I18" s="376"/>
      <c r="J18" s="377"/>
      <c r="K18" s="377"/>
      <c r="L18" s="376"/>
      <c r="M18" s="376"/>
      <c r="N18" s="376"/>
      <c r="O18" s="377"/>
      <c r="P18" s="740"/>
      <c r="Q18" s="384"/>
      <c r="R18" s="376"/>
      <c r="S18" s="380"/>
      <c r="T18" s="380"/>
      <c r="U18" s="384"/>
      <c r="V18" s="380"/>
      <c r="W18" s="384"/>
      <c r="X18" s="376"/>
      <c r="Y18" s="376"/>
      <c r="Z18" s="376"/>
      <c r="AA18" s="376"/>
      <c r="AB18" s="376"/>
      <c r="AC18" s="380"/>
      <c r="AD18" s="384"/>
      <c r="AE18" s="376"/>
      <c r="AF18" s="376"/>
      <c r="AG18" s="376"/>
      <c r="AH18" s="376"/>
      <c r="AI18" s="376"/>
      <c r="AJ18" s="380"/>
      <c r="AK18" s="384"/>
      <c r="AL18" s="376"/>
      <c r="AM18" s="376"/>
      <c r="AN18" s="376"/>
      <c r="AO18" s="376"/>
      <c r="AP18" s="376"/>
      <c r="AQ18" s="380"/>
      <c r="AR18" s="384"/>
      <c r="AS18" s="376"/>
      <c r="AT18" s="376"/>
      <c r="AU18" s="376"/>
      <c r="AV18" s="376"/>
      <c r="AW18" s="376"/>
      <c r="AX18" s="380"/>
      <c r="AY18" s="756"/>
      <c r="AZ18" s="20"/>
    </row>
    <row r="19" spans="2:55" ht="18.75" customHeight="1">
      <c r="B19" s="784">
        <v>6</v>
      </c>
      <c r="C19" s="722" t="s">
        <v>122</v>
      </c>
      <c r="D19" s="722"/>
      <c r="E19" s="254"/>
      <c r="F19" s="254"/>
      <c r="G19" s="254"/>
      <c r="H19" s="254"/>
      <c r="I19" s="254"/>
      <c r="J19" s="255"/>
      <c r="K19" s="255"/>
      <c r="L19" s="254"/>
      <c r="M19" s="254"/>
      <c r="N19" s="254"/>
      <c r="O19" s="254"/>
      <c r="P19" s="267"/>
      <c r="Q19" s="733"/>
      <c r="R19" s="254"/>
      <c r="S19" s="267"/>
      <c r="T19" s="267"/>
      <c r="U19" s="348"/>
      <c r="V19" s="267"/>
      <c r="W19" s="348"/>
      <c r="X19" s="254"/>
      <c r="Y19" s="254"/>
      <c r="Z19" s="254"/>
      <c r="AA19" s="254"/>
      <c r="AB19" s="254"/>
      <c r="AC19" s="267"/>
      <c r="AD19" s="348"/>
      <c r="AE19" s="254"/>
      <c r="AF19" s="254"/>
      <c r="AG19" s="254"/>
      <c r="AH19" s="254"/>
      <c r="AI19" s="254"/>
      <c r="AJ19" s="267"/>
      <c r="AK19" s="348"/>
      <c r="AL19" s="254"/>
      <c r="AM19" s="254"/>
      <c r="AN19" s="254"/>
      <c r="AO19" s="254"/>
      <c r="AP19" s="254"/>
      <c r="AQ19" s="267"/>
      <c r="AR19" s="348"/>
      <c r="AS19" s="254"/>
      <c r="AT19" s="254"/>
      <c r="AU19" s="254"/>
      <c r="AV19" s="254"/>
      <c r="AW19" s="254"/>
      <c r="AX19" s="267"/>
      <c r="AY19" s="757"/>
      <c r="AZ19" s="141"/>
      <c r="BA19" s="141"/>
      <c r="BB19" s="141"/>
      <c r="BC19" s="141"/>
    </row>
    <row r="20" spans="2:55" ht="18.75" customHeight="1">
      <c r="B20" s="785"/>
      <c r="C20" s="786" t="s">
        <v>95</v>
      </c>
      <c r="D20" s="1066"/>
      <c r="E20" s="1044"/>
      <c r="F20" s="1044"/>
      <c r="G20" s="1044"/>
      <c r="H20" s="246"/>
      <c r="I20" s="246"/>
      <c r="J20" s="247"/>
      <c r="K20" s="247"/>
      <c r="L20" s="1044"/>
      <c r="M20" s="492"/>
      <c r="N20" s="246"/>
      <c r="O20" s="246"/>
      <c r="P20" s="268"/>
      <c r="Q20" s="734"/>
      <c r="R20" s="246"/>
      <c r="S20" s="268"/>
      <c r="T20" s="268"/>
      <c r="U20" s="266"/>
      <c r="V20" s="268"/>
      <c r="W20" s="266"/>
      <c r="X20" s="246"/>
      <c r="Y20" s="246"/>
      <c r="Z20" s="246"/>
      <c r="AA20" s="246"/>
      <c r="AB20" s="246"/>
      <c r="AC20" s="268"/>
      <c r="AD20" s="266"/>
      <c r="AE20" s="246"/>
      <c r="AF20" s="246"/>
      <c r="AG20" s="246"/>
      <c r="AH20" s="246"/>
      <c r="AI20" s="246"/>
      <c r="AJ20" s="268"/>
      <c r="AK20" s="266"/>
      <c r="AL20" s="246"/>
      <c r="AM20" s="246"/>
      <c r="AN20" s="246"/>
      <c r="AO20" s="246"/>
      <c r="AP20" s="246"/>
      <c r="AQ20" s="268"/>
      <c r="AR20" s="266"/>
      <c r="AS20" s="246"/>
      <c r="AT20" s="246"/>
      <c r="AU20" s="246"/>
      <c r="AV20" s="246"/>
      <c r="AW20" s="246"/>
      <c r="AX20" s="268"/>
      <c r="AY20" s="289"/>
      <c r="AZ20" s="141"/>
      <c r="BA20" s="141"/>
      <c r="BB20" s="141"/>
      <c r="BC20" s="141"/>
    </row>
    <row r="21" spans="2:55" ht="18.75" customHeight="1">
      <c r="B21" s="785"/>
      <c r="C21" s="786" t="s">
        <v>96</v>
      </c>
      <c r="D21" s="1066"/>
      <c r="E21" s="1044"/>
      <c r="F21" s="1044"/>
      <c r="G21" s="1044"/>
      <c r="H21" s="246"/>
      <c r="I21" s="246"/>
      <c r="J21" s="247"/>
      <c r="K21" s="247"/>
      <c r="L21" s="1044"/>
      <c r="M21" s="492"/>
      <c r="N21" s="246"/>
      <c r="O21" s="246"/>
      <c r="P21" s="268"/>
      <c r="Q21" s="734"/>
      <c r="R21" s="246"/>
      <c r="S21" s="268"/>
      <c r="T21" s="268"/>
      <c r="U21" s="266"/>
      <c r="V21" s="268"/>
      <c r="W21" s="266"/>
      <c r="X21" s="246"/>
      <c r="Y21" s="246"/>
      <c r="Z21" s="246"/>
      <c r="AA21" s="246"/>
      <c r="AB21" s="246"/>
      <c r="AC21" s="268"/>
      <c r="AD21" s="266"/>
      <c r="AE21" s="246"/>
      <c r="AF21" s="246"/>
      <c r="AG21" s="246"/>
      <c r="AH21" s="246"/>
      <c r="AI21" s="246"/>
      <c r="AJ21" s="268"/>
      <c r="AK21" s="266"/>
      <c r="AL21" s="246"/>
      <c r="AM21" s="246"/>
      <c r="AN21" s="246"/>
      <c r="AO21" s="246"/>
      <c r="AP21" s="246"/>
      <c r="AQ21" s="268"/>
      <c r="AR21" s="266"/>
      <c r="AS21" s="246"/>
      <c r="AT21" s="246"/>
      <c r="AU21" s="246"/>
      <c r="AV21" s="246"/>
      <c r="AW21" s="246"/>
      <c r="AX21" s="268"/>
      <c r="AY21" s="289"/>
      <c r="AZ21" s="141"/>
      <c r="BA21" s="141"/>
      <c r="BB21" s="141"/>
      <c r="BC21" s="141"/>
    </row>
    <row r="22" spans="2:55" ht="18.75" customHeight="1">
      <c r="B22" s="785"/>
      <c r="C22" s="786" t="s">
        <v>97</v>
      </c>
      <c r="D22" s="1066"/>
      <c r="E22" s="1044"/>
      <c r="F22" s="1044"/>
      <c r="G22" s="1044"/>
      <c r="H22" s="246"/>
      <c r="I22" s="246"/>
      <c r="J22" s="247"/>
      <c r="K22" s="247"/>
      <c r="L22" s="1044"/>
      <c r="M22" s="492"/>
      <c r="N22" s="246"/>
      <c r="O22" s="246"/>
      <c r="P22" s="268"/>
      <c r="Q22" s="734"/>
      <c r="R22" s="246"/>
      <c r="S22" s="268"/>
      <c r="T22" s="268"/>
      <c r="U22" s="266"/>
      <c r="V22" s="268"/>
      <c r="W22" s="266"/>
      <c r="X22" s="246"/>
      <c r="Y22" s="246"/>
      <c r="Z22" s="246"/>
      <c r="AA22" s="246"/>
      <c r="AB22" s="246"/>
      <c r="AC22" s="268"/>
      <c r="AD22" s="266"/>
      <c r="AE22" s="246"/>
      <c r="AF22" s="246"/>
      <c r="AG22" s="246"/>
      <c r="AH22" s="246"/>
      <c r="AI22" s="246"/>
      <c r="AJ22" s="268"/>
      <c r="AK22" s="266"/>
      <c r="AL22" s="246"/>
      <c r="AM22" s="246"/>
      <c r="AN22" s="246"/>
      <c r="AO22" s="246"/>
      <c r="AP22" s="246"/>
      <c r="AQ22" s="268"/>
      <c r="AR22" s="266"/>
      <c r="AS22" s="246"/>
      <c r="AT22" s="246"/>
      <c r="AU22" s="246"/>
      <c r="AV22" s="246"/>
      <c r="AW22" s="246"/>
      <c r="AX22" s="268"/>
      <c r="AY22" s="289"/>
      <c r="AZ22" s="141"/>
      <c r="BA22" s="141"/>
      <c r="BB22" s="141"/>
      <c r="BC22" s="141"/>
    </row>
    <row r="23" spans="2:55" ht="18.75" customHeight="1">
      <c r="B23" s="785"/>
      <c r="C23" s="786" t="s">
        <v>98</v>
      </c>
      <c r="D23" s="1066"/>
      <c r="E23" s="1044"/>
      <c r="F23" s="1044"/>
      <c r="G23" s="1044"/>
      <c r="H23" s="246"/>
      <c r="I23" s="246"/>
      <c r="J23" s="247"/>
      <c r="K23" s="247"/>
      <c r="L23" s="246"/>
      <c r="M23" s="246"/>
      <c r="N23" s="246"/>
      <c r="O23" s="246"/>
      <c r="P23" s="268"/>
      <c r="Q23" s="734"/>
      <c r="R23" s="246"/>
      <c r="S23" s="268"/>
      <c r="T23" s="268"/>
      <c r="U23" s="266"/>
      <c r="V23" s="268"/>
      <c r="W23" s="266"/>
      <c r="X23" s="246"/>
      <c r="Y23" s="246"/>
      <c r="Z23" s="246"/>
      <c r="AA23" s="246"/>
      <c r="AB23" s="246"/>
      <c r="AC23" s="268"/>
      <c r="AD23" s="266"/>
      <c r="AE23" s="246"/>
      <c r="AF23" s="246"/>
      <c r="AG23" s="246"/>
      <c r="AH23" s="246"/>
      <c r="AI23" s="246"/>
      <c r="AJ23" s="268"/>
      <c r="AK23" s="266"/>
      <c r="AL23" s="246"/>
      <c r="AM23" s="246"/>
      <c r="AN23" s="246"/>
      <c r="AO23" s="246"/>
      <c r="AP23" s="246"/>
      <c r="AQ23" s="268"/>
      <c r="AR23" s="266"/>
      <c r="AS23" s="246"/>
      <c r="AT23" s="246"/>
      <c r="AU23" s="246"/>
      <c r="AV23" s="246"/>
      <c r="AW23" s="246"/>
      <c r="AX23" s="268"/>
      <c r="AY23" s="289"/>
      <c r="AZ23" s="141"/>
      <c r="BA23" s="141"/>
      <c r="BB23" s="141"/>
      <c r="BC23" s="141"/>
    </row>
    <row r="24" spans="2:55" ht="18.75" customHeight="1">
      <c r="B24" s="704">
        <v>7</v>
      </c>
      <c r="C24" s="714" t="s">
        <v>192</v>
      </c>
      <c r="D24" s="723"/>
      <c r="E24" s="412"/>
      <c r="F24" s="412"/>
      <c r="G24" s="412"/>
      <c r="H24" s="412"/>
      <c r="I24" s="412"/>
      <c r="J24" s="413"/>
      <c r="K24" s="413"/>
      <c r="L24" s="412"/>
      <c r="M24" s="412"/>
      <c r="N24" s="412"/>
      <c r="O24" s="412"/>
      <c r="P24" s="416"/>
      <c r="Q24" s="735"/>
      <c r="R24" s="412"/>
      <c r="S24" s="416"/>
      <c r="T24" s="416"/>
      <c r="U24" s="420"/>
      <c r="V24" s="416"/>
      <c r="W24" s="420"/>
      <c r="X24" s="412"/>
      <c r="Y24" s="412"/>
      <c r="Z24" s="412"/>
      <c r="AA24" s="412"/>
      <c r="AB24" s="412"/>
      <c r="AC24" s="416"/>
      <c r="AD24" s="420"/>
      <c r="AE24" s="412"/>
      <c r="AF24" s="412"/>
      <c r="AG24" s="412"/>
      <c r="AH24" s="412"/>
      <c r="AI24" s="412"/>
      <c r="AJ24" s="416"/>
      <c r="AK24" s="420"/>
      <c r="AL24" s="412"/>
      <c r="AM24" s="412"/>
      <c r="AN24" s="412"/>
      <c r="AO24" s="412"/>
      <c r="AP24" s="412"/>
      <c r="AQ24" s="416"/>
      <c r="AR24" s="420"/>
      <c r="AS24" s="412"/>
      <c r="AT24" s="412"/>
      <c r="AU24" s="412"/>
      <c r="AV24" s="412"/>
      <c r="AW24" s="412"/>
      <c r="AX24" s="416"/>
      <c r="AY24" s="758"/>
      <c r="AZ24" s="141"/>
      <c r="BA24" s="141"/>
      <c r="BB24" s="141"/>
      <c r="BC24" s="141"/>
    </row>
    <row r="25" spans="2:55" ht="18.75" customHeight="1">
      <c r="B25" s="705">
        <v>7.1</v>
      </c>
      <c r="C25" s="715" t="s">
        <v>193</v>
      </c>
      <c r="D25" s="1067"/>
      <c r="E25" s="687"/>
      <c r="F25" s="687"/>
      <c r="G25" s="687"/>
      <c r="H25" s="687"/>
      <c r="I25" s="687"/>
      <c r="J25" s="688"/>
      <c r="K25" s="688"/>
      <c r="L25" s="687"/>
      <c r="M25" s="687"/>
      <c r="N25" s="687"/>
      <c r="O25" s="687"/>
      <c r="P25" s="689"/>
      <c r="Q25" s="736"/>
      <c r="R25" s="687"/>
      <c r="S25" s="689"/>
      <c r="T25" s="689"/>
      <c r="U25" s="746"/>
      <c r="V25" s="689"/>
      <c r="W25" s="746"/>
      <c r="X25" s="687"/>
      <c r="Y25" s="687"/>
      <c r="Z25" s="687"/>
      <c r="AA25" s="687"/>
      <c r="AB25" s="687"/>
      <c r="AC25" s="689"/>
      <c r="AD25" s="746"/>
      <c r="AE25" s="687"/>
      <c r="AF25" s="687"/>
      <c r="AG25" s="687"/>
      <c r="AH25" s="687"/>
      <c r="AI25" s="687"/>
      <c r="AJ25" s="689"/>
      <c r="AK25" s="746"/>
      <c r="AL25" s="687"/>
      <c r="AM25" s="687"/>
      <c r="AN25" s="687"/>
      <c r="AO25" s="687"/>
      <c r="AP25" s="687"/>
      <c r="AQ25" s="689"/>
      <c r="AR25" s="746"/>
      <c r="AS25" s="687"/>
      <c r="AT25" s="687"/>
      <c r="AU25" s="687"/>
      <c r="AV25" s="687"/>
      <c r="AW25" s="687"/>
      <c r="AX25" s="689"/>
      <c r="AY25" s="759"/>
      <c r="AZ25" s="141"/>
      <c r="BA25" s="141"/>
      <c r="BB25" s="141"/>
      <c r="BC25" s="141"/>
    </row>
    <row r="26" spans="2:55" ht="18.75" customHeight="1">
      <c r="B26" s="705"/>
      <c r="C26" s="715" t="s">
        <v>194</v>
      </c>
      <c r="D26" s="1068"/>
      <c r="E26" s="687"/>
      <c r="F26" s="687"/>
      <c r="G26" s="687"/>
      <c r="H26" s="687"/>
      <c r="I26" s="687"/>
      <c r="J26" s="688"/>
      <c r="K26" s="688"/>
      <c r="L26" s="687"/>
      <c r="M26" s="687"/>
      <c r="N26" s="687"/>
      <c r="O26" s="687"/>
      <c r="P26" s="689"/>
      <c r="Q26" s="736"/>
      <c r="R26" s="687"/>
      <c r="S26" s="689"/>
      <c r="T26" s="689"/>
      <c r="U26" s="746"/>
      <c r="V26" s="689"/>
      <c r="W26" s="746"/>
      <c r="X26" s="687"/>
      <c r="Y26" s="687"/>
      <c r="Z26" s="687"/>
      <c r="AA26" s="687"/>
      <c r="AB26" s="687"/>
      <c r="AC26" s="689"/>
      <c r="AD26" s="746"/>
      <c r="AE26" s="687"/>
      <c r="AF26" s="687"/>
      <c r="AG26" s="687"/>
      <c r="AH26" s="687"/>
      <c r="AI26" s="687"/>
      <c r="AJ26" s="689"/>
      <c r="AK26" s="746"/>
      <c r="AL26" s="687"/>
      <c r="AM26" s="687"/>
      <c r="AN26" s="687"/>
      <c r="AO26" s="687"/>
      <c r="AP26" s="687"/>
      <c r="AQ26" s="689"/>
      <c r="AR26" s="746"/>
      <c r="AS26" s="687"/>
      <c r="AT26" s="687"/>
      <c r="AU26" s="687"/>
      <c r="AV26" s="687"/>
      <c r="AW26" s="687"/>
      <c r="AX26" s="689"/>
      <c r="AY26" s="759"/>
      <c r="AZ26" s="141"/>
      <c r="BA26" s="141"/>
      <c r="BB26" s="141"/>
      <c r="BC26" s="141"/>
    </row>
    <row r="27" spans="2:55" ht="18.5">
      <c r="B27" s="705">
        <v>7.2</v>
      </c>
      <c r="C27" s="765" t="s">
        <v>195</v>
      </c>
      <c r="D27" s="1068"/>
      <c r="E27" s="687"/>
      <c r="F27" s="687"/>
      <c r="G27" s="687"/>
      <c r="H27" s="687"/>
      <c r="I27" s="687"/>
      <c r="J27" s="688"/>
      <c r="K27" s="688"/>
      <c r="L27" s="687"/>
      <c r="M27" s="687"/>
      <c r="N27" s="687"/>
      <c r="O27" s="687"/>
      <c r="P27" s="689"/>
      <c r="Q27" s="736"/>
      <c r="R27" s="687"/>
      <c r="S27" s="689"/>
      <c r="T27" s="689"/>
      <c r="U27" s="746"/>
      <c r="V27" s="689"/>
      <c r="W27" s="746"/>
      <c r="X27" s="687"/>
      <c r="Y27" s="687"/>
      <c r="Z27" s="687"/>
      <c r="AA27" s="687"/>
      <c r="AB27" s="687"/>
      <c r="AC27" s="689"/>
      <c r="AD27" s="746"/>
      <c r="AE27" s="687"/>
      <c r="AF27" s="687"/>
      <c r="AG27" s="687"/>
      <c r="AH27" s="687"/>
      <c r="AI27" s="687"/>
      <c r="AJ27" s="689"/>
      <c r="AK27" s="746"/>
      <c r="AL27" s="687"/>
      <c r="AM27" s="687"/>
      <c r="AN27" s="687"/>
      <c r="AO27" s="687"/>
      <c r="AP27" s="687"/>
      <c r="AQ27" s="689"/>
      <c r="AR27" s="746"/>
      <c r="AS27" s="687"/>
      <c r="AT27" s="687"/>
      <c r="AU27" s="687"/>
      <c r="AV27" s="687"/>
      <c r="AW27" s="687"/>
      <c r="AX27" s="689"/>
      <c r="AY27" s="759"/>
      <c r="AZ27" s="141"/>
      <c r="BA27" s="141"/>
      <c r="BB27" s="141"/>
      <c r="BC27" s="141"/>
    </row>
    <row r="28" spans="2:55" ht="29">
      <c r="B28" s="705"/>
      <c r="C28" s="715" t="s">
        <v>196</v>
      </c>
      <c r="D28" s="1068"/>
      <c r="E28" s="1070"/>
      <c r="F28" s="1070"/>
      <c r="G28" s="1070"/>
      <c r="H28" s="687"/>
      <c r="I28" s="1070"/>
      <c r="J28" s="688"/>
      <c r="K28" s="688"/>
      <c r="L28" s="687"/>
      <c r="M28" s="687"/>
      <c r="N28" s="687"/>
      <c r="O28" s="687"/>
      <c r="P28" s="689"/>
      <c r="Q28" s="736"/>
      <c r="R28" s="687"/>
      <c r="S28" s="689"/>
      <c r="T28" s="689"/>
      <c r="U28" s="746"/>
      <c r="V28" s="689"/>
      <c r="W28" s="746"/>
      <c r="X28" s="687"/>
      <c r="Y28" s="687"/>
      <c r="Z28" s="687"/>
      <c r="AA28" s="687"/>
      <c r="AB28" s="687"/>
      <c r="AC28" s="689"/>
      <c r="AD28" s="746"/>
      <c r="AE28" s="687"/>
      <c r="AF28" s="687"/>
      <c r="AG28" s="687"/>
      <c r="AH28" s="687"/>
      <c r="AI28" s="687"/>
      <c r="AJ28" s="689"/>
      <c r="AK28" s="746"/>
      <c r="AL28" s="687"/>
      <c r="AM28" s="687"/>
      <c r="AN28" s="687"/>
      <c r="AO28" s="687"/>
      <c r="AP28" s="687"/>
      <c r="AQ28" s="689"/>
      <c r="AR28" s="771"/>
      <c r="AS28" s="772"/>
      <c r="AT28" s="772"/>
      <c r="AU28" s="772"/>
      <c r="AV28" s="772"/>
      <c r="AW28" s="772"/>
      <c r="AX28" s="772"/>
      <c r="AY28" s="773"/>
      <c r="AZ28" s="770"/>
      <c r="BA28" s="141"/>
      <c r="BB28" s="141"/>
      <c r="BC28" s="141"/>
    </row>
    <row r="29" spans="2:55" ht="18.75" customHeight="1">
      <c r="B29" s="705"/>
      <c r="C29" s="715" t="s">
        <v>197</v>
      </c>
      <c r="D29" s="1069"/>
      <c r="E29" s="1072"/>
      <c r="F29" s="1072"/>
      <c r="G29" s="1072"/>
      <c r="H29" s="687"/>
      <c r="I29" s="1072"/>
      <c r="J29" s="688"/>
      <c r="K29" s="688"/>
      <c r="L29" s="687"/>
      <c r="M29" s="687"/>
      <c r="N29" s="687"/>
      <c r="O29" s="687"/>
      <c r="P29" s="689"/>
      <c r="Q29" s="736"/>
      <c r="R29" s="687"/>
      <c r="S29" s="689"/>
      <c r="T29" s="689"/>
      <c r="U29" s="746"/>
      <c r="V29" s="689"/>
      <c r="W29" s="746"/>
      <c r="X29" s="766"/>
      <c r="Y29" s="687"/>
      <c r="Z29" s="687"/>
      <c r="AA29" s="687"/>
      <c r="AB29" s="687"/>
      <c r="AC29" s="689"/>
      <c r="AD29" s="746"/>
      <c r="AE29" s="687"/>
      <c r="AF29" s="687"/>
      <c r="AG29" s="687"/>
      <c r="AH29" s="687"/>
      <c r="AI29" s="687"/>
      <c r="AJ29" s="689"/>
      <c r="AK29" s="746"/>
      <c r="AL29" s="687"/>
      <c r="AM29" s="687"/>
      <c r="AN29" s="687"/>
      <c r="AO29" s="687"/>
      <c r="AP29" s="687"/>
      <c r="AQ29" s="689"/>
      <c r="AR29" s="746"/>
      <c r="AS29" s="687"/>
      <c r="AT29" s="687"/>
      <c r="AU29" s="687"/>
      <c r="AV29" s="687"/>
      <c r="AW29" s="687"/>
      <c r="AX29" s="689"/>
      <c r="AY29" s="759"/>
      <c r="AZ29" s="141"/>
      <c r="BA29" s="141"/>
      <c r="BB29" s="141"/>
      <c r="BC29" s="141"/>
    </row>
    <row r="30" spans="2:55" ht="58">
      <c r="B30" s="705"/>
      <c r="C30" s="715" t="s">
        <v>198</v>
      </c>
      <c r="D30" s="774"/>
      <c r="E30" s="769"/>
      <c r="F30" s="769"/>
      <c r="G30" s="769"/>
      <c r="H30" s="687"/>
      <c r="I30" s="769"/>
      <c r="J30" s="688"/>
      <c r="K30" s="688"/>
      <c r="L30" s="687"/>
      <c r="M30" s="687"/>
      <c r="N30" s="687"/>
      <c r="O30" s="687"/>
      <c r="P30" s="689"/>
      <c r="Q30" s="736"/>
      <c r="R30" s="687"/>
      <c r="S30" s="689"/>
      <c r="T30" s="689"/>
      <c r="U30" s="746"/>
      <c r="V30" s="689"/>
      <c r="W30" s="775"/>
      <c r="X30" s="766"/>
      <c r="Y30" s="776"/>
      <c r="Z30" s="687"/>
      <c r="AA30" s="687"/>
      <c r="AB30" s="687"/>
      <c r="AC30" s="689"/>
      <c r="AD30" s="746"/>
      <c r="AE30" s="687"/>
      <c r="AF30" s="687"/>
      <c r="AG30" s="687"/>
      <c r="AH30" s="687"/>
      <c r="AI30" s="687"/>
      <c r="AJ30" s="689"/>
      <c r="AK30" s="746"/>
      <c r="AL30" s="687"/>
      <c r="AM30" s="687"/>
      <c r="AN30" s="687"/>
      <c r="AO30" s="687"/>
      <c r="AP30" s="687"/>
      <c r="AQ30" s="689"/>
      <c r="AR30" s="746"/>
      <c r="AS30" s="687"/>
      <c r="AT30" s="687"/>
      <c r="AU30" s="687"/>
      <c r="AV30" s="687"/>
      <c r="AW30" s="687"/>
      <c r="AX30" s="689"/>
      <c r="AY30" s="759"/>
      <c r="AZ30" s="141"/>
      <c r="BA30" s="141"/>
      <c r="BB30" s="141"/>
      <c r="BC30" s="141"/>
    </row>
    <row r="31" spans="2:55" ht="18.75" customHeight="1">
      <c r="B31" s="705">
        <v>7.3</v>
      </c>
      <c r="C31" s="715" t="s">
        <v>199</v>
      </c>
      <c r="D31" s="774"/>
      <c r="E31" s="769"/>
      <c r="F31" s="769"/>
      <c r="G31" s="769"/>
      <c r="H31" s="687"/>
      <c r="I31" s="769"/>
      <c r="J31" s="688"/>
      <c r="K31" s="688"/>
      <c r="L31" s="687"/>
      <c r="M31" s="687"/>
      <c r="N31" s="687"/>
      <c r="O31" s="687"/>
      <c r="P31" s="689"/>
      <c r="Q31" s="736"/>
      <c r="R31" s="687"/>
      <c r="S31" s="689"/>
      <c r="T31" s="689"/>
      <c r="U31" s="746"/>
      <c r="V31" s="689"/>
      <c r="W31" s="775"/>
      <c r="X31" s="766"/>
      <c r="Y31" s="776"/>
      <c r="Z31" s="687"/>
      <c r="AA31" s="687"/>
      <c r="AB31" s="687"/>
      <c r="AC31" s="689"/>
      <c r="AD31" s="746"/>
      <c r="AE31" s="687"/>
      <c r="AF31" s="687"/>
      <c r="AG31" s="687"/>
      <c r="AH31" s="687"/>
      <c r="AI31" s="687"/>
      <c r="AJ31" s="689"/>
      <c r="AK31" s="746"/>
      <c r="AL31" s="687"/>
      <c r="AM31" s="687"/>
      <c r="AN31" s="687"/>
      <c r="AO31" s="687"/>
      <c r="AP31" s="687"/>
      <c r="AQ31" s="689"/>
      <c r="AR31" s="746"/>
      <c r="AS31" s="687"/>
      <c r="AT31" s="687"/>
      <c r="AU31" s="687"/>
      <c r="AV31" s="687"/>
      <c r="AW31" s="687"/>
      <c r="AX31" s="689"/>
      <c r="AY31" s="759"/>
      <c r="AZ31" s="141"/>
      <c r="BA31" s="141"/>
      <c r="BB31" s="141"/>
      <c r="BC31" s="141"/>
    </row>
    <row r="32" spans="2:55" ht="72.5">
      <c r="B32" s="705"/>
      <c r="C32" s="715" t="s">
        <v>200</v>
      </c>
      <c r="D32" s="1067">
        <v>1</v>
      </c>
      <c r="E32" s="769">
        <v>1</v>
      </c>
      <c r="F32" s="769">
        <v>2</v>
      </c>
      <c r="G32" s="769">
        <v>5</v>
      </c>
      <c r="H32" s="687"/>
      <c r="I32" s="769">
        <v>0.5</v>
      </c>
      <c r="J32" s="769"/>
      <c r="K32" s="688"/>
      <c r="L32" s="687"/>
      <c r="M32" s="687"/>
      <c r="N32" s="687"/>
      <c r="O32" s="687"/>
      <c r="P32" s="689"/>
      <c r="Q32" s="736"/>
      <c r="R32" s="687">
        <v>5</v>
      </c>
      <c r="S32" s="689">
        <v>0.5</v>
      </c>
      <c r="T32" s="689">
        <v>0.5</v>
      </c>
      <c r="U32" s="746"/>
      <c r="V32" s="689"/>
      <c r="W32" s="775"/>
      <c r="X32" s="766"/>
      <c r="Y32" s="776"/>
      <c r="Z32" s="687"/>
      <c r="AA32" s="687"/>
      <c r="AB32" s="687"/>
      <c r="AC32" s="689"/>
      <c r="AD32" s="746"/>
      <c r="AE32" s="687"/>
      <c r="AF32" s="687"/>
      <c r="AG32" s="687"/>
      <c r="AH32" s="687"/>
      <c r="AI32" s="687"/>
      <c r="AJ32" s="689"/>
      <c r="AK32" s="746"/>
      <c r="AL32" s="687"/>
      <c r="AM32" s="687"/>
      <c r="AN32" s="687"/>
      <c r="AO32" s="687"/>
      <c r="AP32" s="687"/>
      <c r="AQ32" s="689"/>
      <c r="AR32" s="746"/>
      <c r="AS32" s="687"/>
      <c r="AT32" s="687"/>
      <c r="AU32" s="687"/>
      <c r="AV32" s="687"/>
      <c r="AW32" s="687"/>
      <c r="AX32" s="689"/>
      <c r="AY32" s="759"/>
      <c r="AZ32" s="141"/>
      <c r="BA32" s="141"/>
      <c r="BB32" s="141"/>
      <c r="BC32" s="141"/>
    </row>
    <row r="33" spans="2:55" ht="87">
      <c r="B33" s="705"/>
      <c r="C33" s="715" t="s">
        <v>201</v>
      </c>
      <c r="D33" s="1068"/>
      <c r="E33" s="769">
        <v>1</v>
      </c>
      <c r="F33" s="769">
        <v>2</v>
      </c>
      <c r="G33" s="769">
        <v>5</v>
      </c>
      <c r="H33" s="687"/>
      <c r="I33" s="769">
        <v>0.5</v>
      </c>
      <c r="J33" s="769"/>
      <c r="K33" s="688"/>
      <c r="L33" s="687"/>
      <c r="M33" s="687"/>
      <c r="N33" s="687"/>
      <c r="O33" s="687"/>
      <c r="P33" s="689"/>
      <c r="Q33" s="736"/>
      <c r="R33" s="687">
        <v>5</v>
      </c>
      <c r="S33" s="689">
        <v>0.5</v>
      </c>
      <c r="T33" s="689">
        <v>0.5</v>
      </c>
      <c r="U33" s="746"/>
      <c r="V33" s="689"/>
      <c r="W33" s="775"/>
      <c r="X33" s="766"/>
      <c r="Y33" s="776"/>
      <c r="Z33" s="687"/>
      <c r="AA33" s="687"/>
      <c r="AB33" s="687"/>
      <c r="AC33" s="689"/>
      <c r="AD33" s="746"/>
      <c r="AE33" s="687"/>
      <c r="AF33" s="687"/>
      <c r="AG33" s="687"/>
      <c r="AH33" s="687"/>
      <c r="AI33" s="687"/>
      <c r="AJ33" s="689"/>
      <c r="AK33" s="746"/>
      <c r="AL33" s="687"/>
      <c r="AM33" s="687"/>
      <c r="AN33" s="687"/>
      <c r="AO33" s="687"/>
      <c r="AP33" s="687"/>
      <c r="AQ33" s="689"/>
      <c r="AR33" s="746"/>
      <c r="AS33" s="687"/>
      <c r="AT33" s="687"/>
      <c r="AU33" s="687"/>
      <c r="AV33" s="687"/>
      <c r="AW33" s="687"/>
      <c r="AX33" s="689"/>
      <c r="AY33" s="759"/>
      <c r="AZ33" s="141"/>
      <c r="BA33" s="141"/>
      <c r="BB33" s="141"/>
      <c r="BC33" s="141"/>
    </row>
    <row r="34" spans="2:55" ht="116">
      <c r="B34" s="705"/>
      <c r="C34" s="715" t="s">
        <v>234</v>
      </c>
      <c r="D34" s="1069"/>
      <c r="E34" s="769">
        <v>1</v>
      </c>
      <c r="F34" s="769">
        <v>1</v>
      </c>
      <c r="G34" s="769">
        <v>3</v>
      </c>
      <c r="H34" s="687"/>
      <c r="I34" s="769">
        <v>0.5</v>
      </c>
      <c r="J34" s="769"/>
      <c r="K34" s="688"/>
      <c r="L34" s="791">
        <v>1.5</v>
      </c>
      <c r="M34" s="791">
        <v>0.5</v>
      </c>
      <c r="N34" s="687"/>
      <c r="O34" s="687"/>
      <c r="P34" s="689"/>
      <c r="Q34" s="778">
        <v>9</v>
      </c>
      <c r="R34" s="687">
        <v>3</v>
      </c>
      <c r="S34" s="689"/>
      <c r="T34" s="689"/>
      <c r="U34" s="746"/>
      <c r="V34" s="689"/>
      <c r="W34" s="775"/>
      <c r="X34" s="766"/>
      <c r="Y34" s="776"/>
      <c r="Z34" s="687"/>
      <c r="AA34" s="687"/>
      <c r="AB34" s="687"/>
      <c r="AC34" s="689"/>
      <c r="AD34" s="746"/>
      <c r="AE34" s="687"/>
      <c r="AF34" s="687"/>
      <c r="AG34" s="687"/>
      <c r="AH34" s="687"/>
      <c r="AI34" s="687"/>
      <c r="AJ34" s="689"/>
      <c r="AK34" s="746"/>
      <c r="AL34" s="687"/>
      <c r="AM34" s="687"/>
      <c r="AN34" s="687"/>
      <c r="AO34" s="687"/>
      <c r="AP34" s="687"/>
      <c r="AQ34" s="689"/>
      <c r="AR34" s="746"/>
      <c r="AS34" s="687"/>
      <c r="AT34" s="687"/>
      <c r="AU34" s="687"/>
      <c r="AV34" s="687"/>
      <c r="AW34" s="687"/>
      <c r="AX34" s="689"/>
      <c r="AY34" s="759"/>
      <c r="AZ34" s="141"/>
      <c r="BA34" s="141"/>
      <c r="BB34" s="141"/>
      <c r="BC34" s="141"/>
    </row>
    <row r="35" spans="2:55" ht="18.75" customHeight="1">
      <c r="B35" s="705"/>
      <c r="C35" s="715" t="s">
        <v>203</v>
      </c>
      <c r="D35" s="774"/>
      <c r="E35" s="769"/>
      <c r="F35" s="1070">
        <v>1</v>
      </c>
      <c r="G35" s="769"/>
      <c r="H35" s="687"/>
      <c r="I35" s="1070">
        <v>1</v>
      </c>
      <c r="J35" s="688"/>
      <c r="K35" s="688"/>
      <c r="L35" s="1071">
        <v>6</v>
      </c>
      <c r="M35" s="1071">
        <v>1.5</v>
      </c>
      <c r="N35" s="687"/>
      <c r="O35" s="687"/>
      <c r="P35" s="689"/>
      <c r="Q35" s="736"/>
      <c r="R35" s="687"/>
      <c r="S35" s="689"/>
      <c r="T35" s="689"/>
      <c r="U35" s="746"/>
      <c r="V35" s="689"/>
      <c r="W35" s="775"/>
      <c r="X35" s="766"/>
      <c r="Y35" s="776"/>
      <c r="Z35" s="687"/>
      <c r="AA35" s="687"/>
      <c r="AB35" s="687"/>
      <c r="AC35" s="689"/>
      <c r="AD35" s="746"/>
      <c r="AE35" s="687"/>
      <c r="AF35" s="687"/>
      <c r="AG35" s="687"/>
      <c r="AH35" s="687"/>
      <c r="AI35" s="687"/>
      <c r="AJ35" s="689"/>
      <c r="AK35" s="746"/>
      <c r="AL35" s="687"/>
      <c r="AM35" s="687"/>
      <c r="AN35" s="687"/>
      <c r="AO35" s="687"/>
      <c r="AP35" s="687"/>
      <c r="AQ35" s="689"/>
      <c r="AR35" s="746"/>
      <c r="AS35" s="687"/>
      <c r="AT35" s="687">
        <v>1</v>
      </c>
      <c r="AU35" s="687">
        <v>3</v>
      </c>
      <c r="AV35" s="687"/>
      <c r="AW35" s="687"/>
      <c r="AX35" s="689"/>
      <c r="AY35" s="759"/>
      <c r="AZ35" s="777" t="s">
        <v>204</v>
      </c>
      <c r="BA35" s="141"/>
      <c r="BB35" s="141"/>
      <c r="BC35" s="141"/>
    </row>
    <row r="36" spans="2:55" ht="18.75" customHeight="1">
      <c r="B36" s="705"/>
      <c r="C36" s="792" t="s">
        <v>205</v>
      </c>
      <c r="D36" s="774"/>
      <c r="E36" s="769"/>
      <c r="F36" s="1071"/>
      <c r="G36" s="769"/>
      <c r="H36" s="687"/>
      <c r="I36" s="1071"/>
      <c r="J36" s="688"/>
      <c r="K36" s="688"/>
      <c r="L36" s="1071"/>
      <c r="M36" s="1071"/>
      <c r="N36" s="687"/>
      <c r="O36" s="687"/>
      <c r="P36" s="689"/>
      <c r="Q36" s="736"/>
      <c r="R36" s="687"/>
      <c r="S36" s="689"/>
      <c r="T36" s="689"/>
      <c r="U36" s="746"/>
      <c r="V36" s="689"/>
      <c r="W36" s="775"/>
      <c r="X36" s="766"/>
      <c r="Y36" s="776"/>
      <c r="Z36" s="687"/>
      <c r="AA36" s="687"/>
      <c r="AB36" s="687"/>
      <c r="AC36" s="689"/>
      <c r="AD36" s="746"/>
      <c r="AE36" s="687"/>
      <c r="AF36" s="687"/>
      <c r="AG36" s="687"/>
      <c r="AH36" s="687"/>
      <c r="AI36" s="687"/>
      <c r="AJ36" s="689"/>
      <c r="AK36" s="746"/>
      <c r="AL36" s="687"/>
      <c r="AM36" s="687"/>
      <c r="AN36" s="687"/>
      <c r="AO36" s="687"/>
      <c r="AP36" s="687"/>
      <c r="AQ36" s="689"/>
      <c r="AR36" s="746"/>
      <c r="AS36" s="687"/>
      <c r="AT36" s="687"/>
      <c r="AU36" s="687"/>
      <c r="AV36" s="687"/>
      <c r="AW36" s="687"/>
      <c r="AX36" s="689"/>
      <c r="AY36" s="759"/>
      <c r="AZ36" s="777" t="s">
        <v>206</v>
      </c>
      <c r="BA36" s="141"/>
      <c r="BB36" s="141"/>
      <c r="BC36" s="141"/>
    </row>
    <row r="37" spans="2:55" ht="18.75" customHeight="1">
      <c r="B37" s="705"/>
      <c r="C37" s="715" t="s">
        <v>207</v>
      </c>
      <c r="D37" s="774"/>
      <c r="E37" s="769"/>
      <c r="F37" s="1071"/>
      <c r="G37" s="769"/>
      <c r="H37" s="687"/>
      <c r="I37" s="1071"/>
      <c r="J37" s="688"/>
      <c r="K37" s="688"/>
      <c r="L37" s="1071"/>
      <c r="M37" s="1071"/>
      <c r="N37" s="687"/>
      <c r="O37" s="687"/>
      <c r="P37" s="689"/>
      <c r="Q37" s="736"/>
      <c r="R37" s="687"/>
      <c r="S37" s="689"/>
      <c r="T37" s="689"/>
      <c r="U37" s="746"/>
      <c r="V37" s="689"/>
      <c r="W37" s="775"/>
      <c r="X37" s="766"/>
      <c r="Y37" s="776"/>
      <c r="Z37" s="687"/>
      <c r="AA37" s="687"/>
      <c r="AB37" s="687"/>
      <c r="AC37" s="689"/>
      <c r="AD37" s="746"/>
      <c r="AE37" s="687"/>
      <c r="AF37" s="687"/>
      <c r="AG37" s="687"/>
      <c r="AH37" s="687"/>
      <c r="AI37" s="687"/>
      <c r="AJ37" s="689"/>
      <c r="AK37" s="746"/>
      <c r="AL37" s="687"/>
      <c r="AM37" s="687"/>
      <c r="AN37" s="687"/>
      <c r="AO37" s="687"/>
      <c r="AP37" s="687"/>
      <c r="AQ37" s="689"/>
      <c r="AR37" s="746"/>
      <c r="AS37" s="687"/>
      <c r="AT37" s="687"/>
      <c r="AU37" s="687">
        <v>1</v>
      </c>
      <c r="AV37" s="687"/>
      <c r="AW37" s="687"/>
      <c r="AX37" s="689"/>
      <c r="AY37" s="759"/>
      <c r="AZ37" s="777" t="s">
        <v>204</v>
      </c>
      <c r="BA37" s="141"/>
      <c r="BB37" s="141"/>
      <c r="BC37" s="141"/>
    </row>
    <row r="38" spans="2:55" ht="18.75" customHeight="1">
      <c r="B38" s="705"/>
      <c r="C38" s="715" t="s">
        <v>208</v>
      </c>
      <c r="D38" s="774"/>
      <c r="E38" s="769"/>
      <c r="F38" s="1071"/>
      <c r="G38" s="769"/>
      <c r="H38" s="687"/>
      <c r="I38" s="1071"/>
      <c r="J38" s="688"/>
      <c r="K38" s="688"/>
      <c r="L38" s="1071"/>
      <c r="M38" s="1071"/>
      <c r="N38" s="687"/>
      <c r="O38" s="687"/>
      <c r="P38" s="689"/>
      <c r="Q38" s="736"/>
      <c r="R38" s="687"/>
      <c r="S38" s="689"/>
      <c r="T38" s="689"/>
      <c r="U38" s="746"/>
      <c r="V38" s="689"/>
      <c r="W38" s="775"/>
      <c r="X38" s="766"/>
      <c r="Y38" s="776"/>
      <c r="Z38" s="687"/>
      <c r="AA38" s="687"/>
      <c r="AB38" s="687"/>
      <c r="AC38" s="689"/>
      <c r="AD38" s="746"/>
      <c r="AE38" s="687"/>
      <c r="AF38" s="687"/>
      <c r="AG38" s="687"/>
      <c r="AH38" s="687"/>
      <c r="AI38" s="687"/>
      <c r="AJ38" s="689"/>
      <c r="AK38" s="746"/>
      <c r="AL38" s="687"/>
      <c r="AM38" s="687"/>
      <c r="AN38" s="687"/>
      <c r="AO38" s="687"/>
      <c r="AP38" s="687"/>
      <c r="AQ38" s="689"/>
      <c r="AR38" s="746"/>
      <c r="AS38" s="687"/>
      <c r="AT38" s="687"/>
      <c r="AU38" s="687">
        <v>1</v>
      </c>
      <c r="AV38" s="687"/>
      <c r="AW38" s="687"/>
      <c r="AX38" s="689"/>
      <c r="AY38" s="759"/>
      <c r="AZ38" s="777" t="s">
        <v>204</v>
      </c>
      <c r="BA38" s="141"/>
      <c r="BB38" s="141"/>
      <c r="BC38" s="141"/>
    </row>
    <row r="39" spans="2:55" ht="18.75" customHeight="1">
      <c r="B39" s="705"/>
      <c r="C39" s="715" t="s">
        <v>209</v>
      </c>
      <c r="D39" s="774"/>
      <c r="E39" s="769"/>
      <c r="F39" s="1071"/>
      <c r="G39" s="769"/>
      <c r="H39" s="687"/>
      <c r="I39" s="1071"/>
      <c r="J39" s="688"/>
      <c r="K39" s="688"/>
      <c r="L39" s="1071"/>
      <c r="M39" s="1071"/>
      <c r="N39" s="687"/>
      <c r="O39" s="687"/>
      <c r="P39" s="689"/>
      <c r="Q39" s="736"/>
      <c r="R39" s="687"/>
      <c r="S39" s="689"/>
      <c r="T39" s="689"/>
      <c r="U39" s="746"/>
      <c r="V39" s="689"/>
      <c r="W39" s="775"/>
      <c r="X39" s="766"/>
      <c r="Y39" s="776"/>
      <c r="Z39" s="687"/>
      <c r="AA39" s="687"/>
      <c r="AB39" s="687"/>
      <c r="AC39" s="689"/>
      <c r="AD39" s="746"/>
      <c r="AE39" s="687"/>
      <c r="AF39" s="687"/>
      <c r="AG39" s="687"/>
      <c r="AH39" s="687"/>
      <c r="AI39" s="687"/>
      <c r="AJ39" s="689"/>
      <c r="AK39" s="746"/>
      <c r="AL39" s="687"/>
      <c r="AM39" s="687"/>
      <c r="AN39" s="687"/>
      <c r="AO39" s="687"/>
      <c r="AP39" s="687"/>
      <c r="AQ39" s="689"/>
      <c r="AR39" s="746"/>
      <c r="AS39" s="687"/>
      <c r="AT39" s="687"/>
      <c r="AU39" s="687">
        <v>1</v>
      </c>
      <c r="AV39" s="687"/>
      <c r="AW39" s="687"/>
      <c r="AX39" s="689"/>
      <c r="AY39" s="759"/>
      <c r="AZ39" s="777" t="s">
        <v>204</v>
      </c>
      <c r="BA39" s="141"/>
      <c r="BB39" s="141"/>
      <c r="BC39" s="141"/>
    </row>
    <row r="40" spans="2:55" ht="18.75" customHeight="1">
      <c r="B40" s="705"/>
      <c r="C40" s="715" t="s">
        <v>210</v>
      </c>
      <c r="D40" s="774"/>
      <c r="E40" s="769"/>
      <c r="F40" s="1072"/>
      <c r="G40" s="769"/>
      <c r="H40" s="687"/>
      <c r="I40" s="1072"/>
      <c r="J40" s="688"/>
      <c r="K40" s="688"/>
      <c r="L40" s="1072"/>
      <c r="M40" s="1072"/>
      <c r="N40" s="687"/>
      <c r="O40" s="687"/>
      <c r="P40" s="689"/>
      <c r="Q40" s="736"/>
      <c r="R40" s="687"/>
      <c r="S40" s="689"/>
      <c r="T40" s="689"/>
      <c r="U40" s="746"/>
      <c r="V40" s="689"/>
      <c r="W40" s="775"/>
      <c r="X40" s="766"/>
      <c r="Y40" s="776"/>
      <c r="Z40" s="687"/>
      <c r="AA40" s="687"/>
      <c r="AB40" s="687"/>
      <c r="AC40" s="689"/>
      <c r="AD40" s="746"/>
      <c r="AE40" s="687"/>
      <c r="AF40" s="687"/>
      <c r="AG40" s="687"/>
      <c r="AH40" s="687"/>
      <c r="AI40" s="687"/>
      <c r="AJ40" s="689"/>
      <c r="AK40" s="746"/>
      <c r="AL40" s="687"/>
      <c r="AM40" s="687"/>
      <c r="AN40" s="687"/>
      <c r="AO40" s="687"/>
      <c r="AP40" s="687"/>
      <c r="AQ40" s="689"/>
      <c r="AR40" s="746"/>
      <c r="AS40" s="687"/>
      <c r="AT40" s="687"/>
      <c r="AU40" s="687">
        <v>1</v>
      </c>
      <c r="AV40" s="687"/>
      <c r="AW40" s="687"/>
      <c r="AX40" s="689"/>
      <c r="AY40" s="759"/>
      <c r="AZ40" s="777" t="s">
        <v>204</v>
      </c>
      <c r="BA40" s="141"/>
      <c r="BB40" s="141"/>
      <c r="BC40" s="141"/>
    </row>
    <row r="41" spans="2:55" ht="14.5">
      <c r="B41" s="675">
        <v>11</v>
      </c>
      <c r="C41" s="676" t="s">
        <v>53</v>
      </c>
      <c r="D41" s="724"/>
      <c r="E41" s="518"/>
      <c r="F41" s="518"/>
      <c r="G41" s="518"/>
      <c r="H41" s="73"/>
      <c r="I41" s="73"/>
      <c r="J41" s="73"/>
      <c r="K41" s="73"/>
      <c r="L41" s="73"/>
      <c r="M41" s="73"/>
      <c r="N41" s="73"/>
      <c r="O41" s="73"/>
      <c r="P41" s="261"/>
      <c r="Q41" s="234"/>
      <c r="R41" s="73"/>
      <c r="S41" s="261"/>
      <c r="T41" s="261"/>
      <c r="U41" s="234"/>
      <c r="V41" s="261"/>
      <c r="W41" s="767"/>
      <c r="X41" s="73"/>
      <c r="Y41" s="270"/>
      <c r="Z41" s="62"/>
      <c r="AA41" s="73"/>
      <c r="AB41" s="73"/>
      <c r="AC41" s="261"/>
      <c r="AD41" s="234"/>
      <c r="AE41" s="73"/>
      <c r="AF41" s="73"/>
      <c r="AG41" s="73"/>
      <c r="AH41" s="73"/>
      <c r="AI41" s="73"/>
      <c r="AJ41" s="261"/>
      <c r="AK41" s="234"/>
      <c r="AL41" s="73"/>
      <c r="AM41" s="73"/>
      <c r="AN41" s="73"/>
      <c r="AO41" s="73"/>
      <c r="AP41" s="73"/>
      <c r="AQ41" s="261"/>
      <c r="AR41" s="234"/>
      <c r="AS41" s="73"/>
      <c r="AT41" s="73"/>
      <c r="AU41" s="73">
        <v>1</v>
      </c>
      <c r="AV41" s="73"/>
      <c r="AW41" s="73"/>
      <c r="AX41" s="261"/>
      <c r="AY41" s="760"/>
      <c r="AZ41" s="20"/>
    </row>
    <row r="42" spans="2:55" ht="14.5">
      <c r="B42" s="675">
        <v>12</v>
      </c>
      <c r="C42" s="676" t="s">
        <v>54</v>
      </c>
      <c r="D42" s="724"/>
      <c r="E42" s="73">
        <v>1</v>
      </c>
      <c r="F42" s="73"/>
      <c r="G42" s="73">
        <v>1</v>
      </c>
      <c r="H42" s="73"/>
      <c r="I42" s="62">
        <v>1</v>
      </c>
      <c r="J42" s="73"/>
      <c r="K42" s="73"/>
      <c r="L42" s="73"/>
      <c r="M42" s="73"/>
      <c r="N42" s="73"/>
      <c r="O42" s="73"/>
      <c r="P42" s="261"/>
      <c r="Q42" s="234"/>
      <c r="R42" s="73"/>
      <c r="S42" s="261"/>
      <c r="T42" s="261"/>
      <c r="U42" s="234"/>
      <c r="V42" s="261"/>
      <c r="W42" s="234"/>
      <c r="X42" s="768"/>
      <c r="Y42" s="73"/>
      <c r="Z42" s="62"/>
      <c r="AA42" s="73"/>
      <c r="AB42" s="73"/>
      <c r="AC42" s="261"/>
      <c r="AD42" s="234"/>
      <c r="AE42" s="73"/>
      <c r="AF42" s="73"/>
      <c r="AG42" s="73"/>
      <c r="AH42" s="73"/>
      <c r="AI42" s="73"/>
      <c r="AJ42" s="261"/>
      <c r="AK42" s="234"/>
      <c r="AL42" s="73"/>
      <c r="AM42" s="73"/>
      <c r="AN42" s="73"/>
      <c r="AO42" s="73"/>
      <c r="AP42" s="73"/>
      <c r="AQ42" s="261"/>
      <c r="AR42" s="234"/>
      <c r="AS42" s="73"/>
      <c r="AT42" s="73">
        <v>0.5</v>
      </c>
      <c r="AU42" s="73">
        <v>2</v>
      </c>
      <c r="AV42" s="73"/>
      <c r="AW42" s="73"/>
      <c r="AX42" s="261"/>
      <c r="AY42" s="760"/>
      <c r="AZ42" s="20"/>
    </row>
    <row r="43" spans="2:55" ht="14.5">
      <c r="B43" s="675">
        <v>13</v>
      </c>
      <c r="C43" s="676" t="s">
        <v>55</v>
      </c>
      <c r="D43" s="724"/>
      <c r="E43" s="518">
        <v>1</v>
      </c>
      <c r="F43" s="73"/>
      <c r="G43" s="73">
        <v>0.5</v>
      </c>
      <c r="H43" s="73"/>
      <c r="I43" s="73"/>
      <c r="J43" s="73"/>
      <c r="K43" s="73"/>
      <c r="L43" s="73"/>
      <c r="M43" s="73"/>
      <c r="N43" s="73"/>
      <c r="O43" s="73"/>
      <c r="P43" s="261"/>
      <c r="Q43" s="234"/>
      <c r="R43" s="518"/>
      <c r="S43" s="261"/>
      <c r="T43" s="261"/>
      <c r="U43" s="234"/>
      <c r="V43" s="261"/>
      <c r="W43" s="234"/>
      <c r="X43" s="73"/>
      <c r="Y43" s="73"/>
      <c r="Z43" s="62"/>
      <c r="AA43" s="73"/>
      <c r="AB43" s="73"/>
      <c r="AC43" s="261"/>
      <c r="AD43" s="234"/>
      <c r="AE43" s="73"/>
      <c r="AF43" s="73"/>
      <c r="AG43" s="73"/>
      <c r="AH43" s="73"/>
      <c r="AI43" s="73"/>
      <c r="AJ43" s="261"/>
      <c r="AK43" s="234"/>
      <c r="AL43" s="73"/>
      <c r="AM43" s="73"/>
      <c r="AN43" s="73"/>
      <c r="AO43" s="73"/>
      <c r="AP43" s="73"/>
      <c r="AQ43" s="261"/>
      <c r="AR43" s="234"/>
      <c r="AS43" s="73"/>
      <c r="AT43" s="73">
        <v>0.5</v>
      </c>
      <c r="AU43" s="73">
        <v>2</v>
      </c>
      <c r="AV43" s="73"/>
      <c r="AW43" s="73"/>
      <c r="AX43" s="261"/>
      <c r="AY43" s="760"/>
      <c r="AZ43" s="20"/>
    </row>
    <row r="44" spans="2:55" ht="14.5">
      <c r="B44" s="675">
        <v>14</v>
      </c>
      <c r="C44" s="676" t="s">
        <v>56</v>
      </c>
      <c r="D44" s="270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261"/>
      <c r="Q44" s="234"/>
      <c r="R44" s="73"/>
      <c r="S44" s="261"/>
      <c r="T44" s="261"/>
      <c r="U44" s="234"/>
      <c r="V44" s="261"/>
      <c r="W44" s="234"/>
      <c r="X44" s="73"/>
      <c r="Y44" s="73"/>
      <c r="Z44" s="73"/>
      <c r="AA44" s="73"/>
      <c r="AB44" s="73"/>
      <c r="AC44" s="261"/>
      <c r="AD44" s="234"/>
      <c r="AE44" s="73"/>
      <c r="AF44" s="73"/>
      <c r="AG44" s="73"/>
      <c r="AH44" s="73"/>
      <c r="AI44" s="73"/>
      <c r="AJ44" s="261"/>
      <c r="AK44" s="234"/>
      <c r="AL44" s="73"/>
      <c r="AM44" s="73"/>
      <c r="AN44" s="73"/>
      <c r="AO44" s="73"/>
      <c r="AP44" s="73"/>
      <c r="AQ44" s="261"/>
      <c r="AR44" s="234"/>
      <c r="AS44" s="73"/>
      <c r="AT44" s="73"/>
      <c r="AU44" s="73">
        <v>2</v>
      </c>
      <c r="AV44" s="73"/>
      <c r="AW44" s="73"/>
      <c r="AX44" s="261"/>
      <c r="AY44" s="760"/>
      <c r="AZ44" s="20"/>
    </row>
    <row r="45" spans="2:55" ht="14.5">
      <c r="B45" s="675">
        <v>15</v>
      </c>
      <c r="C45" s="676" t="s">
        <v>57</v>
      </c>
      <c r="D45" s="271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262"/>
      <c r="Q45" s="233"/>
      <c r="R45" s="62"/>
      <c r="S45" s="262"/>
      <c r="T45" s="262"/>
      <c r="U45" s="233"/>
      <c r="V45" s="262"/>
      <c r="W45" s="233"/>
      <c r="X45" s="73"/>
      <c r="Y45" s="62"/>
      <c r="Z45" s="62"/>
      <c r="AA45" s="62"/>
      <c r="AB45" s="62"/>
      <c r="AC45" s="262"/>
      <c r="AD45" s="233"/>
      <c r="AE45" s="62"/>
      <c r="AF45" s="62"/>
      <c r="AG45" s="62"/>
      <c r="AH45" s="62"/>
      <c r="AI45" s="62"/>
      <c r="AJ45" s="262"/>
      <c r="AK45" s="233"/>
      <c r="AL45" s="62"/>
      <c r="AM45" s="62"/>
      <c r="AN45" s="62"/>
      <c r="AO45" s="62"/>
      <c r="AP45" s="62"/>
      <c r="AQ45" s="262"/>
      <c r="AR45" s="233"/>
      <c r="AS45" s="62"/>
      <c r="AT45" s="62"/>
      <c r="AU45" s="62"/>
      <c r="AV45" s="62"/>
      <c r="AW45" s="62"/>
      <c r="AX45" s="262"/>
      <c r="AY45" s="754"/>
      <c r="AZ45" s="20"/>
    </row>
    <row r="46" spans="2:55" ht="14.5">
      <c r="B46" s="675">
        <v>16</v>
      </c>
      <c r="C46" s="676" t="s">
        <v>235</v>
      </c>
      <c r="D46" s="271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262"/>
      <c r="Q46" s="233"/>
      <c r="R46" s="62"/>
      <c r="S46" s="262"/>
      <c r="T46" s="262"/>
      <c r="U46" s="233"/>
      <c r="V46" s="262"/>
      <c r="W46" s="233"/>
      <c r="X46" s="73"/>
      <c r="Y46" s="62"/>
      <c r="Z46" s="62"/>
      <c r="AA46" s="62"/>
      <c r="AB46" s="62"/>
      <c r="AC46" s="262"/>
      <c r="AD46" s="233"/>
      <c r="AE46" s="62"/>
      <c r="AF46" s="62"/>
      <c r="AG46" s="62"/>
      <c r="AH46" s="62"/>
      <c r="AI46" s="62"/>
      <c r="AJ46" s="262"/>
      <c r="AK46" s="233"/>
      <c r="AL46" s="62"/>
      <c r="AM46" s="62"/>
      <c r="AN46" s="62"/>
      <c r="AO46" s="62"/>
      <c r="AP46" s="62"/>
      <c r="AQ46" s="262"/>
      <c r="AR46" s="233"/>
      <c r="AS46" s="62"/>
      <c r="AT46" s="62"/>
      <c r="AU46" s="62"/>
      <c r="AV46" s="62"/>
      <c r="AW46" s="62"/>
      <c r="AX46" s="262"/>
      <c r="AY46" s="754"/>
      <c r="AZ46" s="20"/>
    </row>
    <row r="47" spans="2:55" ht="14.5">
      <c r="B47" s="675">
        <v>17</v>
      </c>
      <c r="C47" s="676" t="s">
        <v>106</v>
      </c>
      <c r="D47" s="271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262"/>
      <c r="Q47" s="233"/>
      <c r="R47" s="62"/>
      <c r="S47" s="262"/>
      <c r="T47" s="262"/>
      <c r="U47" s="233"/>
      <c r="V47" s="262"/>
      <c r="W47" s="233"/>
      <c r="X47" s="62"/>
      <c r="Y47" s="62"/>
      <c r="Z47" s="73"/>
      <c r="AA47" s="62"/>
      <c r="AB47" s="62"/>
      <c r="AC47" s="262"/>
      <c r="AD47" s="233"/>
      <c r="AE47" s="62"/>
      <c r="AF47" s="62"/>
      <c r="AG47" s="62"/>
      <c r="AH47" s="62"/>
      <c r="AI47" s="62"/>
      <c r="AJ47" s="262"/>
      <c r="AK47" s="233"/>
      <c r="AL47" s="73"/>
      <c r="AM47" s="62"/>
      <c r="AN47" s="62"/>
      <c r="AO47" s="62"/>
      <c r="AP47" s="62"/>
      <c r="AQ47" s="262"/>
      <c r="AR47" s="233"/>
      <c r="AS47" s="62"/>
      <c r="AT47" s="62">
        <v>1</v>
      </c>
      <c r="AU47" s="62">
        <v>1</v>
      </c>
      <c r="AV47" s="62"/>
      <c r="AW47" s="62"/>
      <c r="AX47" s="262"/>
      <c r="AY47" s="754"/>
      <c r="AZ47" s="20"/>
    </row>
    <row r="48" spans="2:55" ht="14.5">
      <c r="B48" s="708"/>
      <c r="C48" s="716" t="s">
        <v>123</v>
      </c>
      <c r="D48" s="725">
        <f t="shared" ref="D48:AY48" si="0">15%*SUM(D3:D47)</f>
        <v>0.15</v>
      </c>
      <c r="E48" s="709">
        <f t="shared" si="0"/>
        <v>0.75</v>
      </c>
      <c r="F48" s="709">
        <f t="shared" si="0"/>
        <v>0.89999999999999991</v>
      </c>
      <c r="G48" s="709">
        <f t="shared" si="0"/>
        <v>2.1749999999999998</v>
      </c>
      <c r="H48" s="709">
        <f t="shared" si="0"/>
        <v>0</v>
      </c>
      <c r="I48" s="709">
        <f t="shared" si="0"/>
        <v>0.52500000000000002</v>
      </c>
      <c r="J48" s="709">
        <f t="shared" si="0"/>
        <v>0</v>
      </c>
      <c r="K48" s="709">
        <f t="shared" si="0"/>
        <v>0</v>
      </c>
      <c r="L48" s="709">
        <f t="shared" si="0"/>
        <v>1.125</v>
      </c>
      <c r="M48" s="709">
        <f t="shared" si="0"/>
        <v>0.3</v>
      </c>
      <c r="N48" s="709">
        <f t="shared" si="0"/>
        <v>0</v>
      </c>
      <c r="O48" s="709">
        <f t="shared" si="0"/>
        <v>0</v>
      </c>
      <c r="P48" s="741">
        <f t="shared" si="0"/>
        <v>0</v>
      </c>
      <c r="Q48" s="737">
        <f t="shared" si="0"/>
        <v>1.3499999999999999</v>
      </c>
      <c r="R48" s="709">
        <f t="shared" si="0"/>
        <v>1.95</v>
      </c>
      <c r="S48" s="741">
        <f t="shared" si="0"/>
        <v>0.15</v>
      </c>
      <c r="T48" s="741">
        <f t="shared" si="0"/>
        <v>0.15</v>
      </c>
      <c r="U48" s="737">
        <f t="shared" si="0"/>
        <v>0</v>
      </c>
      <c r="V48" s="741">
        <f t="shared" si="0"/>
        <v>0</v>
      </c>
      <c r="W48" s="737">
        <f t="shared" si="0"/>
        <v>0</v>
      </c>
      <c r="X48" s="709">
        <f t="shared" si="0"/>
        <v>0</v>
      </c>
      <c r="Y48" s="709">
        <f t="shared" si="0"/>
        <v>0</v>
      </c>
      <c r="Z48" s="709">
        <f t="shared" si="0"/>
        <v>0</v>
      </c>
      <c r="AA48" s="709">
        <f t="shared" si="0"/>
        <v>0</v>
      </c>
      <c r="AB48" s="709">
        <f t="shared" si="0"/>
        <v>0</v>
      </c>
      <c r="AC48" s="741">
        <f t="shared" si="0"/>
        <v>0</v>
      </c>
      <c r="AD48" s="737">
        <f t="shared" si="0"/>
        <v>0</v>
      </c>
      <c r="AE48" s="709">
        <f t="shared" si="0"/>
        <v>0</v>
      </c>
      <c r="AF48" s="709">
        <f t="shared" si="0"/>
        <v>0</v>
      </c>
      <c r="AG48" s="709">
        <f t="shared" si="0"/>
        <v>0</v>
      </c>
      <c r="AH48" s="709">
        <f t="shared" si="0"/>
        <v>0</v>
      </c>
      <c r="AI48" s="709">
        <f t="shared" si="0"/>
        <v>0</v>
      </c>
      <c r="AJ48" s="741">
        <f t="shared" si="0"/>
        <v>0</v>
      </c>
      <c r="AK48" s="737">
        <f t="shared" si="0"/>
        <v>0</v>
      </c>
      <c r="AL48" s="709">
        <f t="shared" si="0"/>
        <v>0</v>
      </c>
      <c r="AM48" s="709">
        <f t="shared" si="0"/>
        <v>0</v>
      </c>
      <c r="AN48" s="709">
        <f t="shared" si="0"/>
        <v>0</v>
      </c>
      <c r="AO48" s="709">
        <f t="shared" si="0"/>
        <v>0</v>
      </c>
      <c r="AP48" s="709">
        <f t="shared" si="0"/>
        <v>0</v>
      </c>
      <c r="AQ48" s="741">
        <f t="shared" si="0"/>
        <v>0</v>
      </c>
      <c r="AR48" s="737">
        <f t="shared" si="0"/>
        <v>0</v>
      </c>
      <c r="AS48" s="709">
        <f t="shared" si="0"/>
        <v>0</v>
      </c>
      <c r="AT48" s="709">
        <f t="shared" si="0"/>
        <v>0.44999999999999996</v>
      </c>
      <c r="AU48" s="709">
        <f t="shared" si="0"/>
        <v>2.25</v>
      </c>
      <c r="AV48" s="709">
        <f t="shared" si="0"/>
        <v>0</v>
      </c>
      <c r="AW48" s="709">
        <f t="shared" si="0"/>
        <v>0</v>
      </c>
      <c r="AX48" s="741">
        <f t="shared" si="0"/>
        <v>0</v>
      </c>
      <c r="AY48" s="761">
        <f t="shared" si="0"/>
        <v>0</v>
      </c>
      <c r="AZ48" s="20"/>
    </row>
    <row r="49" spans="2:54" ht="14.5">
      <c r="B49" s="706"/>
      <c r="C49" s="717" t="s">
        <v>26</v>
      </c>
      <c r="D49" s="726">
        <v>5</v>
      </c>
      <c r="E49" s="707">
        <f t="shared" ref="E49:AY49" si="1">SUM(E3:E48)</f>
        <v>5.75</v>
      </c>
      <c r="F49" s="707">
        <f t="shared" si="1"/>
        <v>6.9</v>
      </c>
      <c r="G49" s="707">
        <f t="shared" si="1"/>
        <v>16.675000000000001</v>
      </c>
      <c r="H49" s="707">
        <f t="shared" si="1"/>
        <v>0</v>
      </c>
      <c r="I49" s="707">
        <f t="shared" si="1"/>
        <v>4.0250000000000004</v>
      </c>
      <c r="J49" s="707">
        <f t="shared" si="1"/>
        <v>0</v>
      </c>
      <c r="K49" s="707">
        <f t="shared" si="1"/>
        <v>0</v>
      </c>
      <c r="L49" s="707">
        <f t="shared" si="1"/>
        <v>8.625</v>
      </c>
      <c r="M49" s="707">
        <f t="shared" si="1"/>
        <v>2.2999999999999998</v>
      </c>
      <c r="N49" s="707">
        <f t="shared" si="1"/>
        <v>0</v>
      </c>
      <c r="O49" s="707">
        <f t="shared" si="1"/>
        <v>0</v>
      </c>
      <c r="P49" s="742">
        <f t="shared" si="1"/>
        <v>0</v>
      </c>
      <c r="Q49" s="738">
        <f t="shared" si="1"/>
        <v>10.35</v>
      </c>
      <c r="R49" s="707">
        <f t="shared" si="1"/>
        <v>14.95</v>
      </c>
      <c r="S49" s="742">
        <f t="shared" si="1"/>
        <v>1.1499999999999999</v>
      </c>
      <c r="T49" s="742">
        <f t="shared" si="1"/>
        <v>1.1499999999999999</v>
      </c>
      <c r="U49" s="738">
        <f t="shared" si="1"/>
        <v>0</v>
      </c>
      <c r="V49" s="742">
        <f t="shared" si="1"/>
        <v>0</v>
      </c>
      <c r="W49" s="738">
        <f t="shared" si="1"/>
        <v>0</v>
      </c>
      <c r="X49" s="707">
        <f t="shared" si="1"/>
        <v>0</v>
      </c>
      <c r="Y49" s="707">
        <f t="shared" si="1"/>
        <v>0</v>
      </c>
      <c r="Z49" s="707">
        <f t="shared" si="1"/>
        <v>0</v>
      </c>
      <c r="AA49" s="707">
        <f t="shared" si="1"/>
        <v>0</v>
      </c>
      <c r="AB49" s="707">
        <f t="shared" si="1"/>
        <v>0</v>
      </c>
      <c r="AC49" s="742">
        <f t="shared" si="1"/>
        <v>0</v>
      </c>
      <c r="AD49" s="738">
        <f t="shared" si="1"/>
        <v>0</v>
      </c>
      <c r="AE49" s="707">
        <f t="shared" si="1"/>
        <v>0</v>
      </c>
      <c r="AF49" s="707">
        <f t="shared" si="1"/>
        <v>0</v>
      </c>
      <c r="AG49" s="707">
        <f t="shared" si="1"/>
        <v>0</v>
      </c>
      <c r="AH49" s="707">
        <f t="shared" si="1"/>
        <v>0</v>
      </c>
      <c r="AI49" s="707">
        <f t="shared" si="1"/>
        <v>0</v>
      </c>
      <c r="AJ49" s="742">
        <f t="shared" si="1"/>
        <v>0</v>
      </c>
      <c r="AK49" s="738">
        <f t="shared" si="1"/>
        <v>0</v>
      </c>
      <c r="AL49" s="707">
        <f t="shared" si="1"/>
        <v>0</v>
      </c>
      <c r="AM49" s="707">
        <f t="shared" si="1"/>
        <v>0</v>
      </c>
      <c r="AN49" s="707">
        <f t="shared" si="1"/>
        <v>0</v>
      </c>
      <c r="AO49" s="707">
        <f t="shared" si="1"/>
        <v>0</v>
      </c>
      <c r="AP49" s="707">
        <f t="shared" si="1"/>
        <v>0</v>
      </c>
      <c r="AQ49" s="742">
        <f t="shared" si="1"/>
        <v>0</v>
      </c>
      <c r="AR49" s="738">
        <f t="shared" si="1"/>
        <v>0</v>
      </c>
      <c r="AS49" s="707">
        <f t="shared" si="1"/>
        <v>0</v>
      </c>
      <c r="AT49" s="707">
        <f t="shared" si="1"/>
        <v>3.45</v>
      </c>
      <c r="AU49" s="707">
        <f t="shared" si="1"/>
        <v>17.25</v>
      </c>
      <c r="AV49" s="707">
        <f t="shared" si="1"/>
        <v>0</v>
      </c>
      <c r="AW49" s="707">
        <f t="shared" si="1"/>
        <v>0</v>
      </c>
      <c r="AX49" s="742">
        <f t="shared" si="1"/>
        <v>0</v>
      </c>
      <c r="AY49" s="762">
        <f t="shared" si="1"/>
        <v>0</v>
      </c>
      <c r="AZ49" s="567">
        <f>SUM(D49:AY49)</f>
        <v>97.575000000000017</v>
      </c>
    </row>
    <row r="50" spans="2:54" ht="14.5">
      <c r="B50" s="675"/>
      <c r="C50" s="718" t="s">
        <v>27</v>
      </c>
      <c r="D50" s="727">
        <v>8500</v>
      </c>
      <c r="E50" s="453">
        <v>8500</v>
      </c>
      <c r="F50" s="453">
        <v>14000</v>
      </c>
      <c r="G50" s="453">
        <v>14000</v>
      </c>
      <c r="H50" s="453">
        <v>8500</v>
      </c>
      <c r="I50" s="453">
        <v>8500</v>
      </c>
      <c r="J50" s="453">
        <v>8500</v>
      </c>
      <c r="K50" s="453">
        <v>8500</v>
      </c>
      <c r="L50" s="453">
        <v>8500</v>
      </c>
      <c r="M50" s="453">
        <v>14000</v>
      </c>
      <c r="N50" s="453">
        <v>8500</v>
      </c>
      <c r="O50" s="453">
        <v>8500</v>
      </c>
      <c r="P50" s="743">
        <v>8500</v>
      </c>
      <c r="Q50" s="452">
        <v>14000</v>
      </c>
      <c r="R50" s="453">
        <v>14000</v>
      </c>
      <c r="S50" s="743">
        <v>7500</v>
      </c>
      <c r="T50" s="453">
        <v>14000</v>
      </c>
      <c r="U50" s="452">
        <v>8500</v>
      </c>
      <c r="V50" s="743">
        <v>8500</v>
      </c>
      <c r="W50" s="452">
        <v>14000</v>
      </c>
      <c r="X50" s="453">
        <v>8500</v>
      </c>
      <c r="Y50" s="453">
        <v>14000</v>
      </c>
      <c r="Z50" s="453">
        <v>8500</v>
      </c>
      <c r="AA50" s="453">
        <v>8500</v>
      </c>
      <c r="AB50" s="453">
        <v>8500</v>
      </c>
      <c r="AC50" s="743">
        <v>8500</v>
      </c>
      <c r="AD50" s="452">
        <v>14000</v>
      </c>
      <c r="AE50" s="453">
        <v>8500</v>
      </c>
      <c r="AF50" s="453">
        <v>14000</v>
      </c>
      <c r="AG50" s="453">
        <v>8500</v>
      </c>
      <c r="AH50" s="453">
        <v>8500</v>
      </c>
      <c r="AI50" s="453">
        <v>8500</v>
      </c>
      <c r="AJ50" s="743">
        <v>8500</v>
      </c>
      <c r="AK50" s="452">
        <v>14000</v>
      </c>
      <c r="AL50" s="453">
        <v>8500</v>
      </c>
      <c r="AM50" s="453">
        <v>14000</v>
      </c>
      <c r="AN50" s="453">
        <v>8500</v>
      </c>
      <c r="AO50" s="453">
        <v>8500</v>
      </c>
      <c r="AP50" s="453">
        <v>8500</v>
      </c>
      <c r="AQ50" s="743">
        <v>8500</v>
      </c>
      <c r="AR50" s="452">
        <v>14000</v>
      </c>
      <c r="AS50" s="453">
        <v>8500</v>
      </c>
      <c r="AT50" s="453">
        <v>14000</v>
      </c>
      <c r="AU50" s="453">
        <v>8500</v>
      </c>
      <c r="AV50" s="453">
        <v>8500</v>
      </c>
      <c r="AW50" s="453">
        <v>8500</v>
      </c>
      <c r="AX50" s="743">
        <v>8500</v>
      </c>
      <c r="AY50" s="763">
        <v>8500</v>
      </c>
    </row>
    <row r="51" spans="2:54" ht="14.5">
      <c r="B51" s="677"/>
      <c r="C51" s="719" t="s">
        <v>28</v>
      </c>
      <c r="D51" s="728">
        <f t="shared" ref="D51:AY51" si="2">D49*D50</f>
        <v>42500</v>
      </c>
      <c r="E51" s="459">
        <f t="shared" si="2"/>
        <v>48875</v>
      </c>
      <c r="F51" s="459">
        <f t="shared" si="2"/>
        <v>96600</v>
      </c>
      <c r="G51" s="459">
        <f t="shared" si="2"/>
        <v>233450</v>
      </c>
      <c r="H51" s="459">
        <f t="shared" si="2"/>
        <v>0</v>
      </c>
      <c r="I51" s="459">
        <f t="shared" si="2"/>
        <v>34212.5</v>
      </c>
      <c r="J51" s="459">
        <f t="shared" si="2"/>
        <v>0</v>
      </c>
      <c r="K51" s="459">
        <f t="shared" si="2"/>
        <v>0</v>
      </c>
      <c r="L51" s="459">
        <f t="shared" si="2"/>
        <v>73312.5</v>
      </c>
      <c r="M51" s="459">
        <f t="shared" si="2"/>
        <v>32199.999999999996</v>
      </c>
      <c r="N51" s="459">
        <f t="shared" si="2"/>
        <v>0</v>
      </c>
      <c r="O51" s="459">
        <f t="shared" si="2"/>
        <v>0</v>
      </c>
      <c r="P51" s="744">
        <f t="shared" si="2"/>
        <v>0</v>
      </c>
      <c r="Q51" s="458">
        <f t="shared" si="2"/>
        <v>144900</v>
      </c>
      <c r="R51" s="459">
        <f t="shared" si="2"/>
        <v>209300</v>
      </c>
      <c r="S51" s="744">
        <f t="shared" si="2"/>
        <v>8625</v>
      </c>
      <c r="T51" s="744">
        <f t="shared" si="2"/>
        <v>16099.999999999998</v>
      </c>
      <c r="U51" s="458">
        <f t="shared" si="2"/>
        <v>0</v>
      </c>
      <c r="V51" s="744">
        <f t="shared" si="2"/>
        <v>0</v>
      </c>
      <c r="W51" s="458">
        <f t="shared" si="2"/>
        <v>0</v>
      </c>
      <c r="X51" s="459">
        <f t="shared" si="2"/>
        <v>0</v>
      </c>
      <c r="Y51" s="459">
        <f t="shared" si="2"/>
        <v>0</v>
      </c>
      <c r="Z51" s="459">
        <f t="shared" si="2"/>
        <v>0</v>
      </c>
      <c r="AA51" s="459">
        <f t="shared" si="2"/>
        <v>0</v>
      </c>
      <c r="AB51" s="459">
        <f t="shared" si="2"/>
        <v>0</v>
      </c>
      <c r="AC51" s="744">
        <f t="shared" si="2"/>
        <v>0</v>
      </c>
      <c r="AD51" s="458">
        <f t="shared" si="2"/>
        <v>0</v>
      </c>
      <c r="AE51" s="459">
        <f t="shared" si="2"/>
        <v>0</v>
      </c>
      <c r="AF51" s="459">
        <f t="shared" si="2"/>
        <v>0</v>
      </c>
      <c r="AG51" s="459">
        <f t="shared" si="2"/>
        <v>0</v>
      </c>
      <c r="AH51" s="459">
        <f t="shared" si="2"/>
        <v>0</v>
      </c>
      <c r="AI51" s="459">
        <f t="shared" si="2"/>
        <v>0</v>
      </c>
      <c r="AJ51" s="744">
        <f t="shared" si="2"/>
        <v>0</v>
      </c>
      <c r="AK51" s="458">
        <f t="shared" si="2"/>
        <v>0</v>
      </c>
      <c r="AL51" s="459">
        <f t="shared" si="2"/>
        <v>0</v>
      </c>
      <c r="AM51" s="459">
        <f t="shared" si="2"/>
        <v>0</v>
      </c>
      <c r="AN51" s="459">
        <f t="shared" si="2"/>
        <v>0</v>
      </c>
      <c r="AO51" s="459">
        <f t="shared" si="2"/>
        <v>0</v>
      </c>
      <c r="AP51" s="459">
        <f t="shared" si="2"/>
        <v>0</v>
      </c>
      <c r="AQ51" s="744">
        <f t="shared" si="2"/>
        <v>0</v>
      </c>
      <c r="AR51" s="458">
        <f t="shared" si="2"/>
        <v>0</v>
      </c>
      <c r="AS51" s="459">
        <f t="shared" si="2"/>
        <v>0</v>
      </c>
      <c r="AT51" s="459">
        <f t="shared" si="2"/>
        <v>48300</v>
      </c>
      <c r="AU51" s="459">
        <f t="shared" si="2"/>
        <v>146625</v>
      </c>
      <c r="AV51" s="459">
        <f t="shared" si="2"/>
        <v>0</v>
      </c>
      <c r="AW51" s="459">
        <f t="shared" si="2"/>
        <v>0</v>
      </c>
      <c r="AX51" s="744">
        <f t="shared" si="2"/>
        <v>0</v>
      </c>
      <c r="AY51" s="764">
        <f t="shared" si="2"/>
        <v>0</v>
      </c>
      <c r="AZ51" s="512">
        <f>SUM(D51:AY51)</f>
        <v>1135000</v>
      </c>
      <c r="BA51" s="281"/>
      <c r="BB51" s="281"/>
    </row>
    <row r="52" spans="2:54" ht="13.5" customHeight="1">
      <c r="D52" s="19" t="s">
        <v>124</v>
      </c>
      <c r="E52" s="19" t="s">
        <v>124</v>
      </c>
      <c r="F52" s="19" t="s">
        <v>124</v>
      </c>
      <c r="G52" s="19" t="s">
        <v>124</v>
      </c>
      <c r="I52" s="19" t="s">
        <v>124</v>
      </c>
      <c r="L52" s="19" t="s">
        <v>124</v>
      </c>
      <c r="M52" s="19" t="s">
        <v>124</v>
      </c>
      <c r="O52" s="19" t="s">
        <v>124</v>
      </c>
      <c r="P52" s="19" t="s">
        <v>124</v>
      </c>
      <c r="W52" s="19" t="s">
        <v>124</v>
      </c>
      <c r="X52" s="19" t="s">
        <v>124</v>
      </c>
      <c r="AE52" s="19" t="s">
        <v>124</v>
      </c>
      <c r="AL52" s="19" t="s">
        <v>124</v>
      </c>
      <c r="AM52" s="19" t="s">
        <v>124</v>
      </c>
      <c r="AS52" s="19" t="s">
        <v>124</v>
      </c>
      <c r="AY52" s="19" t="s">
        <v>124</v>
      </c>
      <c r="BB52" s="281"/>
    </row>
    <row r="53" spans="2:54" ht="14.5">
      <c r="C53" s="20" t="s">
        <v>125</v>
      </c>
      <c r="D53" s="19">
        <f t="shared" ref="D53:P53" si="3">D49*8</f>
        <v>40</v>
      </c>
      <c r="E53" s="19">
        <f t="shared" si="3"/>
        <v>46</v>
      </c>
      <c r="F53" s="19">
        <f t="shared" si="3"/>
        <v>55.2</v>
      </c>
      <c r="G53" s="19">
        <f t="shared" si="3"/>
        <v>133.4</v>
      </c>
      <c r="H53" s="19">
        <f t="shared" si="3"/>
        <v>0</v>
      </c>
      <c r="I53" s="19">
        <f t="shared" si="3"/>
        <v>32.200000000000003</v>
      </c>
      <c r="J53" s="19">
        <f t="shared" si="3"/>
        <v>0</v>
      </c>
      <c r="K53" s="19">
        <f t="shared" si="3"/>
        <v>0</v>
      </c>
      <c r="L53" s="19">
        <f t="shared" si="3"/>
        <v>69</v>
      </c>
      <c r="M53" s="19">
        <f t="shared" si="3"/>
        <v>18.399999999999999</v>
      </c>
      <c r="N53" s="19">
        <f t="shared" si="3"/>
        <v>0</v>
      </c>
      <c r="O53" s="19">
        <f t="shared" si="3"/>
        <v>0</v>
      </c>
      <c r="P53" s="19">
        <f t="shared" si="3"/>
        <v>0</v>
      </c>
      <c r="R53" s="19">
        <f>R49*8</f>
        <v>119.6</v>
      </c>
      <c r="S53" s="19">
        <f>S49*8</f>
        <v>9.1999999999999993</v>
      </c>
      <c r="T53" s="19">
        <f>T49*8</f>
        <v>9.1999999999999993</v>
      </c>
      <c r="W53" s="19">
        <f>W49*8</f>
        <v>0</v>
      </c>
      <c r="X53" s="19">
        <f>X49*8</f>
        <v>0</v>
      </c>
      <c r="AC53" s="19">
        <f>AC49*8</f>
        <v>0</v>
      </c>
      <c r="AD53" s="19">
        <f>AD49*8</f>
        <v>0</v>
      </c>
      <c r="AE53" s="19">
        <f>AE49*8</f>
        <v>0</v>
      </c>
      <c r="AJ53" s="19">
        <f>AJ49*8</f>
        <v>0</v>
      </c>
      <c r="AK53" s="19">
        <f>AK49*8</f>
        <v>0</v>
      </c>
      <c r="AL53" s="19">
        <f>AL49*8</f>
        <v>0</v>
      </c>
      <c r="AQ53" s="19">
        <f>AQ49*8</f>
        <v>0</v>
      </c>
      <c r="AR53" s="19">
        <f>AR49*8</f>
        <v>0</v>
      </c>
      <c r="AS53" s="19">
        <f>AS49*8</f>
        <v>0</v>
      </c>
      <c r="AX53" s="19">
        <f>AX49*8</f>
        <v>0</v>
      </c>
      <c r="AY53" s="19">
        <f>AY49*8</f>
        <v>0</v>
      </c>
    </row>
    <row r="55" spans="2:54" ht="61.5">
      <c r="C55" s="228" t="s">
        <v>126</v>
      </c>
      <c r="D55" s="19" t="s">
        <v>127</v>
      </c>
      <c r="E55" s="19" t="s">
        <v>128</v>
      </c>
      <c r="F55" s="19" t="s">
        <v>129</v>
      </c>
      <c r="G55" s="19" t="s">
        <v>130</v>
      </c>
      <c r="H55" s="19" t="s">
        <v>131</v>
      </c>
      <c r="J55" s="693" t="s">
        <v>132</v>
      </c>
      <c r="K55" s="693" t="s">
        <v>133</v>
      </c>
      <c r="L55" s="693" t="s">
        <v>134</v>
      </c>
      <c r="M55" s="693" t="s">
        <v>135</v>
      </c>
      <c r="N55" s="693" t="s">
        <v>136</v>
      </c>
      <c r="P55" s="20"/>
      <c r="Q55" s="693" t="s">
        <v>132</v>
      </c>
      <c r="R55" s="693" t="s">
        <v>133</v>
      </c>
      <c r="S55" s="693" t="s">
        <v>134</v>
      </c>
      <c r="T55" s="693" t="s">
        <v>134</v>
      </c>
      <c r="U55" s="693" t="s">
        <v>135</v>
      </c>
      <c r="V55" s="693" t="s">
        <v>136</v>
      </c>
      <c r="W55" s="20"/>
      <c r="X55" s="693" t="s">
        <v>132</v>
      </c>
      <c r="Y55" s="693" t="s">
        <v>133</v>
      </c>
      <c r="Z55" s="693" t="s">
        <v>134</v>
      </c>
      <c r="AA55" s="693" t="s">
        <v>135</v>
      </c>
      <c r="AB55" s="693" t="s">
        <v>136</v>
      </c>
      <c r="AC55" s="20"/>
      <c r="AD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</row>
    <row r="56" spans="2:54" ht="43">
      <c r="D56" s="19" t="s">
        <v>137</v>
      </c>
      <c r="E56" s="19" t="s">
        <v>138</v>
      </c>
      <c r="F56" s="19">
        <v>20</v>
      </c>
      <c r="G56" s="694">
        <v>8500</v>
      </c>
      <c r="H56" s="694">
        <f t="shared" ref="H56:H73" si="4">F56*G56</f>
        <v>170000</v>
      </c>
      <c r="J56" s="60" t="s">
        <v>139</v>
      </c>
      <c r="K56" s="60" t="s">
        <v>140</v>
      </c>
      <c r="L56" s="692">
        <v>17</v>
      </c>
      <c r="M56" s="694">
        <v>8500</v>
      </c>
      <c r="N56" s="694">
        <f t="shared" ref="N56:N73" si="5">L56*M56</f>
        <v>144500</v>
      </c>
      <c r="P56" s="20"/>
      <c r="Q56" s="60" t="s">
        <v>139</v>
      </c>
      <c r="R56" s="60" t="s">
        <v>140</v>
      </c>
      <c r="S56" s="60">
        <v>17</v>
      </c>
      <c r="T56" s="60">
        <v>17</v>
      </c>
      <c r="U56" s="695">
        <v>8500</v>
      </c>
      <c r="V56" s="695">
        <f t="shared" ref="V56:V72" si="6">T56*U56</f>
        <v>144500</v>
      </c>
      <c r="W56" s="20"/>
      <c r="X56" s="696" t="s">
        <v>139</v>
      </c>
      <c r="Y56" s="696" t="s">
        <v>140</v>
      </c>
      <c r="Z56" s="60">
        <v>17</v>
      </c>
      <c r="AA56" s="695">
        <v>8500</v>
      </c>
      <c r="AB56" s="695">
        <v>144500</v>
      </c>
      <c r="AC56" s="20"/>
      <c r="AD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</row>
    <row r="57" spans="2:54" ht="13.5" customHeight="1">
      <c r="D57" s="19" t="s">
        <v>141</v>
      </c>
      <c r="E57" s="19" t="s">
        <v>142</v>
      </c>
      <c r="F57" s="19">
        <v>37.5</v>
      </c>
      <c r="G57" s="694">
        <v>8500</v>
      </c>
      <c r="H57" s="694">
        <f t="shared" si="4"/>
        <v>318750</v>
      </c>
      <c r="J57" s="60" t="s">
        <v>143</v>
      </c>
      <c r="K57" s="60" t="s">
        <v>144</v>
      </c>
      <c r="L57" s="692">
        <v>29</v>
      </c>
      <c r="M57" s="694">
        <v>8500</v>
      </c>
      <c r="N57" s="694">
        <f t="shared" si="5"/>
        <v>246500</v>
      </c>
      <c r="P57" s="20"/>
      <c r="Q57" s="60" t="s">
        <v>143</v>
      </c>
      <c r="R57" s="60" t="s">
        <v>144</v>
      </c>
      <c r="S57" s="60">
        <v>29</v>
      </c>
      <c r="T57" s="60">
        <v>29</v>
      </c>
      <c r="U57" s="695">
        <v>8500</v>
      </c>
      <c r="V57" s="695">
        <f t="shared" si="6"/>
        <v>246500</v>
      </c>
      <c r="W57" s="20"/>
      <c r="X57" s="696" t="s">
        <v>143</v>
      </c>
      <c r="Y57" s="696" t="s">
        <v>144</v>
      </c>
      <c r="Z57" s="60">
        <v>29</v>
      </c>
      <c r="AA57" s="695">
        <v>8500</v>
      </c>
      <c r="AB57" s="695">
        <v>246500</v>
      </c>
      <c r="AC57" s="20"/>
      <c r="AD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</row>
    <row r="58" spans="2:54" ht="13.5" customHeight="1">
      <c r="D58" s="19" t="s">
        <v>141</v>
      </c>
      <c r="E58" s="19" t="s">
        <v>5</v>
      </c>
      <c r="F58" s="19">
        <v>13.5</v>
      </c>
      <c r="G58" s="694">
        <v>14000</v>
      </c>
      <c r="H58" s="694">
        <f t="shared" si="4"/>
        <v>189000</v>
      </c>
      <c r="J58" s="60" t="s">
        <v>145</v>
      </c>
      <c r="K58" s="60" t="s">
        <v>146</v>
      </c>
      <c r="L58" s="692">
        <v>12</v>
      </c>
      <c r="M58" s="694">
        <v>14000</v>
      </c>
      <c r="N58" s="694">
        <f t="shared" si="5"/>
        <v>168000</v>
      </c>
      <c r="P58" s="20"/>
      <c r="Q58" s="60" t="s">
        <v>145</v>
      </c>
      <c r="R58" s="60" t="s">
        <v>146</v>
      </c>
      <c r="S58" s="60">
        <v>12</v>
      </c>
      <c r="T58" s="60">
        <v>12</v>
      </c>
      <c r="U58" s="695">
        <v>14000</v>
      </c>
      <c r="V58" s="695">
        <f t="shared" si="6"/>
        <v>168000</v>
      </c>
      <c r="W58" s="20"/>
      <c r="X58" s="696" t="s">
        <v>145</v>
      </c>
      <c r="Y58" s="696" t="s">
        <v>146</v>
      </c>
      <c r="Z58" s="60">
        <v>12</v>
      </c>
      <c r="AA58" s="695">
        <v>14000</v>
      </c>
      <c r="AB58" s="695">
        <v>168000</v>
      </c>
      <c r="AC58" s="20"/>
      <c r="AD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</row>
    <row r="59" spans="2:54" ht="13.5" customHeight="1">
      <c r="D59" s="19" t="s">
        <v>141</v>
      </c>
      <c r="E59" s="19" t="s">
        <v>108</v>
      </c>
      <c r="F59" s="19">
        <v>35</v>
      </c>
      <c r="G59" s="694">
        <v>14000</v>
      </c>
      <c r="H59" s="694">
        <f t="shared" si="4"/>
        <v>490000</v>
      </c>
      <c r="J59" s="60" t="s">
        <v>147</v>
      </c>
      <c r="K59" s="60" t="s">
        <v>148</v>
      </c>
      <c r="L59" s="692">
        <v>33</v>
      </c>
      <c r="M59" s="694">
        <v>14000</v>
      </c>
      <c r="N59" s="694">
        <f t="shared" si="5"/>
        <v>462000</v>
      </c>
      <c r="P59" s="20"/>
      <c r="Q59" s="60" t="s">
        <v>147</v>
      </c>
      <c r="R59" s="60" t="s">
        <v>148</v>
      </c>
      <c r="S59" s="60">
        <v>33</v>
      </c>
      <c r="T59" s="60">
        <v>33</v>
      </c>
      <c r="U59" s="695">
        <v>14000</v>
      </c>
      <c r="V59" s="695">
        <f t="shared" si="6"/>
        <v>462000</v>
      </c>
      <c r="W59" s="20"/>
      <c r="X59" s="696" t="s">
        <v>147</v>
      </c>
      <c r="Y59" s="696" t="s">
        <v>148</v>
      </c>
      <c r="Z59" s="60">
        <v>33</v>
      </c>
      <c r="AA59" s="695">
        <v>14000</v>
      </c>
      <c r="AB59" s="695">
        <v>462000</v>
      </c>
      <c r="AC59" s="20"/>
      <c r="AD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</row>
    <row r="60" spans="2:54" ht="13.5" customHeight="1">
      <c r="D60" s="19" t="s">
        <v>141</v>
      </c>
      <c r="E60" s="690" t="s">
        <v>7</v>
      </c>
      <c r="F60" s="19">
        <v>13</v>
      </c>
      <c r="G60" s="694">
        <v>8500</v>
      </c>
      <c r="H60" s="694">
        <f t="shared" si="4"/>
        <v>110500</v>
      </c>
      <c r="J60" s="60" t="s">
        <v>149</v>
      </c>
      <c r="K60" s="60" t="s">
        <v>150</v>
      </c>
      <c r="L60" s="692">
        <v>13</v>
      </c>
      <c r="M60" s="694">
        <v>8500</v>
      </c>
      <c r="N60" s="694">
        <f t="shared" si="5"/>
        <v>110500</v>
      </c>
      <c r="P60" s="20"/>
      <c r="Q60" s="60" t="s">
        <v>149</v>
      </c>
      <c r="R60" s="60" t="s">
        <v>150</v>
      </c>
      <c r="S60" s="60">
        <v>13</v>
      </c>
      <c r="T60" s="60">
        <v>13</v>
      </c>
      <c r="U60" s="695">
        <v>8500</v>
      </c>
      <c r="V60" s="695">
        <f t="shared" si="6"/>
        <v>110500</v>
      </c>
      <c r="W60" s="20"/>
      <c r="X60" s="696" t="s">
        <v>149</v>
      </c>
      <c r="Y60" s="696" t="s">
        <v>150</v>
      </c>
      <c r="Z60" s="60">
        <v>13</v>
      </c>
      <c r="AA60" s="695">
        <v>8500</v>
      </c>
      <c r="AB60" s="695">
        <v>110500</v>
      </c>
      <c r="AC60" s="20"/>
      <c r="AD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</row>
    <row r="61" spans="2:54" ht="13.5" customHeight="1">
      <c r="D61" s="19" t="s">
        <v>60</v>
      </c>
      <c r="E61" s="691" t="s">
        <v>71</v>
      </c>
      <c r="F61" s="19">
        <v>17</v>
      </c>
      <c r="G61" s="694">
        <v>14000</v>
      </c>
      <c r="H61" s="694">
        <f t="shared" si="4"/>
        <v>238000</v>
      </c>
      <c r="J61" s="60" t="s">
        <v>151</v>
      </c>
      <c r="K61" s="60" t="s">
        <v>152</v>
      </c>
      <c r="L61" s="692">
        <v>16</v>
      </c>
      <c r="M61" s="694">
        <v>14000</v>
      </c>
      <c r="N61" s="694">
        <f t="shared" si="5"/>
        <v>224000</v>
      </c>
      <c r="P61" s="20"/>
      <c r="Q61" s="60" t="s">
        <v>182</v>
      </c>
      <c r="R61" s="60" t="s">
        <v>152</v>
      </c>
      <c r="S61" s="60">
        <v>16</v>
      </c>
      <c r="T61" s="60">
        <v>16</v>
      </c>
      <c r="U61" s="695">
        <v>14000</v>
      </c>
      <c r="V61" s="695">
        <f t="shared" si="6"/>
        <v>224000</v>
      </c>
      <c r="W61" s="20"/>
      <c r="X61" s="696" t="s">
        <v>182</v>
      </c>
      <c r="Y61" s="696" t="s">
        <v>152</v>
      </c>
      <c r="Z61" s="60">
        <v>16</v>
      </c>
      <c r="AA61" s="695">
        <v>14000</v>
      </c>
      <c r="AB61" s="695">
        <v>224000</v>
      </c>
      <c r="AC61" s="20"/>
      <c r="AD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</row>
    <row r="62" spans="2:54" ht="13.5" customHeight="1">
      <c r="D62" s="19" t="s">
        <v>60</v>
      </c>
      <c r="E62" s="19" t="s">
        <v>153</v>
      </c>
      <c r="F62" s="19">
        <v>5</v>
      </c>
      <c r="G62" s="694">
        <v>7500</v>
      </c>
      <c r="H62" s="694">
        <f t="shared" si="4"/>
        <v>37500</v>
      </c>
      <c r="J62" s="19" t="s">
        <v>154</v>
      </c>
      <c r="K62" s="19" t="s">
        <v>153</v>
      </c>
      <c r="L62" s="692">
        <v>5</v>
      </c>
      <c r="M62" s="694">
        <v>7500</v>
      </c>
      <c r="N62" s="694">
        <f t="shared" si="5"/>
        <v>37500</v>
      </c>
      <c r="P62" s="20"/>
      <c r="Q62" s="60" t="s">
        <v>154</v>
      </c>
      <c r="R62" s="60" t="s">
        <v>153</v>
      </c>
      <c r="S62" s="60">
        <v>5</v>
      </c>
      <c r="T62" s="60">
        <v>5</v>
      </c>
      <c r="U62" s="695">
        <v>7500</v>
      </c>
      <c r="V62" s="695">
        <f t="shared" si="6"/>
        <v>37500</v>
      </c>
      <c r="W62" s="20"/>
      <c r="X62" s="696" t="s">
        <v>154</v>
      </c>
      <c r="Y62" s="696" t="s">
        <v>153</v>
      </c>
      <c r="Z62" s="60">
        <v>5</v>
      </c>
      <c r="AA62" s="695">
        <v>7500</v>
      </c>
      <c r="AB62" s="695">
        <v>37500</v>
      </c>
      <c r="AC62" s="20"/>
      <c r="AD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</row>
    <row r="63" spans="2:54" ht="13.5" customHeight="1">
      <c r="D63" s="19" t="s">
        <v>155</v>
      </c>
      <c r="E63" s="19" t="s">
        <v>74</v>
      </c>
      <c r="F63" s="19">
        <v>0.5</v>
      </c>
      <c r="G63" s="694">
        <v>14000</v>
      </c>
      <c r="H63" s="694">
        <f t="shared" si="4"/>
        <v>7000</v>
      </c>
      <c r="J63" s="60" t="s">
        <v>156</v>
      </c>
      <c r="K63" s="60" t="s">
        <v>157</v>
      </c>
      <c r="L63" s="692">
        <v>1</v>
      </c>
      <c r="M63" s="694">
        <v>14000</v>
      </c>
      <c r="N63" s="694">
        <f t="shared" si="5"/>
        <v>14000</v>
      </c>
      <c r="P63" s="20"/>
      <c r="Q63" s="60" t="s">
        <v>156</v>
      </c>
      <c r="R63" s="60" t="s">
        <v>157</v>
      </c>
      <c r="S63" s="60">
        <v>1</v>
      </c>
      <c r="T63" s="60">
        <v>1</v>
      </c>
      <c r="U63" s="695">
        <v>14000</v>
      </c>
      <c r="V63" s="695">
        <f t="shared" si="6"/>
        <v>14000</v>
      </c>
      <c r="W63" s="20"/>
      <c r="X63" s="696" t="s">
        <v>156</v>
      </c>
      <c r="Y63" s="696" t="s">
        <v>157</v>
      </c>
      <c r="Z63" s="60">
        <v>1</v>
      </c>
      <c r="AA63" s="695">
        <v>14000</v>
      </c>
      <c r="AB63" s="695">
        <v>14000</v>
      </c>
      <c r="AC63" s="20"/>
      <c r="AD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</row>
    <row r="64" spans="2:54" ht="13.5" customHeight="1">
      <c r="D64" s="19" t="s">
        <v>155</v>
      </c>
      <c r="E64" s="19" t="s">
        <v>142</v>
      </c>
      <c r="F64" s="19">
        <v>0.75</v>
      </c>
      <c r="G64" s="694">
        <v>8500</v>
      </c>
      <c r="H64" s="694">
        <f t="shared" si="4"/>
        <v>6375</v>
      </c>
      <c r="J64" s="60" t="s">
        <v>158</v>
      </c>
      <c r="K64" s="60" t="s">
        <v>150</v>
      </c>
      <c r="L64" s="692">
        <v>1</v>
      </c>
      <c r="M64" s="694">
        <v>8500</v>
      </c>
      <c r="N64" s="694">
        <f t="shared" si="5"/>
        <v>8500</v>
      </c>
      <c r="P64" s="20"/>
      <c r="Q64" s="60" t="s">
        <v>158</v>
      </c>
      <c r="R64" s="60" t="s">
        <v>150</v>
      </c>
      <c r="S64" s="60">
        <v>1</v>
      </c>
      <c r="T64" s="60">
        <v>1</v>
      </c>
      <c r="U64" s="695">
        <v>8500</v>
      </c>
      <c r="V64" s="695">
        <f t="shared" si="6"/>
        <v>8500</v>
      </c>
      <c r="W64" s="20"/>
      <c r="X64" s="696" t="s">
        <v>158</v>
      </c>
      <c r="Y64" s="696" t="s">
        <v>150</v>
      </c>
      <c r="Z64" s="60">
        <v>1</v>
      </c>
      <c r="AA64" s="695">
        <v>8500</v>
      </c>
      <c r="AB64" s="695">
        <v>8500</v>
      </c>
      <c r="AC64" s="20"/>
      <c r="AD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</row>
    <row r="65" spans="4:52" ht="13.5" customHeight="1">
      <c r="D65" s="19" t="s">
        <v>63</v>
      </c>
      <c r="E65" s="19" t="s">
        <v>142</v>
      </c>
      <c r="F65" s="19">
        <v>0.5</v>
      </c>
      <c r="G65" s="694">
        <v>8500</v>
      </c>
      <c r="H65" s="694">
        <f t="shared" si="4"/>
        <v>4250</v>
      </c>
      <c r="J65" s="60" t="s">
        <v>159</v>
      </c>
      <c r="K65" s="60" t="s">
        <v>150</v>
      </c>
      <c r="L65" s="692">
        <v>1</v>
      </c>
      <c r="M65" s="694">
        <v>8500</v>
      </c>
      <c r="N65" s="694">
        <f t="shared" si="5"/>
        <v>8500</v>
      </c>
      <c r="P65" s="20"/>
      <c r="Q65" s="60" t="s">
        <v>159</v>
      </c>
      <c r="R65" s="60" t="s">
        <v>150</v>
      </c>
      <c r="S65" s="60">
        <v>2</v>
      </c>
      <c r="T65" s="60">
        <v>2</v>
      </c>
      <c r="U65" s="695">
        <v>8500</v>
      </c>
      <c r="V65" s="695">
        <f t="shared" si="6"/>
        <v>17000</v>
      </c>
      <c r="W65" s="20"/>
      <c r="X65" s="696" t="s">
        <v>159</v>
      </c>
      <c r="Y65" s="696" t="s">
        <v>150</v>
      </c>
      <c r="Z65" s="60">
        <v>2</v>
      </c>
      <c r="AA65" s="695">
        <v>8500</v>
      </c>
      <c r="AB65" s="695">
        <v>17000</v>
      </c>
      <c r="AC65" s="20"/>
      <c r="AD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</row>
    <row r="66" spans="4:52" ht="13.5" customHeight="1">
      <c r="D66" s="19" t="s">
        <v>64</v>
      </c>
      <c r="E66" s="19" t="s">
        <v>142</v>
      </c>
      <c r="F66" s="19">
        <v>0.75</v>
      </c>
      <c r="G66" s="694">
        <v>8500</v>
      </c>
      <c r="H66" s="694">
        <f t="shared" si="4"/>
        <v>6375</v>
      </c>
      <c r="J66" s="60" t="s">
        <v>159</v>
      </c>
      <c r="K66" s="60" t="s">
        <v>150</v>
      </c>
      <c r="L66" s="692">
        <v>1</v>
      </c>
      <c r="M66" s="694">
        <v>8500</v>
      </c>
      <c r="N66" s="694">
        <f t="shared" si="5"/>
        <v>8500</v>
      </c>
      <c r="P66" s="20"/>
      <c r="Q66" s="60" t="s">
        <v>162</v>
      </c>
      <c r="R66" s="60" t="s">
        <v>163</v>
      </c>
      <c r="S66" s="60">
        <v>1</v>
      </c>
      <c r="T66" s="60">
        <v>1</v>
      </c>
      <c r="U66" s="695">
        <v>8500</v>
      </c>
      <c r="V66" s="695">
        <f t="shared" si="6"/>
        <v>8500</v>
      </c>
      <c r="W66" s="20"/>
      <c r="X66" s="696" t="s">
        <v>162</v>
      </c>
      <c r="Y66" s="696" t="s">
        <v>163</v>
      </c>
      <c r="Z66" s="60">
        <v>1</v>
      </c>
      <c r="AA66" s="695">
        <v>8500</v>
      </c>
      <c r="AB66" s="695">
        <v>8500</v>
      </c>
      <c r="AC66" s="20"/>
      <c r="AD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</row>
    <row r="67" spans="4:52" ht="13.5" customHeight="1">
      <c r="D67" s="19" t="s">
        <v>160</v>
      </c>
      <c r="E67" s="19" t="s">
        <v>161</v>
      </c>
      <c r="F67" s="19">
        <v>0.5</v>
      </c>
      <c r="G67" s="694">
        <v>8500</v>
      </c>
      <c r="H67" s="694">
        <f t="shared" si="4"/>
        <v>4250</v>
      </c>
      <c r="J67" s="60" t="s">
        <v>162</v>
      </c>
      <c r="K67" s="60" t="s">
        <v>163</v>
      </c>
      <c r="L67" s="692">
        <v>1</v>
      </c>
      <c r="M67" s="694">
        <v>8500</v>
      </c>
      <c r="N67" s="694">
        <f t="shared" si="5"/>
        <v>8500</v>
      </c>
      <c r="P67" s="20"/>
      <c r="Q67" s="60" t="s">
        <v>165</v>
      </c>
      <c r="R67" s="60" t="s">
        <v>144</v>
      </c>
      <c r="S67" s="60">
        <v>1</v>
      </c>
      <c r="T67" s="60">
        <v>1</v>
      </c>
      <c r="U67" s="695">
        <v>8500</v>
      </c>
      <c r="V67" s="695">
        <f t="shared" si="6"/>
        <v>8500</v>
      </c>
      <c r="W67" s="20"/>
      <c r="X67" s="696" t="s">
        <v>165</v>
      </c>
      <c r="Y67" s="696" t="s">
        <v>144</v>
      </c>
      <c r="Z67" s="60">
        <v>1</v>
      </c>
      <c r="AA67" s="695">
        <v>8500</v>
      </c>
      <c r="AB67" s="695">
        <v>8500</v>
      </c>
      <c r="AC67" s="20"/>
      <c r="AD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</row>
    <row r="68" spans="4:52" ht="13.5" customHeight="1">
      <c r="D68" s="19" t="s">
        <v>164</v>
      </c>
      <c r="E68" s="19" t="s">
        <v>142</v>
      </c>
      <c r="F68" s="19">
        <v>0.5</v>
      </c>
      <c r="G68" s="694">
        <v>8500</v>
      </c>
      <c r="H68" s="694">
        <f t="shared" si="4"/>
        <v>4250</v>
      </c>
      <c r="J68" s="60" t="s">
        <v>165</v>
      </c>
      <c r="K68" s="60" t="s">
        <v>144</v>
      </c>
      <c r="L68" s="692">
        <v>1</v>
      </c>
      <c r="M68" s="694">
        <v>8500</v>
      </c>
      <c r="N68" s="694">
        <f t="shared" si="5"/>
        <v>8500</v>
      </c>
      <c r="P68" s="20"/>
      <c r="Q68" s="60" t="s">
        <v>167</v>
      </c>
      <c r="R68" s="60" t="s">
        <v>168</v>
      </c>
      <c r="S68" s="60">
        <v>5</v>
      </c>
      <c r="T68" s="60">
        <v>5</v>
      </c>
      <c r="U68" s="695">
        <v>8500</v>
      </c>
      <c r="V68" s="695">
        <f t="shared" si="6"/>
        <v>42500</v>
      </c>
      <c r="W68" s="20"/>
      <c r="X68" s="696" t="s">
        <v>167</v>
      </c>
      <c r="Y68" s="696" t="s">
        <v>168</v>
      </c>
      <c r="Z68" s="60">
        <v>5</v>
      </c>
      <c r="AA68" s="695">
        <v>8500</v>
      </c>
      <c r="AB68" s="695">
        <v>42500</v>
      </c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</row>
    <row r="69" spans="4:52" ht="13.5" customHeight="1">
      <c r="D69" s="19" t="s">
        <v>137</v>
      </c>
      <c r="E69" s="19" t="s">
        <v>166</v>
      </c>
      <c r="F69" s="19">
        <v>6</v>
      </c>
      <c r="G69" s="694">
        <v>8500</v>
      </c>
      <c r="H69" s="694">
        <f t="shared" si="4"/>
        <v>51000</v>
      </c>
      <c r="J69" s="60" t="s">
        <v>167</v>
      </c>
      <c r="K69" s="60" t="s">
        <v>168</v>
      </c>
      <c r="L69" s="692">
        <v>5</v>
      </c>
      <c r="M69" s="694">
        <v>8500</v>
      </c>
      <c r="N69" s="694">
        <f t="shared" si="5"/>
        <v>42500</v>
      </c>
      <c r="P69" s="20"/>
      <c r="Q69" s="60" t="s">
        <v>170</v>
      </c>
      <c r="R69" s="60" t="s">
        <v>171</v>
      </c>
      <c r="S69" s="60">
        <v>1</v>
      </c>
      <c r="T69" s="60">
        <v>1</v>
      </c>
      <c r="U69" s="695">
        <v>14000</v>
      </c>
      <c r="V69" s="695">
        <f t="shared" si="6"/>
        <v>14000</v>
      </c>
      <c r="W69" s="20"/>
      <c r="X69" s="696" t="s">
        <v>170</v>
      </c>
      <c r="Y69" s="696" t="s">
        <v>171</v>
      </c>
      <c r="Z69" s="60">
        <v>1</v>
      </c>
      <c r="AA69" s="695">
        <v>14000</v>
      </c>
      <c r="AB69" s="695">
        <v>14000</v>
      </c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</row>
    <row r="70" spans="4:52" ht="13.5" customHeight="1">
      <c r="D70" s="19" t="s">
        <v>137</v>
      </c>
      <c r="E70" s="19" t="s">
        <v>169</v>
      </c>
      <c r="F70" s="19">
        <v>0.5</v>
      </c>
      <c r="G70" s="694">
        <v>14000</v>
      </c>
      <c r="H70" s="694">
        <f t="shared" si="4"/>
        <v>7000</v>
      </c>
      <c r="J70" s="60" t="s">
        <v>170</v>
      </c>
      <c r="K70" s="60" t="s">
        <v>171</v>
      </c>
      <c r="L70" s="692">
        <v>1</v>
      </c>
      <c r="M70" s="694">
        <v>14000</v>
      </c>
      <c r="N70" s="694">
        <f t="shared" si="5"/>
        <v>14000</v>
      </c>
      <c r="P70" s="20"/>
      <c r="Q70" s="60" t="s">
        <v>173</v>
      </c>
      <c r="R70" s="60" t="s">
        <v>174</v>
      </c>
      <c r="S70" s="60">
        <v>3</v>
      </c>
      <c r="T70" s="60">
        <v>3</v>
      </c>
      <c r="U70" s="695">
        <v>8500</v>
      </c>
      <c r="V70" s="695">
        <f t="shared" si="6"/>
        <v>25500</v>
      </c>
      <c r="W70" s="20"/>
      <c r="X70" s="696" t="s">
        <v>173</v>
      </c>
      <c r="Y70" s="696" t="s">
        <v>174</v>
      </c>
      <c r="Z70" s="60">
        <v>3</v>
      </c>
      <c r="AA70" s="695">
        <v>8500</v>
      </c>
      <c r="AB70" s="695">
        <v>25500</v>
      </c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</row>
    <row r="71" spans="4:52" ht="13.5" customHeight="1">
      <c r="D71" s="19" t="s">
        <v>137</v>
      </c>
      <c r="E71" s="19" t="s">
        <v>172</v>
      </c>
      <c r="F71" s="19">
        <v>3</v>
      </c>
      <c r="G71" s="694">
        <v>8500</v>
      </c>
      <c r="H71" s="694">
        <f t="shared" si="4"/>
        <v>25500</v>
      </c>
      <c r="J71" s="19" t="s">
        <v>173</v>
      </c>
      <c r="K71" s="19" t="s">
        <v>174</v>
      </c>
      <c r="L71" s="692">
        <v>3</v>
      </c>
      <c r="M71" s="694">
        <v>8500</v>
      </c>
      <c r="N71" s="694">
        <f t="shared" si="5"/>
        <v>25500</v>
      </c>
      <c r="P71" s="20"/>
      <c r="Q71" s="60" t="s">
        <v>175</v>
      </c>
      <c r="R71" s="60" t="s">
        <v>176</v>
      </c>
      <c r="S71" s="60">
        <v>2</v>
      </c>
      <c r="T71" s="60">
        <v>2</v>
      </c>
      <c r="U71" s="695">
        <v>8500</v>
      </c>
      <c r="V71" s="695">
        <f t="shared" si="6"/>
        <v>17000</v>
      </c>
      <c r="W71" s="20"/>
      <c r="X71" s="696" t="s">
        <v>175</v>
      </c>
      <c r="Y71" s="696" t="s">
        <v>176</v>
      </c>
      <c r="Z71" s="60">
        <v>2</v>
      </c>
      <c r="AA71" s="695">
        <v>8500</v>
      </c>
      <c r="AB71" s="695">
        <v>17000</v>
      </c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</row>
    <row r="72" spans="4:52" ht="13.5" customHeight="1">
      <c r="D72" s="19" t="s">
        <v>137</v>
      </c>
      <c r="E72" s="19" t="s">
        <v>35</v>
      </c>
      <c r="F72" s="19">
        <v>2</v>
      </c>
      <c r="G72" s="694">
        <v>8500</v>
      </c>
      <c r="H72" s="694">
        <f t="shared" si="4"/>
        <v>17000</v>
      </c>
      <c r="J72" s="697" t="s">
        <v>175</v>
      </c>
      <c r="K72" s="697" t="s">
        <v>176</v>
      </c>
      <c r="L72" s="692">
        <v>2</v>
      </c>
      <c r="M72" s="694">
        <v>8500</v>
      </c>
      <c r="N72" s="694">
        <f t="shared" si="5"/>
        <v>17000</v>
      </c>
      <c r="P72" s="20"/>
      <c r="Q72" s="60" t="s">
        <v>183</v>
      </c>
      <c r="R72" s="60" t="s">
        <v>178</v>
      </c>
      <c r="S72" s="60">
        <v>3</v>
      </c>
      <c r="T72" s="60">
        <v>3</v>
      </c>
      <c r="U72" s="695">
        <v>8500</v>
      </c>
      <c r="V72" s="695">
        <f t="shared" si="6"/>
        <v>25500</v>
      </c>
      <c r="W72" s="20"/>
      <c r="X72" s="696" t="s">
        <v>183</v>
      </c>
      <c r="Y72" s="696" t="s">
        <v>178</v>
      </c>
      <c r="Z72" s="60">
        <v>3</v>
      </c>
      <c r="AA72" s="695">
        <v>8500</v>
      </c>
      <c r="AB72" s="695">
        <v>25500</v>
      </c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</row>
    <row r="73" spans="4:52" ht="21.65" customHeight="1">
      <c r="D73" s="19" t="s">
        <v>137</v>
      </c>
      <c r="E73" s="19" t="s">
        <v>11</v>
      </c>
      <c r="F73" s="19">
        <v>3</v>
      </c>
      <c r="G73" s="694">
        <v>8500</v>
      </c>
      <c r="H73" s="694">
        <f t="shared" si="4"/>
        <v>25500</v>
      </c>
      <c r="J73" s="697" t="s">
        <v>177</v>
      </c>
      <c r="K73" s="60" t="s">
        <v>178</v>
      </c>
      <c r="L73" s="692">
        <v>3</v>
      </c>
      <c r="M73" s="694">
        <v>8500</v>
      </c>
      <c r="N73" s="694">
        <f t="shared" si="5"/>
        <v>25500</v>
      </c>
      <c r="P73" s="20"/>
      <c r="Q73" s="1073" t="s">
        <v>184</v>
      </c>
      <c r="R73" s="1073"/>
      <c r="S73" s="60">
        <v>145</v>
      </c>
      <c r="T73" s="60">
        <v>145</v>
      </c>
      <c r="U73" s="698"/>
      <c r="V73" s="695">
        <f>SUM(V56:V72)</f>
        <v>1574000</v>
      </c>
      <c r="W73" s="20"/>
      <c r="X73" s="1073" t="s">
        <v>184</v>
      </c>
      <c r="Y73" s="1073"/>
      <c r="Z73" s="60">
        <v>145</v>
      </c>
      <c r="AA73" s="698"/>
      <c r="AB73" s="695">
        <v>1574000</v>
      </c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</row>
    <row r="74" spans="4:52" ht="13.5" customHeight="1">
      <c r="F74" s="507">
        <f>SUM(F56:F73)</f>
        <v>159</v>
      </c>
      <c r="G74" s="694"/>
      <c r="H74" s="699">
        <f>SUM(H56:H73)</f>
        <v>1712250</v>
      </c>
      <c r="L74" s="568">
        <f>SUM(L56:L73)</f>
        <v>145</v>
      </c>
      <c r="M74" s="694"/>
      <c r="N74" s="699">
        <f>SUM(N56:N73)</f>
        <v>1574000</v>
      </c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</row>
    <row r="75" spans="4:52" ht="13.5" customHeight="1">
      <c r="H75" s="512">
        <f>H74-AZ51</f>
        <v>577250</v>
      </c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</row>
    <row r="76" spans="4:52" ht="19" customHeight="1"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</row>
    <row r="77" spans="4:52" ht="13.5" customHeight="1">
      <c r="N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</row>
    <row r="78" spans="4:52" ht="13.5" customHeight="1">
      <c r="N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</row>
    <row r="79" spans="4:52" ht="13.5" customHeight="1">
      <c r="N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</row>
    <row r="80" spans="4:52" ht="13.5" customHeight="1">
      <c r="N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</row>
    <row r="81" spans="13:52" ht="13.5" customHeight="1">
      <c r="N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</row>
    <row r="82" spans="13:52" ht="13.5" customHeight="1">
      <c r="N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</row>
    <row r="83" spans="13:52" ht="13.5" customHeight="1"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</row>
    <row r="84" spans="13:52" ht="13.5" customHeight="1"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</row>
    <row r="85" spans="13:52" ht="13.5" customHeight="1"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</row>
    <row r="86" spans="13:52" ht="13.5" customHeight="1"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</row>
    <row r="87" spans="13:52" ht="13.5" customHeight="1"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</row>
    <row r="88" spans="13:52" ht="13.5" customHeight="1"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</row>
    <row r="89" spans="13:52" ht="13.5" customHeight="1"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</row>
    <row r="90" spans="13:52" ht="13.5" customHeight="1"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</row>
    <row r="91" spans="13:52" ht="13.5" customHeight="1">
      <c r="M91" s="513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</row>
    <row r="92" spans="13:52" ht="13.5" customHeight="1"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</row>
    <row r="93" spans="13:52" ht="13.5" customHeight="1"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</row>
    <row r="94" spans="13:52" ht="13.5" customHeight="1"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</row>
    <row r="95" spans="13:52" ht="13.5" customHeight="1"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</row>
    <row r="96" spans="13:52" ht="13.5" customHeight="1"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</row>
    <row r="97" spans="12:52" ht="13.5" customHeight="1"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</row>
    <row r="98" spans="12:52" ht="13.5" customHeight="1"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</row>
    <row r="99" spans="12:52" ht="13.5" customHeight="1"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</row>
    <row r="100" spans="12:52" ht="13.5" customHeight="1"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</row>
    <row r="101" spans="12:52" ht="13.5" customHeight="1"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</row>
    <row r="102" spans="12:52" ht="13.5" customHeight="1"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</row>
    <row r="103" spans="12:52" ht="13.5" customHeight="1"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</row>
    <row r="104" spans="12:52" ht="13.5" customHeight="1"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</row>
    <row r="105" spans="12:52" ht="13.5" customHeight="1"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</row>
    <row r="106" spans="12:52" ht="13.5" customHeight="1"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</row>
    <row r="107" spans="12:52" ht="13.5" customHeight="1">
      <c r="L107" s="513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</row>
    <row r="108" spans="12:52" ht="13.5" customHeight="1"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</row>
    <row r="109" spans="12:52" ht="13.5" customHeight="1"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</row>
    <row r="110" spans="12:52" ht="13.5" customHeight="1"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</row>
    <row r="111" spans="12:52" ht="13.5" customHeight="1"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</row>
    <row r="112" spans="12:52" ht="13.5" customHeight="1"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</row>
    <row r="113" spans="14:52" ht="13.5" customHeight="1"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</row>
    <row r="114" spans="14:52" ht="13.5" customHeight="1"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</row>
    <row r="115" spans="14:52" ht="13.5" customHeight="1"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</row>
    <row r="116" spans="14:52" ht="13.5" customHeight="1"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</row>
    <row r="117" spans="14:52" ht="13.5" customHeight="1"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</row>
    <row r="118" spans="14:52" ht="13.5" customHeight="1"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</row>
    <row r="119" spans="14:52" ht="13.5" customHeight="1"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</row>
    <row r="120" spans="14:52" ht="13.5" customHeight="1"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</row>
    <row r="121" spans="14:52" ht="13.5" customHeight="1"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</row>
    <row r="122" spans="14:52" ht="13.5" customHeight="1"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</row>
    <row r="123" spans="14:52" ht="13.5" customHeight="1"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</row>
    <row r="124" spans="14:52" ht="13.5" customHeight="1"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</row>
    <row r="125" spans="14:52" ht="13.5" customHeight="1"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</row>
    <row r="126" spans="14:52" ht="13.5" customHeight="1"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</row>
    <row r="127" spans="14:52" ht="13.5" customHeight="1"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</row>
    <row r="128" spans="14:52" ht="13.5" customHeight="1"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</row>
    <row r="129" spans="14:52" ht="13.5" customHeight="1"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</row>
    <row r="130" spans="14:52" ht="13.5" customHeight="1"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</row>
    <row r="131" spans="14:52" ht="13.5" customHeight="1"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</row>
    <row r="132" spans="14:52" ht="13.5" customHeight="1"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</row>
    <row r="133" spans="14:52" ht="13.5" customHeight="1"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</row>
    <row r="134" spans="14:52" ht="13.5" customHeight="1"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</row>
    <row r="135" spans="14:52" ht="13.5" customHeight="1"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</row>
  </sheetData>
  <mergeCells count="24">
    <mergeCell ref="Q73:R73"/>
    <mergeCell ref="X73:Y73"/>
    <mergeCell ref="G28:G29"/>
    <mergeCell ref="I28:I29"/>
    <mergeCell ref="L35:L40"/>
    <mergeCell ref="M35:M40"/>
    <mergeCell ref="F35:F40"/>
    <mergeCell ref="I35:I40"/>
    <mergeCell ref="D32:D34"/>
    <mergeCell ref="D8:D18"/>
    <mergeCell ref="D20:D23"/>
    <mergeCell ref="E20:E23"/>
    <mergeCell ref="F20:F23"/>
    <mergeCell ref="D25:D29"/>
    <mergeCell ref="E28:E29"/>
    <mergeCell ref="F28:F29"/>
    <mergeCell ref="AD1:AJ1"/>
    <mergeCell ref="AK1:AQ1"/>
    <mergeCell ref="AR1:AX1"/>
    <mergeCell ref="G20:G23"/>
    <mergeCell ref="L20:L22"/>
    <mergeCell ref="Q1:T1"/>
    <mergeCell ref="U1:V1"/>
    <mergeCell ref="W1:AC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CC179-ECF6-4748-96A9-1D852131BE18}">
  <sheetPr>
    <tabColor theme="5"/>
  </sheetPr>
  <dimension ref="A1:EE140"/>
  <sheetViews>
    <sheetView zoomScale="85" zoomScaleNormal="85" workbookViewId="0">
      <pane xSplit="5" ySplit="2" topLeftCell="AU37" activePane="bottomRight" state="frozen"/>
      <selection pane="topRight" activeCell="F1" sqref="F1"/>
      <selection pane="bottomLeft" activeCell="A3" sqref="A3"/>
      <selection pane="bottomRight" activeCell="AV58" sqref="AV58"/>
    </sheetView>
  </sheetViews>
  <sheetFormatPr defaultColWidth="8.6328125" defaultRowHeight="14.5"/>
  <cols>
    <col min="1" max="1" width="4.36328125" style="20" customWidth="1"/>
    <col min="2" max="2" width="5.08984375" style="87" customWidth="1"/>
    <col min="3" max="3" width="61.36328125" style="20" customWidth="1"/>
    <col min="4" max="4" width="9.08984375" style="20" customWidth="1"/>
    <col min="5" max="5" width="8.6328125" style="87" customWidth="1"/>
    <col min="6" max="6" width="11.90625" style="19" customWidth="1"/>
    <col min="7" max="7" width="12" style="19" customWidth="1"/>
    <col min="8" max="8" width="12.6328125" style="19" customWidth="1"/>
    <col min="9" max="9" width="14.90625" style="19" customWidth="1"/>
    <col min="10" max="10" width="16.6328125" style="19" customWidth="1"/>
    <col min="11" max="12" width="11.6328125" style="19" customWidth="1"/>
    <col min="13" max="13" width="12.6328125" style="19" customWidth="1"/>
    <col min="14" max="14" width="11.90625" style="19" customWidth="1"/>
    <col min="15" max="15" width="11.36328125" style="19" customWidth="1"/>
    <col min="16" max="16" width="14.36328125" style="19" customWidth="1"/>
    <col min="17" max="17" width="11.36328125" style="19" customWidth="1"/>
    <col min="18" max="21" width="12.6328125" style="19" customWidth="1"/>
    <col min="22" max="56" width="13.08984375" style="19" customWidth="1"/>
    <col min="57" max="57" width="32.26953125" style="19" bestFit="1" customWidth="1"/>
    <col min="58" max="58" width="17.36328125" style="19" customWidth="1"/>
    <col min="59" max="59" width="11.08984375" style="20" bestFit="1" customWidth="1"/>
    <col min="60" max="60" width="15.36328125" style="20" bestFit="1" customWidth="1"/>
    <col min="61" max="16384" width="8.6328125" style="20"/>
  </cols>
  <sheetData>
    <row r="1" spans="1:135" ht="15" customHeight="1" thickBot="1">
      <c r="B1" s="548"/>
      <c r="C1" s="549"/>
      <c r="D1" s="549"/>
      <c r="E1" s="812"/>
      <c r="F1" s="1074" t="s">
        <v>236</v>
      </c>
      <c r="G1" s="1075"/>
      <c r="H1" s="1075"/>
      <c r="I1" s="1075"/>
      <c r="J1" s="1075"/>
      <c r="K1" s="1075"/>
      <c r="L1" s="1075"/>
      <c r="M1" s="1075"/>
      <c r="N1" s="1075"/>
      <c r="O1" s="1075"/>
      <c r="P1" s="1075"/>
      <c r="Q1" s="1075"/>
      <c r="R1" s="1076"/>
      <c r="S1" s="1078" t="s">
        <v>60</v>
      </c>
      <c r="T1" s="1079"/>
      <c r="U1" s="1080"/>
      <c r="V1" s="1080"/>
      <c r="W1" s="1085" t="s">
        <v>61</v>
      </c>
      <c r="X1" s="1080"/>
      <c r="Y1" s="1085" t="s">
        <v>62</v>
      </c>
      <c r="Z1" s="1079"/>
      <c r="AA1" s="1079"/>
      <c r="AB1" s="1079"/>
      <c r="AC1" s="1079"/>
      <c r="AD1" s="1079"/>
      <c r="AE1" s="1079"/>
      <c r="AF1" s="1080"/>
      <c r="AG1" s="1085" t="s">
        <v>63</v>
      </c>
      <c r="AH1" s="1079"/>
      <c r="AI1" s="1079"/>
      <c r="AJ1" s="1079"/>
      <c r="AK1" s="1079"/>
      <c r="AL1" s="1079"/>
      <c r="AM1" s="1079"/>
      <c r="AN1" s="1080"/>
      <c r="AO1" s="1085" t="s">
        <v>64</v>
      </c>
      <c r="AP1" s="1079"/>
      <c r="AQ1" s="1079"/>
      <c r="AR1" s="1079"/>
      <c r="AS1" s="1079"/>
      <c r="AT1" s="1079"/>
      <c r="AU1" s="1079"/>
      <c r="AV1" s="1080"/>
      <c r="AW1" s="1085" t="s">
        <v>65</v>
      </c>
      <c r="AX1" s="1079"/>
      <c r="AY1" s="1079"/>
      <c r="AZ1" s="1079"/>
      <c r="BA1" s="1079"/>
      <c r="BB1" s="1079"/>
      <c r="BC1" s="1079"/>
      <c r="BD1" s="1086"/>
      <c r="BE1" s="867" t="s">
        <v>114</v>
      </c>
      <c r="BF1" s="20"/>
    </row>
    <row r="2" spans="1:135" ht="44.15" customHeight="1" thickBot="1">
      <c r="B2" s="830" t="s">
        <v>29</v>
      </c>
      <c r="C2" s="841" t="s">
        <v>30</v>
      </c>
      <c r="D2" s="842" t="s">
        <v>237</v>
      </c>
      <c r="E2" s="857" t="s">
        <v>238</v>
      </c>
      <c r="F2" s="732" t="s">
        <v>3</v>
      </c>
      <c r="G2" s="855" t="s">
        <v>31</v>
      </c>
      <c r="H2" s="855" t="s">
        <v>5</v>
      </c>
      <c r="I2" s="855" t="s">
        <v>108</v>
      </c>
      <c r="J2" s="856" t="s">
        <v>239</v>
      </c>
      <c r="K2" s="855" t="s">
        <v>7</v>
      </c>
      <c r="L2" s="855" t="s">
        <v>68</v>
      </c>
      <c r="M2" s="855" t="s">
        <v>69</v>
      </c>
      <c r="N2" s="855" t="s">
        <v>8</v>
      </c>
      <c r="O2" s="855" t="s">
        <v>9</v>
      </c>
      <c r="P2" s="855" t="s">
        <v>10</v>
      </c>
      <c r="Q2" s="855" t="s">
        <v>35</v>
      </c>
      <c r="R2" s="747" t="s">
        <v>11</v>
      </c>
      <c r="S2" s="861" t="s">
        <v>70</v>
      </c>
      <c r="T2" s="862" t="s">
        <v>71</v>
      </c>
      <c r="U2" s="916" t="s">
        <v>240</v>
      </c>
      <c r="V2" s="918" t="s">
        <v>34</v>
      </c>
      <c r="W2" s="921" t="s">
        <v>72</v>
      </c>
      <c r="X2" s="922" t="s">
        <v>73</v>
      </c>
      <c r="Y2" s="919" t="s">
        <v>74</v>
      </c>
      <c r="Z2" s="825" t="s">
        <v>31</v>
      </c>
      <c r="AA2" s="825" t="s">
        <v>6</v>
      </c>
      <c r="AB2" s="825" t="s">
        <v>75</v>
      </c>
      <c r="AC2" s="825" t="s">
        <v>7</v>
      </c>
      <c r="AD2" s="825" t="s">
        <v>76</v>
      </c>
      <c r="AE2" s="825" t="s">
        <v>77</v>
      </c>
      <c r="AF2" s="826" t="s">
        <v>189</v>
      </c>
      <c r="AG2" s="863" t="s">
        <v>74</v>
      </c>
      <c r="AH2" s="913" t="s">
        <v>241</v>
      </c>
      <c r="AI2" s="913" t="s">
        <v>242</v>
      </c>
      <c r="AJ2" s="913" t="s">
        <v>243</v>
      </c>
      <c r="AK2" s="864" t="s">
        <v>7</v>
      </c>
      <c r="AL2" s="864" t="s">
        <v>76</v>
      </c>
      <c r="AM2" s="864" t="s">
        <v>77</v>
      </c>
      <c r="AN2" s="866" t="s">
        <v>189</v>
      </c>
      <c r="AO2" s="863" t="s">
        <v>74</v>
      </c>
      <c r="AP2" s="913" t="s">
        <v>241</v>
      </c>
      <c r="AQ2" s="913" t="s">
        <v>242</v>
      </c>
      <c r="AR2" s="913" t="s">
        <v>243</v>
      </c>
      <c r="AS2" s="864" t="s">
        <v>7</v>
      </c>
      <c r="AT2" s="864" t="s">
        <v>76</v>
      </c>
      <c r="AU2" s="864" t="s">
        <v>77</v>
      </c>
      <c r="AV2" s="866" t="s">
        <v>189</v>
      </c>
      <c r="AW2" s="863" t="s">
        <v>74</v>
      </c>
      <c r="AX2" s="864" t="s">
        <v>31</v>
      </c>
      <c r="AY2" s="913" t="s">
        <v>244</v>
      </c>
      <c r="AZ2" s="913" t="s">
        <v>245</v>
      </c>
      <c r="BA2" s="913" t="s">
        <v>246</v>
      </c>
      <c r="BB2" s="864" t="s">
        <v>7</v>
      </c>
      <c r="BC2" s="864" t="s">
        <v>76</v>
      </c>
      <c r="BD2" s="865" t="s">
        <v>77</v>
      </c>
      <c r="BE2" s="868" t="s">
        <v>78</v>
      </c>
      <c r="BF2" s="20"/>
    </row>
    <row r="3" spans="1:135">
      <c r="B3" s="831">
        <v>1</v>
      </c>
      <c r="C3" s="843" t="s">
        <v>36</v>
      </c>
      <c r="D3" s="813" t="s">
        <v>247</v>
      </c>
      <c r="E3" s="820" t="s">
        <v>247</v>
      </c>
      <c r="F3" s="233">
        <v>2</v>
      </c>
      <c r="G3" s="62">
        <v>2</v>
      </c>
      <c r="H3" s="322"/>
      <c r="I3" s="322"/>
      <c r="J3" s="322"/>
      <c r="K3" s="322"/>
      <c r="L3" s="322"/>
      <c r="M3" s="322"/>
      <c r="N3" s="322"/>
      <c r="O3" s="322"/>
      <c r="P3" s="322"/>
      <c r="Q3" s="322"/>
      <c r="R3" s="323"/>
      <c r="S3" s="860"/>
      <c r="T3" s="824"/>
      <c r="U3" s="827"/>
      <c r="V3" s="827"/>
      <c r="W3" s="923"/>
      <c r="X3" s="924"/>
      <c r="Y3" s="860"/>
      <c r="Z3" s="824"/>
      <c r="AA3" s="824"/>
      <c r="AB3" s="824"/>
      <c r="AC3" s="824"/>
      <c r="AD3" s="824"/>
      <c r="AE3" s="824"/>
      <c r="AF3" s="827"/>
      <c r="AG3" s="654"/>
      <c r="AH3" s="325"/>
      <c r="AI3" s="325"/>
      <c r="AJ3" s="325"/>
      <c r="AK3" s="325"/>
      <c r="AL3" s="325"/>
      <c r="AM3" s="325"/>
      <c r="AN3" s="326"/>
      <c r="AO3" s="654"/>
      <c r="AP3" s="325"/>
      <c r="AQ3" s="325"/>
      <c r="AR3" s="325"/>
      <c r="AS3" s="325"/>
      <c r="AT3" s="325"/>
      <c r="AU3" s="325"/>
      <c r="AV3" s="326"/>
      <c r="AW3" s="654"/>
      <c r="AX3" s="325"/>
      <c r="AY3" s="325"/>
      <c r="AZ3" s="325"/>
      <c r="BA3" s="325"/>
      <c r="BB3" s="325"/>
      <c r="BC3" s="325"/>
      <c r="BD3" s="655"/>
      <c r="BE3" s="869"/>
      <c r="BF3" s="20"/>
    </row>
    <row r="4" spans="1:135" s="108" customFormat="1">
      <c r="A4" s="20"/>
      <c r="B4" s="832">
        <v>2</v>
      </c>
      <c r="C4" s="845" t="s">
        <v>79</v>
      </c>
      <c r="D4" s="814" t="s">
        <v>247</v>
      </c>
      <c r="E4" s="821" t="s">
        <v>247</v>
      </c>
      <c r="F4" s="229">
        <v>1</v>
      </c>
      <c r="G4" s="230">
        <v>0.5</v>
      </c>
      <c r="H4" s="334"/>
      <c r="I4" s="334"/>
      <c r="J4" s="334"/>
      <c r="K4" s="334"/>
      <c r="L4" s="231"/>
      <c r="M4" s="231"/>
      <c r="N4" s="231"/>
      <c r="O4" s="231"/>
      <c r="P4" s="231"/>
      <c r="Q4" s="231"/>
      <c r="R4" s="232"/>
      <c r="S4" s="335"/>
      <c r="T4" s="334"/>
      <c r="U4" s="336"/>
      <c r="V4" s="336"/>
      <c r="W4" s="925"/>
      <c r="X4" s="926"/>
      <c r="Y4" s="335"/>
      <c r="Z4" s="334"/>
      <c r="AA4" s="334"/>
      <c r="AB4" s="334"/>
      <c r="AC4" s="334"/>
      <c r="AD4" s="334"/>
      <c r="AE4" s="334"/>
      <c r="AF4" s="336"/>
      <c r="AG4" s="656"/>
      <c r="AH4" s="334"/>
      <c r="AI4" s="334"/>
      <c r="AJ4" s="334"/>
      <c r="AK4" s="334"/>
      <c r="AL4" s="334"/>
      <c r="AM4" s="334"/>
      <c r="AN4" s="336"/>
      <c r="AO4" s="656"/>
      <c r="AP4" s="334"/>
      <c r="AQ4" s="334"/>
      <c r="AR4" s="334"/>
      <c r="AS4" s="334"/>
      <c r="AT4" s="334"/>
      <c r="AU4" s="334"/>
      <c r="AV4" s="336"/>
      <c r="AW4" s="656"/>
      <c r="AX4" s="334"/>
      <c r="AY4" s="334"/>
      <c r="AZ4" s="334"/>
      <c r="BA4" s="334"/>
      <c r="BB4" s="334"/>
      <c r="BC4" s="334"/>
      <c r="BD4" s="340"/>
      <c r="BE4" s="87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</row>
    <row r="5" spans="1:135" s="910" customFormat="1">
      <c r="B5" s="834">
        <v>2</v>
      </c>
      <c r="C5" s="848" t="s">
        <v>80</v>
      </c>
      <c r="D5" s="817" t="s">
        <v>247</v>
      </c>
      <c r="E5" s="822" t="s">
        <v>247</v>
      </c>
      <c r="F5" s="909">
        <v>14</v>
      </c>
      <c r="G5" s="911">
        <v>4</v>
      </c>
      <c r="H5" s="254"/>
      <c r="I5" s="254"/>
      <c r="J5" s="254"/>
      <c r="K5" s="254"/>
      <c r="L5" s="254"/>
      <c r="M5" s="254"/>
      <c r="N5" s="254"/>
      <c r="O5" s="254"/>
      <c r="P5" s="254"/>
      <c r="Q5" s="254"/>
      <c r="R5" s="264"/>
      <c r="S5" s="349"/>
      <c r="T5" s="254"/>
      <c r="U5" s="267"/>
      <c r="V5" s="267"/>
      <c r="W5" s="927"/>
      <c r="X5" s="928"/>
      <c r="Y5" s="349"/>
      <c r="Z5" s="254"/>
      <c r="AA5" s="254"/>
      <c r="AB5" s="254"/>
      <c r="AC5" s="254"/>
      <c r="AD5" s="254"/>
      <c r="AE5" s="254"/>
      <c r="AF5" s="267"/>
      <c r="AG5" s="348"/>
      <c r="AH5" s="254"/>
      <c r="AI5" s="254"/>
      <c r="AJ5" s="254"/>
      <c r="AK5" s="254"/>
      <c r="AL5" s="254"/>
      <c r="AM5" s="254"/>
      <c r="AN5" s="267"/>
      <c r="AO5" s="348"/>
      <c r="AP5" s="254"/>
      <c r="AQ5" s="254"/>
      <c r="AR5" s="254"/>
      <c r="AS5" s="254"/>
      <c r="AT5" s="254"/>
      <c r="AU5" s="254"/>
      <c r="AV5" s="267"/>
      <c r="AW5" s="348"/>
      <c r="AX5" s="254"/>
      <c r="AY5" s="254"/>
      <c r="AZ5" s="254"/>
      <c r="BA5" s="254"/>
      <c r="BB5" s="254"/>
      <c r="BC5" s="254"/>
      <c r="BD5" s="264"/>
      <c r="BE5" s="872"/>
    </row>
    <row r="6" spans="1:135">
      <c r="B6" s="833">
        <v>3</v>
      </c>
      <c r="C6" s="846" t="s">
        <v>38</v>
      </c>
      <c r="D6" s="813" t="s">
        <v>247</v>
      </c>
      <c r="E6" s="820" t="s">
        <v>247</v>
      </c>
      <c r="F6" s="233">
        <v>2</v>
      </c>
      <c r="G6" s="62">
        <v>6</v>
      </c>
      <c r="H6" s="322">
        <v>2</v>
      </c>
      <c r="I6" s="322"/>
      <c r="J6" s="322"/>
      <c r="K6" s="322">
        <v>1</v>
      </c>
      <c r="L6" s="322"/>
      <c r="M6" s="322"/>
      <c r="N6" s="322"/>
      <c r="O6" s="322"/>
      <c r="P6" s="322"/>
      <c r="Q6" s="322"/>
      <c r="R6" s="323"/>
      <c r="S6" s="343"/>
      <c r="T6" s="322">
        <v>1</v>
      </c>
      <c r="U6" s="344"/>
      <c r="V6" s="344"/>
      <c r="W6" s="929"/>
      <c r="X6" s="930"/>
      <c r="Y6" s="271"/>
      <c r="Z6" s="62"/>
      <c r="AA6" s="62"/>
      <c r="AB6" s="62"/>
      <c r="AC6" s="62"/>
      <c r="AD6" s="62"/>
      <c r="AE6" s="62"/>
      <c r="AF6" s="262"/>
      <c r="AG6" s="233"/>
      <c r="AH6" s="62"/>
      <c r="AI6" s="62"/>
      <c r="AJ6" s="62"/>
      <c r="AK6" s="62"/>
      <c r="AL6" s="62"/>
      <c r="AM6" s="62"/>
      <c r="AN6" s="262"/>
      <c r="AO6" s="233"/>
      <c r="AP6" s="62"/>
      <c r="AQ6" s="62"/>
      <c r="AR6" s="62"/>
      <c r="AS6" s="62"/>
      <c r="AT6" s="62"/>
      <c r="AU6" s="62"/>
      <c r="AV6" s="262"/>
      <c r="AW6" s="233"/>
      <c r="AX6" s="62"/>
      <c r="AY6" s="62"/>
      <c r="AZ6" s="62"/>
      <c r="BA6" s="62"/>
      <c r="BB6" s="62"/>
      <c r="BC6" s="62"/>
      <c r="BD6" s="238"/>
      <c r="BE6" s="871"/>
      <c r="BF6" s="20"/>
    </row>
    <row r="7" spans="1:135" s="910" customFormat="1">
      <c r="B7" s="834">
        <v>4</v>
      </c>
      <c r="C7" s="848" t="s">
        <v>81</v>
      </c>
      <c r="D7" s="817" t="s">
        <v>247</v>
      </c>
      <c r="E7" s="822" t="s">
        <v>247</v>
      </c>
      <c r="F7" s="909">
        <v>2</v>
      </c>
      <c r="G7" s="911">
        <v>4</v>
      </c>
      <c r="H7" s="254"/>
      <c r="I7" s="254"/>
      <c r="J7" s="254"/>
      <c r="K7" s="254"/>
      <c r="L7" s="254"/>
      <c r="M7" s="254"/>
      <c r="N7" s="254"/>
      <c r="O7" s="254"/>
      <c r="P7" s="254"/>
      <c r="Q7" s="254"/>
      <c r="R7" s="264"/>
      <c r="S7" s="349"/>
      <c r="T7" s="254"/>
      <c r="U7" s="267"/>
      <c r="V7" s="267"/>
      <c r="W7" s="927"/>
      <c r="X7" s="928"/>
      <c r="Y7" s="920"/>
      <c r="Z7" s="254">
        <v>1</v>
      </c>
      <c r="AA7" s="254"/>
      <c r="AB7" s="254"/>
      <c r="AC7" s="254"/>
      <c r="AD7" s="254"/>
      <c r="AE7" s="254"/>
      <c r="AF7" s="267"/>
      <c r="AG7" s="909"/>
      <c r="AH7" s="254">
        <v>1</v>
      </c>
      <c r="AI7" s="254"/>
      <c r="AJ7" s="254"/>
      <c r="AK7" s="254"/>
      <c r="AL7" s="254"/>
      <c r="AM7" s="254"/>
      <c r="AN7" s="267"/>
      <c r="AO7" s="909"/>
      <c r="AP7" s="254">
        <v>1</v>
      </c>
      <c r="AQ7" s="254"/>
      <c r="AR7" s="254"/>
      <c r="AS7" s="254"/>
      <c r="AT7" s="254"/>
      <c r="AU7" s="254"/>
      <c r="AV7" s="267"/>
      <c r="AW7" s="909"/>
      <c r="AX7" s="254"/>
      <c r="AY7" s="254"/>
      <c r="AZ7" s="254"/>
      <c r="BA7" s="254"/>
      <c r="BB7" s="254"/>
      <c r="BC7" s="254"/>
      <c r="BD7" s="264"/>
      <c r="BE7" s="912"/>
    </row>
    <row r="8" spans="1:135">
      <c r="B8" s="833">
        <v>5</v>
      </c>
      <c r="C8" s="874" t="s">
        <v>83</v>
      </c>
      <c r="D8" s="875" t="s">
        <v>248</v>
      </c>
      <c r="E8" s="820" t="s">
        <v>249</v>
      </c>
      <c r="F8" s="1077">
        <v>2</v>
      </c>
      <c r="G8" s="322"/>
      <c r="H8" s="322"/>
      <c r="I8" s="322"/>
      <c r="J8" s="322"/>
      <c r="K8" s="322"/>
      <c r="L8" s="322"/>
      <c r="M8" s="322"/>
      <c r="N8" s="322"/>
      <c r="O8" s="322"/>
      <c r="P8" s="322"/>
      <c r="Q8" s="322"/>
      <c r="R8" s="323"/>
      <c r="S8" s="343"/>
      <c r="T8" s="322"/>
      <c r="U8" s="344"/>
      <c r="V8" s="344"/>
      <c r="W8" s="929"/>
      <c r="X8" s="930"/>
      <c r="Y8" s="343"/>
      <c r="Z8" s="322"/>
      <c r="AA8" s="322"/>
      <c r="AB8" s="322"/>
      <c r="AC8" s="322"/>
      <c r="AD8" s="322"/>
      <c r="AE8" s="322"/>
      <c r="AF8" s="344"/>
      <c r="AG8" s="657"/>
      <c r="AH8" s="322"/>
      <c r="AI8" s="322"/>
      <c r="AJ8" s="322"/>
      <c r="AK8" s="322"/>
      <c r="AL8" s="322"/>
      <c r="AM8" s="322"/>
      <c r="AN8" s="344"/>
      <c r="AO8" s="657"/>
      <c r="AP8" s="322"/>
      <c r="AQ8" s="322"/>
      <c r="AR8" s="322"/>
      <c r="AS8" s="322"/>
      <c r="AT8" s="322"/>
      <c r="AU8" s="322"/>
      <c r="AV8" s="344"/>
      <c r="AW8" s="657"/>
      <c r="AX8" s="322"/>
      <c r="AY8" s="322"/>
      <c r="AZ8" s="322"/>
      <c r="BA8" s="322"/>
      <c r="BB8" s="322"/>
      <c r="BC8" s="322"/>
      <c r="BD8" s="323"/>
      <c r="BE8" s="876"/>
      <c r="BF8" s="20"/>
    </row>
    <row r="9" spans="1:135" ht="18.75" customHeight="1">
      <c r="B9" s="833">
        <v>5.0999999999999996</v>
      </c>
      <c r="C9" s="874" t="s">
        <v>84</v>
      </c>
      <c r="D9" s="875" t="s">
        <v>248</v>
      </c>
      <c r="E9" s="820" t="s">
        <v>249</v>
      </c>
      <c r="F9" s="1077"/>
      <c r="G9" s="322"/>
      <c r="H9" s="322"/>
      <c r="I9" s="322"/>
      <c r="J9" s="322"/>
      <c r="K9" s="322"/>
      <c r="L9" s="877"/>
      <c r="M9" s="877"/>
      <c r="N9" s="322"/>
      <c r="O9" s="322"/>
      <c r="P9" s="322"/>
      <c r="Q9" s="877"/>
      <c r="R9" s="878"/>
      <c r="S9" s="343"/>
      <c r="T9" s="322"/>
      <c r="U9" s="344"/>
      <c r="V9" s="344"/>
      <c r="W9" s="929"/>
      <c r="X9" s="930"/>
      <c r="Y9" s="343"/>
      <c r="Z9" s="322"/>
      <c r="AA9" s="322"/>
      <c r="AB9" s="322"/>
      <c r="AC9" s="322"/>
      <c r="AD9" s="322"/>
      <c r="AE9" s="322"/>
      <c r="AF9" s="344"/>
      <c r="AG9" s="657"/>
      <c r="AH9" s="322"/>
      <c r="AI9" s="322"/>
      <c r="AJ9" s="322"/>
      <c r="AK9" s="322"/>
      <c r="AL9" s="322"/>
      <c r="AM9" s="322"/>
      <c r="AN9" s="344"/>
      <c r="AO9" s="657"/>
      <c r="AP9" s="322"/>
      <c r="AQ9" s="322"/>
      <c r="AR9" s="322"/>
      <c r="AS9" s="322"/>
      <c r="AT9" s="322"/>
      <c r="AU9" s="322"/>
      <c r="AV9" s="344"/>
      <c r="AW9" s="657"/>
      <c r="AX9" s="322"/>
      <c r="AY9" s="322"/>
      <c r="AZ9" s="322"/>
      <c r="BA9" s="322"/>
      <c r="BB9" s="322"/>
      <c r="BC9" s="322"/>
      <c r="BD9" s="323"/>
      <c r="BE9" s="876"/>
      <c r="BF9" s="20"/>
    </row>
    <row r="10" spans="1:135" ht="87" customHeight="1">
      <c r="B10" s="833"/>
      <c r="C10" s="874" t="s">
        <v>115</v>
      </c>
      <c r="D10" s="875" t="s">
        <v>248</v>
      </c>
      <c r="E10" s="820" t="s">
        <v>249</v>
      </c>
      <c r="F10" s="1077"/>
      <c r="G10" s="322"/>
      <c r="H10" s="322"/>
      <c r="I10" s="322"/>
      <c r="J10" s="322"/>
      <c r="K10" s="322"/>
      <c r="L10" s="877"/>
      <c r="M10" s="877"/>
      <c r="N10" s="322">
        <v>3</v>
      </c>
      <c r="O10" s="322">
        <v>0.5</v>
      </c>
      <c r="P10" s="322"/>
      <c r="Q10" s="877"/>
      <c r="R10" s="878"/>
      <c r="S10" s="343"/>
      <c r="T10" s="322">
        <v>6</v>
      </c>
      <c r="U10" s="344">
        <v>1</v>
      </c>
      <c r="V10" s="344">
        <v>4</v>
      </c>
      <c r="W10" s="929"/>
      <c r="X10" s="930"/>
      <c r="Y10" s="343"/>
      <c r="Z10" s="322"/>
      <c r="AA10" s="322"/>
      <c r="AB10" s="322"/>
      <c r="AC10" s="322"/>
      <c r="AD10" s="322"/>
      <c r="AE10" s="322"/>
      <c r="AF10" s="344"/>
      <c r="AG10" s="657"/>
      <c r="AH10" s="322"/>
      <c r="AI10" s="322"/>
      <c r="AJ10" s="322"/>
      <c r="AK10" s="322"/>
      <c r="AL10" s="322"/>
      <c r="AM10" s="322"/>
      <c r="AN10" s="344"/>
      <c r="AO10" s="657"/>
      <c r="AP10" s="322"/>
      <c r="AQ10" s="322"/>
      <c r="AR10" s="322"/>
      <c r="AS10" s="322"/>
      <c r="AT10" s="322"/>
      <c r="AU10" s="322"/>
      <c r="AV10" s="344"/>
      <c r="AW10" s="657"/>
      <c r="AX10" s="322"/>
      <c r="AY10" s="322"/>
      <c r="AZ10" s="322"/>
      <c r="BA10" s="322"/>
      <c r="BB10" s="322"/>
      <c r="BC10" s="322"/>
      <c r="BD10" s="323"/>
      <c r="BE10" s="876"/>
      <c r="BF10" s="20"/>
    </row>
    <row r="11" spans="1:135" ht="18.5">
      <c r="B11" s="833"/>
      <c r="C11" s="874" t="s">
        <v>116</v>
      </c>
      <c r="D11" s="875" t="s">
        <v>248</v>
      </c>
      <c r="E11" s="820" t="s">
        <v>249</v>
      </c>
      <c r="F11" s="1077"/>
      <c r="G11" s="322"/>
      <c r="H11" s="322"/>
      <c r="I11" s="322"/>
      <c r="J11" s="322"/>
      <c r="K11" s="322"/>
      <c r="L11" s="877"/>
      <c r="M11" s="877"/>
      <c r="N11" s="322"/>
      <c r="O11" s="322"/>
      <c r="P11" s="322"/>
      <c r="Q11" s="877"/>
      <c r="R11" s="878"/>
      <c r="S11" s="343"/>
      <c r="T11" s="322"/>
      <c r="U11" s="344"/>
      <c r="V11" s="344"/>
      <c r="W11" s="929"/>
      <c r="X11" s="930"/>
      <c r="Y11" s="343"/>
      <c r="Z11" s="322"/>
      <c r="AA11" s="322"/>
      <c r="AB11" s="322"/>
      <c r="AC11" s="322"/>
      <c r="AD11" s="322"/>
      <c r="AE11" s="322"/>
      <c r="AF11" s="344"/>
      <c r="AG11" s="657"/>
      <c r="AH11" s="322"/>
      <c r="AI11" s="322"/>
      <c r="AJ11" s="322"/>
      <c r="AK11" s="322"/>
      <c r="AL11" s="322"/>
      <c r="AM11" s="322"/>
      <c r="AN11" s="344"/>
      <c r="AO11" s="657"/>
      <c r="AP11" s="322"/>
      <c r="AQ11" s="322"/>
      <c r="AR11" s="322"/>
      <c r="AS11" s="322"/>
      <c r="AT11" s="322"/>
      <c r="AU11" s="322"/>
      <c r="AV11" s="344"/>
      <c r="AW11" s="657"/>
      <c r="AX11" s="322"/>
      <c r="AY11" s="322"/>
      <c r="AZ11" s="322"/>
      <c r="BA11" s="322"/>
      <c r="BB11" s="322"/>
      <c r="BC11" s="322"/>
      <c r="BD11" s="323"/>
      <c r="BE11" s="876"/>
      <c r="BF11" s="20"/>
    </row>
    <row r="12" spans="1:135" ht="18.5">
      <c r="B12" s="833"/>
      <c r="C12" s="874" t="s">
        <v>117</v>
      </c>
      <c r="D12" s="875" t="s">
        <v>248</v>
      </c>
      <c r="E12" s="820" t="s">
        <v>249</v>
      </c>
      <c r="F12" s="1077"/>
      <c r="G12" s="322"/>
      <c r="H12" s="322"/>
      <c r="I12" s="322"/>
      <c r="J12" s="322"/>
      <c r="K12" s="322"/>
      <c r="L12" s="877"/>
      <c r="M12" s="877"/>
      <c r="N12" s="322"/>
      <c r="O12" s="322"/>
      <c r="P12" s="322"/>
      <c r="Q12" s="877"/>
      <c r="R12" s="878"/>
      <c r="S12" s="343"/>
      <c r="T12" s="322"/>
      <c r="U12" s="344"/>
      <c r="V12" s="344"/>
      <c r="W12" s="929"/>
      <c r="X12" s="930"/>
      <c r="Y12" s="343"/>
      <c r="Z12" s="322"/>
      <c r="AA12" s="322"/>
      <c r="AB12" s="322"/>
      <c r="AC12" s="322"/>
      <c r="AD12" s="322"/>
      <c r="AE12" s="322"/>
      <c r="AF12" s="344"/>
      <c r="AG12" s="657"/>
      <c r="AH12" s="322"/>
      <c r="AI12" s="322"/>
      <c r="AJ12" s="322"/>
      <c r="AK12" s="322"/>
      <c r="AL12" s="322"/>
      <c r="AM12" s="322"/>
      <c r="AN12" s="344"/>
      <c r="AO12" s="657"/>
      <c r="AP12" s="322"/>
      <c r="AQ12" s="322"/>
      <c r="AR12" s="322"/>
      <c r="AS12" s="322"/>
      <c r="AT12" s="322"/>
      <c r="AU12" s="322"/>
      <c r="AV12" s="344"/>
      <c r="AW12" s="657"/>
      <c r="AX12" s="322"/>
      <c r="AY12" s="322"/>
      <c r="AZ12" s="322"/>
      <c r="BA12" s="322"/>
      <c r="BB12" s="322"/>
      <c r="BC12" s="322"/>
      <c r="BD12" s="323"/>
      <c r="BE12" s="876"/>
      <c r="BF12" s="20"/>
    </row>
    <row r="13" spans="1:135" ht="18.5">
      <c r="B13" s="833"/>
      <c r="C13" s="874" t="s">
        <v>118</v>
      </c>
      <c r="D13" s="875" t="s">
        <v>248</v>
      </c>
      <c r="E13" s="820" t="s">
        <v>249</v>
      </c>
      <c r="F13" s="1077"/>
      <c r="G13" s="322"/>
      <c r="H13" s="322"/>
      <c r="I13" s="322"/>
      <c r="J13" s="322"/>
      <c r="K13" s="322"/>
      <c r="L13" s="877"/>
      <c r="M13" s="877"/>
      <c r="N13" s="322"/>
      <c r="O13" s="322"/>
      <c r="P13" s="322"/>
      <c r="Q13" s="877"/>
      <c r="R13" s="878"/>
      <c r="S13" s="343"/>
      <c r="T13" s="322"/>
      <c r="U13" s="344"/>
      <c r="V13" s="344"/>
      <c r="W13" s="929"/>
      <c r="X13" s="930"/>
      <c r="Y13" s="343"/>
      <c r="Z13" s="322"/>
      <c r="AA13" s="322"/>
      <c r="AB13" s="322"/>
      <c r="AC13" s="322"/>
      <c r="AD13" s="322"/>
      <c r="AE13" s="322"/>
      <c r="AF13" s="344"/>
      <c r="AG13" s="657"/>
      <c r="AH13" s="322"/>
      <c r="AI13" s="322"/>
      <c r="AJ13" s="322"/>
      <c r="AK13" s="322"/>
      <c r="AL13" s="322"/>
      <c r="AM13" s="322"/>
      <c r="AN13" s="344"/>
      <c r="AO13" s="657"/>
      <c r="AP13" s="322"/>
      <c r="AQ13" s="322"/>
      <c r="AR13" s="322"/>
      <c r="AS13" s="322"/>
      <c r="AT13" s="322"/>
      <c r="AU13" s="322"/>
      <c r="AV13" s="344"/>
      <c r="AW13" s="657"/>
      <c r="AX13" s="322"/>
      <c r="AY13" s="322"/>
      <c r="AZ13" s="322"/>
      <c r="BA13" s="322"/>
      <c r="BB13" s="322"/>
      <c r="BC13" s="322"/>
      <c r="BD13" s="323"/>
      <c r="BE13" s="876"/>
      <c r="BF13" s="20"/>
    </row>
    <row r="14" spans="1:135" ht="18.5">
      <c r="B14" s="833">
        <v>5.2</v>
      </c>
      <c r="C14" s="874" t="s">
        <v>86</v>
      </c>
      <c r="D14" s="875" t="s">
        <v>248</v>
      </c>
      <c r="E14" s="820" t="s">
        <v>249</v>
      </c>
      <c r="F14" s="1077"/>
      <c r="G14" s="322"/>
      <c r="H14" s="322"/>
      <c r="I14" s="322"/>
      <c r="J14" s="322"/>
      <c r="K14" s="322"/>
      <c r="L14" s="877"/>
      <c r="M14" s="877"/>
      <c r="N14" s="322"/>
      <c r="O14" s="322"/>
      <c r="P14" s="322"/>
      <c r="Q14" s="877"/>
      <c r="R14" s="878"/>
      <c r="S14" s="343"/>
      <c r="T14" s="322"/>
      <c r="U14" s="344"/>
      <c r="V14" s="344"/>
      <c r="W14" s="929"/>
      <c r="X14" s="930"/>
      <c r="Y14" s="343"/>
      <c r="Z14" s="322"/>
      <c r="AA14" s="322"/>
      <c r="AB14" s="322"/>
      <c r="AC14" s="322"/>
      <c r="AD14" s="322"/>
      <c r="AE14" s="322"/>
      <c r="AF14" s="344"/>
      <c r="AG14" s="657"/>
      <c r="AH14" s="322"/>
      <c r="AI14" s="322"/>
      <c r="AJ14" s="322"/>
      <c r="AK14" s="322"/>
      <c r="AL14" s="322"/>
      <c r="AM14" s="322"/>
      <c r="AN14" s="344"/>
      <c r="AO14" s="657"/>
      <c r="AP14" s="322"/>
      <c r="AQ14" s="322"/>
      <c r="AR14" s="322"/>
      <c r="AS14" s="322"/>
      <c r="AT14" s="322"/>
      <c r="AU14" s="322"/>
      <c r="AV14" s="344"/>
      <c r="AW14" s="657"/>
      <c r="AX14" s="322"/>
      <c r="AY14" s="322"/>
      <c r="AZ14" s="322"/>
      <c r="BA14" s="322"/>
      <c r="BB14" s="322"/>
      <c r="BC14" s="322"/>
      <c r="BD14" s="323"/>
      <c r="BE14" s="876"/>
      <c r="BF14" s="20"/>
    </row>
    <row r="15" spans="1:135" ht="18.5">
      <c r="B15" s="833"/>
      <c r="C15" s="874" t="s">
        <v>87</v>
      </c>
      <c r="D15" s="875" t="s">
        <v>248</v>
      </c>
      <c r="E15" s="820" t="s">
        <v>249</v>
      </c>
      <c r="F15" s="1077"/>
      <c r="G15" s="322">
        <v>0.5</v>
      </c>
      <c r="H15" s="322">
        <v>3</v>
      </c>
      <c r="I15" s="322">
        <v>7</v>
      </c>
      <c r="J15" s="322"/>
      <c r="K15" s="322">
        <v>3</v>
      </c>
      <c r="L15" s="877"/>
      <c r="M15" s="877"/>
      <c r="N15" s="322"/>
      <c r="O15" s="322"/>
      <c r="P15" s="322"/>
      <c r="Q15" s="877"/>
      <c r="R15" s="878"/>
      <c r="S15" s="343"/>
      <c r="T15" s="322"/>
      <c r="U15" s="344"/>
      <c r="V15" s="344"/>
      <c r="W15" s="929"/>
      <c r="X15" s="930"/>
      <c r="Y15" s="343"/>
      <c r="Z15" s="322"/>
      <c r="AA15" s="322"/>
      <c r="AB15" s="322"/>
      <c r="AC15" s="322"/>
      <c r="AD15" s="322"/>
      <c r="AE15" s="322"/>
      <c r="AF15" s="344"/>
      <c r="AG15" s="657"/>
      <c r="AH15" s="322"/>
      <c r="AI15" s="322"/>
      <c r="AJ15" s="322"/>
      <c r="AK15" s="322"/>
      <c r="AL15" s="322"/>
      <c r="AM15" s="322"/>
      <c r="AN15" s="344"/>
      <c r="AO15" s="657"/>
      <c r="AP15" s="322"/>
      <c r="AQ15" s="322"/>
      <c r="AR15" s="322"/>
      <c r="AS15" s="322"/>
      <c r="AT15" s="322"/>
      <c r="AU15" s="322"/>
      <c r="AV15" s="344"/>
      <c r="AW15" s="657"/>
      <c r="AX15" s="322"/>
      <c r="AY15" s="322"/>
      <c r="AZ15" s="322"/>
      <c r="BA15" s="322"/>
      <c r="BB15" s="322"/>
      <c r="BC15" s="322"/>
      <c r="BD15" s="323"/>
      <c r="BE15" s="876"/>
      <c r="BF15" s="20"/>
    </row>
    <row r="16" spans="1:135" ht="18.5">
      <c r="B16" s="833"/>
      <c r="C16" s="874" t="s">
        <v>179</v>
      </c>
      <c r="D16" s="875" t="s">
        <v>248</v>
      </c>
      <c r="E16" s="820" t="s">
        <v>249</v>
      </c>
      <c r="F16" s="1077"/>
      <c r="G16" s="322">
        <v>0.5</v>
      </c>
      <c r="H16" s="322">
        <v>1</v>
      </c>
      <c r="I16" s="322">
        <v>3</v>
      </c>
      <c r="J16" s="322"/>
      <c r="K16" s="322">
        <v>2</v>
      </c>
      <c r="L16" s="877"/>
      <c r="M16" s="877"/>
      <c r="N16" s="322"/>
      <c r="O16" s="322"/>
      <c r="P16" s="322"/>
      <c r="Q16" s="877"/>
      <c r="R16" s="878"/>
      <c r="S16" s="343"/>
      <c r="T16" s="322"/>
      <c r="U16" s="344"/>
      <c r="V16" s="344"/>
      <c r="W16" s="929"/>
      <c r="X16" s="930"/>
      <c r="Y16" s="343"/>
      <c r="Z16" s="322"/>
      <c r="AA16" s="322"/>
      <c r="AB16" s="322"/>
      <c r="AC16" s="322"/>
      <c r="AD16" s="322"/>
      <c r="AE16" s="322"/>
      <c r="AF16" s="344"/>
      <c r="AG16" s="657"/>
      <c r="AH16" s="322"/>
      <c r="AI16" s="322"/>
      <c r="AJ16" s="322"/>
      <c r="AK16" s="322"/>
      <c r="AL16" s="322"/>
      <c r="AM16" s="322"/>
      <c r="AN16" s="344"/>
      <c r="AO16" s="657"/>
      <c r="AP16" s="322"/>
      <c r="AQ16" s="322"/>
      <c r="AR16" s="322"/>
      <c r="AS16" s="322"/>
      <c r="AT16" s="322"/>
      <c r="AU16" s="322"/>
      <c r="AV16" s="344"/>
      <c r="AW16" s="657"/>
      <c r="AX16" s="322"/>
      <c r="AY16" s="322"/>
      <c r="AZ16" s="322"/>
      <c r="BA16" s="322"/>
      <c r="BB16" s="322"/>
      <c r="BC16" s="322"/>
      <c r="BD16" s="323"/>
      <c r="BE16" s="876">
        <v>1</v>
      </c>
      <c r="BF16" s="20"/>
    </row>
    <row r="17" spans="2:65" ht="18.5">
      <c r="B17" s="833"/>
      <c r="C17" s="874" t="s">
        <v>180</v>
      </c>
      <c r="D17" s="875" t="s">
        <v>248</v>
      </c>
      <c r="E17" s="820" t="s">
        <v>249</v>
      </c>
      <c r="F17" s="1077"/>
      <c r="G17" s="322">
        <v>0.5</v>
      </c>
      <c r="H17" s="322">
        <v>2</v>
      </c>
      <c r="I17" s="322">
        <v>6</v>
      </c>
      <c r="J17" s="322"/>
      <c r="K17" s="322">
        <v>2</v>
      </c>
      <c r="L17" s="877"/>
      <c r="M17" s="877"/>
      <c r="N17" s="322"/>
      <c r="O17" s="322"/>
      <c r="P17" s="322"/>
      <c r="Q17" s="877"/>
      <c r="R17" s="878"/>
      <c r="S17" s="343"/>
      <c r="T17" s="322"/>
      <c r="U17" s="344"/>
      <c r="V17" s="344"/>
      <c r="W17" s="929"/>
      <c r="X17" s="930"/>
      <c r="Y17" s="343"/>
      <c r="Z17" s="322"/>
      <c r="AA17" s="322"/>
      <c r="AB17" s="322"/>
      <c r="AC17" s="322"/>
      <c r="AD17" s="322"/>
      <c r="AE17" s="322"/>
      <c r="AF17" s="344"/>
      <c r="AG17" s="657"/>
      <c r="AH17" s="322"/>
      <c r="AI17" s="322"/>
      <c r="AJ17" s="322"/>
      <c r="AK17" s="322"/>
      <c r="AL17" s="322"/>
      <c r="AM17" s="322"/>
      <c r="AN17" s="344"/>
      <c r="AO17" s="657"/>
      <c r="AP17" s="322"/>
      <c r="AQ17" s="322"/>
      <c r="AR17" s="322"/>
      <c r="AS17" s="322"/>
      <c r="AT17" s="322"/>
      <c r="AU17" s="322"/>
      <c r="AV17" s="344"/>
      <c r="AW17" s="657"/>
      <c r="AX17" s="322"/>
      <c r="AY17" s="322"/>
      <c r="AZ17" s="322"/>
      <c r="BA17" s="322"/>
      <c r="BB17" s="322"/>
      <c r="BC17" s="322"/>
      <c r="BD17" s="323"/>
      <c r="BE17" s="876">
        <v>1</v>
      </c>
      <c r="BF17" s="20"/>
    </row>
    <row r="18" spans="2:65" ht="18.5">
      <c r="B18" s="833"/>
      <c r="C18" s="874" t="s">
        <v>181</v>
      </c>
      <c r="D18" s="875" t="s">
        <v>248</v>
      </c>
      <c r="E18" s="820" t="s">
        <v>249</v>
      </c>
      <c r="F18" s="1077"/>
      <c r="G18" s="322">
        <v>0.5</v>
      </c>
      <c r="H18" s="322">
        <v>1</v>
      </c>
      <c r="I18" s="322">
        <v>3</v>
      </c>
      <c r="J18" s="322"/>
      <c r="K18" s="322">
        <v>1</v>
      </c>
      <c r="L18" s="877"/>
      <c r="M18" s="877"/>
      <c r="N18" s="322"/>
      <c r="O18" s="322"/>
      <c r="P18" s="322"/>
      <c r="Q18" s="877"/>
      <c r="R18" s="878"/>
      <c r="S18" s="343"/>
      <c r="T18" s="322"/>
      <c r="U18" s="344"/>
      <c r="V18" s="344"/>
      <c r="W18" s="929"/>
      <c r="X18" s="930"/>
      <c r="Y18" s="343"/>
      <c r="Z18" s="322"/>
      <c r="AA18" s="322"/>
      <c r="AB18" s="322"/>
      <c r="AC18" s="322"/>
      <c r="AD18" s="322"/>
      <c r="AE18" s="322"/>
      <c r="AF18" s="344"/>
      <c r="AG18" s="657"/>
      <c r="AH18" s="322"/>
      <c r="AI18" s="322"/>
      <c r="AJ18" s="322"/>
      <c r="AK18" s="322"/>
      <c r="AL18" s="322"/>
      <c r="AM18" s="322"/>
      <c r="AN18" s="344"/>
      <c r="AO18" s="657"/>
      <c r="AP18" s="322"/>
      <c r="AQ18" s="322"/>
      <c r="AR18" s="322"/>
      <c r="AS18" s="322"/>
      <c r="AT18" s="322"/>
      <c r="AU18" s="322"/>
      <c r="AV18" s="344"/>
      <c r="AW18" s="657"/>
      <c r="AX18" s="322"/>
      <c r="AY18" s="322"/>
      <c r="AZ18" s="322"/>
      <c r="BA18" s="322"/>
      <c r="BB18" s="322"/>
      <c r="BC18" s="322"/>
      <c r="BD18" s="323"/>
      <c r="BE18" s="876"/>
      <c r="BF18" s="20"/>
    </row>
    <row r="19" spans="2:65" ht="18.75" customHeight="1">
      <c r="B19" s="907">
        <v>6</v>
      </c>
      <c r="C19" s="908" t="s">
        <v>192</v>
      </c>
      <c r="D19" s="815" t="s">
        <v>212</v>
      </c>
      <c r="E19" s="822" t="s">
        <v>249</v>
      </c>
      <c r="F19" s="909"/>
      <c r="G19" s="254"/>
      <c r="H19" s="254"/>
      <c r="I19" s="254"/>
      <c r="J19" s="254"/>
      <c r="K19" s="254"/>
      <c r="L19" s="255"/>
      <c r="M19" s="255"/>
      <c r="N19" s="254"/>
      <c r="O19" s="254"/>
      <c r="P19" s="254"/>
      <c r="Q19" s="254"/>
      <c r="R19" s="264"/>
      <c r="S19" s="437"/>
      <c r="T19" s="254"/>
      <c r="U19" s="267"/>
      <c r="V19" s="267"/>
      <c r="W19" s="927"/>
      <c r="X19" s="928"/>
      <c r="Y19" s="349"/>
      <c r="Z19" s="254"/>
      <c r="AA19" s="254"/>
      <c r="AB19" s="254"/>
      <c r="AC19" s="254"/>
      <c r="AD19" s="254"/>
      <c r="AE19" s="254"/>
      <c r="AF19" s="267"/>
      <c r="AG19" s="348"/>
      <c r="AH19" s="254"/>
      <c r="AI19" s="254"/>
      <c r="AJ19" s="254"/>
      <c r="AK19" s="254"/>
      <c r="AL19" s="254"/>
      <c r="AM19" s="254"/>
      <c r="AN19" s="267"/>
      <c r="AO19" s="348"/>
      <c r="AP19" s="254"/>
      <c r="AQ19" s="254"/>
      <c r="AR19" s="254"/>
      <c r="AS19" s="254"/>
      <c r="AT19" s="254"/>
      <c r="AU19" s="254"/>
      <c r="AV19" s="267"/>
      <c r="AW19" s="348"/>
      <c r="AX19" s="254"/>
      <c r="AY19" s="254"/>
      <c r="AZ19" s="254"/>
      <c r="BA19" s="254"/>
      <c r="BB19" s="254"/>
      <c r="BC19" s="254"/>
      <c r="BD19" s="264"/>
      <c r="BE19" s="872"/>
      <c r="BF19" s="20"/>
      <c r="BG19" s="141"/>
      <c r="BK19" s="141"/>
      <c r="BL19" s="141"/>
      <c r="BM19" s="141"/>
    </row>
    <row r="20" spans="2:65" ht="18.75" customHeight="1">
      <c r="B20" s="879">
        <v>6.1</v>
      </c>
      <c r="C20" s="880" t="s">
        <v>193</v>
      </c>
      <c r="D20" s="816" t="s">
        <v>212</v>
      </c>
      <c r="E20" s="823" t="s">
        <v>249</v>
      </c>
      <c r="F20" s="1043">
        <v>1</v>
      </c>
      <c r="G20" s="246"/>
      <c r="H20" s="246"/>
      <c r="I20" s="246"/>
      <c r="J20" s="246"/>
      <c r="K20" s="246"/>
      <c r="L20" s="247"/>
      <c r="M20" s="247"/>
      <c r="N20" s="246"/>
      <c r="O20" s="246"/>
      <c r="P20" s="246"/>
      <c r="Q20" s="246"/>
      <c r="R20" s="257"/>
      <c r="S20" s="438"/>
      <c r="T20" s="246"/>
      <c r="U20" s="268"/>
      <c r="V20" s="268"/>
      <c r="W20" s="931"/>
      <c r="X20" s="932"/>
      <c r="Y20" s="362"/>
      <c r="Z20" s="246"/>
      <c r="AA20" s="246"/>
      <c r="AB20" s="246"/>
      <c r="AC20" s="246"/>
      <c r="AD20" s="246"/>
      <c r="AE20" s="246"/>
      <c r="AF20" s="268"/>
      <c r="AG20" s="266"/>
      <c r="AH20" s="246"/>
      <c r="AI20" s="246"/>
      <c r="AJ20" s="246"/>
      <c r="AK20" s="246"/>
      <c r="AL20" s="246"/>
      <c r="AM20" s="246"/>
      <c r="AN20" s="268"/>
      <c r="AO20" s="266"/>
      <c r="AP20" s="246"/>
      <c r="AQ20" s="246"/>
      <c r="AR20" s="246"/>
      <c r="AS20" s="246"/>
      <c r="AT20" s="246"/>
      <c r="AU20" s="246"/>
      <c r="AV20" s="268"/>
      <c r="AW20" s="266"/>
      <c r="AX20" s="246"/>
      <c r="AY20" s="246"/>
      <c r="AZ20" s="246"/>
      <c r="BA20" s="246"/>
      <c r="BB20" s="246"/>
      <c r="BC20" s="246"/>
      <c r="BD20" s="257"/>
      <c r="BE20" s="622"/>
      <c r="BF20" s="20"/>
      <c r="BG20" s="141"/>
      <c r="BK20" s="141"/>
      <c r="BL20" s="141"/>
      <c r="BM20" s="141"/>
    </row>
    <row r="21" spans="2:65" ht="18.75" customHeight="1">
      <c r="B21" s="879"/>
      <c r="C21" s="880" t="s">
        <v>194</v>
      </c>
      <c r="D21" s="816" t="s">
        <v>212</v>
      </c>
      <c r="E21" s="823" t="s">
        <v>249</v>
      </c>
      <c r="F21" s="1043"/>
      <c r="G21" s="246">
        <v>0.5</v>
      </c>
      <c r="H21" s="246">
        <v>1</v>
      </c>
      <c r="I21" s="246">
        <v>2</v>
      </c>
      <c r="J21" s="246"/>
      <c r="K21" s="246">
        <v>0.5</v>
      </c>
      <c r="L21" s="247"/>
      <c r="M21" s="247"/>
      <c r="N21" s="246"/>
      <c r="O21" s="246"/>
      <c r="P21" s="246"/>
      <c r="Q21" s="246"/>
      <c r="R21" s="257"/>
      <c r="S21" s="438"/>
      <c r="T21" s="246"/>
      <c r="U21" s="268"/>
      <c r="V21" s="268"/>
      <c r="W21" s="931"/>
      <c r="X21" s="932"/>
      <c r="Y21" s="362"/>
      <c r="Z21" s="246"/>
      <c r="AA21" s="246"/>
      <c r="AB21" s="246"/>
      <c r="AC21" s="246"/>
      <c r="AD21" s="246"/>
      <c r="AE21" s="246"/>
      <c r="AF21" s="268"/>
      <c r="AG21" s="266"/>
      <c r="AH21" s="246"/>
      <c r="AI21" s="246"/>
      <c r="AJ21" s="246"/>
      <c r="AK21" s="246"/>
      <c r="AL21" s="246"/>
      <c r="AM21" s="246"/>
      <c r="AN21" s="268"/>
      <c r="AO21" s="266"/>
      <c r="AP21" s="246"/>
      <c r="AQ21" s="246"/>
      <c r="AR21" s="246"/>
      <c r="AS21" s="246"/>
      <c r="AT21" s="246"/>
      <c r="AU21" s="246"/>
      <c r="AV21" s="268"/>
      <c r="AW21" s="266"/>
      <c r="AX21" s="246"/>
      <c r="AY21" s="246"/>
      <c r="AZ21" s="246"/>
      <c r="BA21" s="246"/>
      <c r="BB21" s="246"/>
      <c r="BC21" s="246"/>
      <c r="BD21" s="257"/>
      <c r="BE21" s="622"/>
      <c r="BF21" s="20"/>
      <c r="BG21" s="141"/>
      <c r="BK21" s="141"/>
      <c r="BL21" s="141"/>
      <c r="BM21" s="141"/>
    </row>
    <row r="22" spans="2:65" ht="18.649999999999999" customHeight="1">
      <c r="B22" s="879">
        <v>6.2</v>
      </c>
      <c r="C22" s="881" t="s">
        <v>195</v>
      </c>
      <c r="D22" s="882" t="s">
        <v>212</v>
      </c>
      <c r="E22" s="823" t="s">
        <v>249</v>
      </c>
      <c r="F22" s="1043"/>
      <c r="G22" s="246"/>
      <c r="H22" s="246"/>
      <c r="I22" s="246"/>
      <c r="J22" s="246"/>
      <c r="K22" s="246"/>
      <c r="L22" s="247"/>
      <c r="M22" s="247"/>
      <c r="N22" s="246"/>
      <c r="O22" s="246"/>
      <c r="P22" s="246"/>
      <c r="Q22" s="246"/>
      <c r="R22" s="257"/>
      <c r="S22" s="438"/>
      <c r="T22" s="246"/>
      <c r="U22" s="268"/>
      <c r="V22" s="268"/>
      <c r="W22" s="931"/>
      <c r="X22" s="932"/>
      <c r="Y22" s="362"/>
      <c r="Z22" s="246"/>
      <c r="AA22" s="246"/>
      <c r="AB22" s="246"/>
      <c r="AC22" s="246"/>
      <c r="AD22" s="246"/>
      <c r="AE22" s="246"/>
      <c r="AF22" s="268"/>
      <c r="AG22" s="266"/>
      <c r="AH22" s="246"/>
      <c r="AI22" s="246"/>
      <c r="AJ22" s="246"/>
      <c r="AK22" s="246"/>
      <c r="AL22" s="246"/>
      <c r="AM22" s="246"/>
      <c r="AN22" s="268"/>
      <c r="AO22" s="266"/>
      <c r="AP22" s="246"/>
      <c r="AQ22" s="246"/>
      <c r="AR22" s="246"/>
      <c r="AS22" s="246"/>
      <c r="AT22" s="246"/>
      <c r="AU22" s="246"/>
      <c r="AV22" s="268"/>
      <c r="AW22" s="266"/>
      <c r="AX22" s="246"/>
      <c r="AY22" s="246"/>
      <c r="AZ22" s="246"/>
      <c r="BA22" s="246"/>
      <c r="BB22" s="246"/>
      <c r="BC22" s="246"/>
      <c r="BD22" s="257"/>
      <c r="BE22" s="622"/>
      <c r="BF22" s="20"/>
      <c r="BG22" s="141"/>
      <c r="BK22" s="141"/>
      <c r="BL22" s="141"/>
      <c r="BM22" s="141"/>
    </row>
    <row r="23" spans="2:65" ht="29.15" customHeight="1">
      <c r="B23" s="879"/>
      <c r="C23" s="880" t="s">
        <v>196</v>
      </c>
      <c r="D23" s="816" t="s">
        <v>212</v>
      </c>
      <c r="E23" s="823" t="s">
        <v>249</v>
      </c>
      <c r="F23" s="1043"/>
      <c r="G23" s="1044">
        <v>3</v>
      </c>
      <c r="H23" s="1044">
        <v>0.5</v>
      </c>
      <c r="I23" s="1044">
        <v>2</v>
      </c>
      <c r="J23" s="246"/>
      <c r="K23" s="1044">
        <v>2</v>
      </c>
      <c r="L23" s="247"/>
      <c r="M23" s="247"/>
      <c r="N23" s="1044">
        <v>1</v>
      </c>
      <c r="O23" s="246"/>
      <c r="P23" s="246"/>
      <c r="Q23" s="246"/>
      <c r="R23" s="257"/>
      <c r="S23" s="438"/>
      <c r="T23" s="246">
        <v>3</v>
      </c>
      <c r="U23" s="268"/>
      <c r="V23" s="268"/>
      <c r="W23" s="931"/>
      <c r="X23" s="932"/>
      <c r="Y23" s="362"/>
      <c r="Z23" s="246">
        <v>0.25</v>
      </c>
      <c r="AA23" s="246">
        <v>0.25</v>
      </c>
      <c r="AB23" s="246"/>
      <c r="AC23" s="246"/>
      <c r="AD23" s="246"/>
      <c r="AE23" s="246"/>
      <c r="AF23" s="268"/>
      <c r="AG23" s="266"/>
      <c r="AH23" s="246">
        <v>0.5</v>
      </c>
      <c r="AI23" s="246">
        <v>1</v>
      </c>
      <c r="AJ23" s="246"/>
      <c r="AK23" s="246"/>
      <c r="AL23" s="246"/>
      <c r="AM23" s="246"/>
      <c r="AN23" s="268"/>
      <c r="AO23" s="266"/>
      <c r="AP23" s="246">
        <v>1</v>
      </c>
      <c r="AQ23" s="246">
        <v>2.5</v>
      </c>
      <c r="AR23" s="246">
        <v>0.5</v>
      </c>
      <c r="AS23" s="246"/>
      <c r="AT23" s="246"/>
      <c r="AU23" s="246"/>
      <c r="AV23" s="268"/>
      <c r="AW23" s="883"/>
      <c r="AX23" s="884"/>
      <c r="AY23" s="884"/>
      <c r="AZ23" s="884"/>
      <c r="BA23" s="884"/>
      <c r="BB23" s="884"/>
      <c r="BC23" s="884"/>
      <c r="BD23" s="786"/>
      <c r="BE23" s="885"/>
      <c r="BF23" s="20"/>
      <c r="BG23" s="770"/>
      <c r="BK23" s="141"/>
      <c r="BL23" s="141"/>
      <c r="BM23" s="141"/>
    </row>
    <row r="24" spans="2:65" ht="18.75" customHeight="1">
      <c r="B24" s="879"/>
      <c r="C24" s="880" t="s">
        <v>197</v>
      </c>
      <c r="D24" s="816" t="s">
        <v>212</v>
      </c>
      <c r="E24" s="823" t="s">
        <v>249</v>
      </c>
      <c r="F24" s="1043"/>
      <c r="G24" s="1044"/>
      <c r="H24" s="1044"/>
      <c r="I24" s="1044"/>
      <c r="J24" s="246"/>
      <c r="K24" s="1044"/>
      <c r="L24" s="247"/>
      <c r="M24" s="247"/>
      <c r="N24" s="1044"/>
      <c r="O24" s="246"/>
      <c r="P24" s="246"/>
      <c r="Q24" s="246"/>
      <c r="R24" s="257"/>
      <c r="S24" s="438"/>
      <c r="T24" s="246">
        <v>1</v>
      </c>
      <c r="U24" s="268"/>
      <c r="V24" s="268"/>
      <c r="W24" s="931"/>
      <c r="X24" s="932"/>
      <c r="Y24" s="362"/>
      <c r="Z24" s="246">
        <v>0.25</v>
      </c>
      <c r="AA24" s="246">
        <v>0.25</v>
      </c>
      <c r="AB24" s="246"/>
      <c r="AC24" s="246"/>
      <c r="AD24" s="246"/>
      <c r="AE24" s="246"/>
      <c r="AF24" s="268"/>
      <c r="AG24" s="266"/>
      <c r="AH24" s="246">
        <v>0.5</v>
      </c>
      <c r="AI24" s="246">
        <v>1</v>
      </c>
      <c r="AJ24" s="246"/>
      <c r="AK24" s="246"/>
      <c r="AL24" s="246"/>
      <c r="AM24" s="246"/>
      <c r="AN24" s="268"/>
      <c r="AO24" s="266"/>
      <c r="AP24" s="246">
        <v>0.5</v>
      </c>
      <c r="AQ24" s="246">
        <v>1</v>
      </c>
      <c r="AR24" s="246">
        <v>0.5</v>
      </c>
      <c r="AS24" s="246"/>
      <c r="AT24" s="246"/>
      <c r="AU24" s="246"/>
      <c r="AV24" s="268"/>
      <c r="AW24" s="266"/>
      <c r="AX24" s="246"/>
      <c r="AY24" s="246"/>
      <c r="AZ24" s="246"/>
      <c r="BA24" s="246"/>
      <c r="BB24" s="246"/>
      <c r="BC24" s="246"/>
      <c r="BD24" s="257"/>
      <c r="BE24" s="622"/>
      <c r="BF24" s="20"/>
      <c r="BG24" s="141"/>
      <c r="BK24" s="141"/>
      <c r="BL24" s="141"/>
      <c r="BM24" s="141"/>
    </row>
    <row r="25" spans="2:65" ht="58">
      <c r="B25" s="879"/>
      <c r="C25" s="880" t="s">
        <v>198</v>
      </c>
      <c r="D25" s="816" t="s">
        <v>250</v>
      </c>
      <c r="E25" s="823" t="s">
        <v>249</v>
      </c>
      <c r="F25" s="1043"/>
      <c r="G25" s="1081">
        <v>0.5</v>
      </c>
      <c r="H25" s="1081">
        <v>1</v>
      </c>
      <c r="I25" s="1081">
        <v>0.5</v>
      </c>
      <c r="J25" s="246"/>
      <c r="K25" s="1081">
        <v>1</v>
      </c>
      <c r="L25" s="247"/>
      <c r="M25" s="247"/>
      <c r="N25" s="246"/>
      <c r="O25" s="246"/>
      <c r="P25" s="246"/>
      <c r="Q25" s="246"/>
      <c r="R25" s="257"/>
      <c r="S25" s="438"/>
      <c r="T25" s="246"/>
      <c r="U25" s="268"/>
      <c r="V25" s="268"/>
      <c r="W25" s="931"/>
      <c r="X25" s="932"/>
      <c r="Y25" s="362"/>
      <c r="Z25" s="246"/>
      <c r="AA25" s="246"/>
      <c r="AB25" s="246"/>
      <c r="AC25" s="246"/>
      <c r="AD25" s="246"/>
      <c r="AE25" s="246"/>
      <c r="AF25" s="268"/>
      <c r="AG25" s="266"/>
      <c r="AH25" s="246"/>
      <c r="AI25" s="246"/>
      <c r="AJ25" s="246"/>
      <c r="AK25" s="246"/>
      <c r="AL25" s="246"/>
      <c r="AM25" s="246"/>
      <c r="AN25" s="268"/>
      <c r="AO25" s="266"/>
      <c r="AP25" s="246"/>
      <c r="AQ25" s="246"/>
      <c r="AR25" s="246"/>
      <c r="AS25" s="246"/>
      <c r="AT25" s="246"/>
      <c r="AU25" s="246"/>
      <c r="AV25" s="268"/>
      <c r="AW25" s="266"/>
      <c r="AX25" s="246"/>
      <c r="AY25" s="246"/>
      <c r="AZ25" s="1081">
        <v>1</v>
      </c>
      <c r="BA25" s="944"/>
      <c r="BB25" s="246"/>
      <c r="BC25" s="246"/>
      <c r="BD25" s="257"/>
      <c r="BE25" s="1083"/>
      <c r="BF25" s="20"/>
      <c r="BG25" s="141"/>
      <c r="BK25" s="141"/>
      <c r="BL25" s="141"/>
      <c r="BM25" s="141"/>
    </row>
    <row r="26" spans="2:65" ht="18.75" customHeight="1">
      <c r="B26" s="879"/>
      <c r="C26" s="880" t="s">
        <v>207</v>
      </c>
      <c r="D26" s="816" t="s">
        <v>212</v>
      </c>
      <c r="E26" s="245" t="s">
        <v>249</v>
      </c>
      <c r="F26" s="811"/>
      <c r="G26" s="1082"/>
      <c r="H26" s="1082"/>
      <c r="I26" s="1082"/>
      <c r="J26" s="246"/>
      <c r="K26" s="1082"/>
      <c r="L26" s="247"/>
      <c r="M26" s="247"/>
      <c r="N26" s="246">
        <v>5.5</v>
      </c>
      <c r="O26" s="492">
        <v>1.5</v>
      </c>
      <c r="P26" s="246"/>
      <c r="Q26" s="246"/>
      <c r="R26" s="257"/>
      <c r="S26" s="438"/>
      <c r="T26" s="246"/>
      <c r="U26" s="268"/>
      <c r="V26" s="268"/>
      <c r="W26" s="931"/>
      <c r="X26" s="932"/>
      <c r="Y26" s="362"/>
      <c r="Z26" s="246"/>
      <c r="AA26" s="246"/>
      <c r="AB26" s="246"/>
      <c r="AC26" s="246"/>
      <c r="AD26" s="246"/>
      <c r="AE26" s="246"/>
      <c r="AF26" s="268"/>
      <c r="AG26" s="266"/>
      <c r="AH26" s="246"/>
      <c r="AI26" s="246"/>
      <c r="AJ26" s="246"/>
      <c r="AK26" s="246"/>
      <c r="AL26" s="246"/>
      <c r="AM26" s="246"/>
      <c r="AN26" s="268"/>
      <c r="AO26" s="266"/>
      <c r="AP26" s="246"/>
      <c r="AQ26" s="246"/>
      <c r="AR26" s="246"/>
      <c r="AS26" s="246"/>
      <c r="AT26" s="246"/>
      <c r="AU26" s="246"/>
      <c r="AV26" s="268"/>
      <c r="AW26" s="266"/>
      <c r="AX26" s="246"/>
      <c r="AY26" s="246"/>
      <c r="AZ26" s="1082"/>
      <c r="BA26" s="494"/>
      <c r="BB26" s="246"/>
      <c r="BC26" s="246"/>
      <c r="BD26" s="257"/>
      <c r="BE26" s="1084"/>
      <c r="BF26" s="20"/>
      <c r="BG26" s="777" t="s">
        <v>204</v>
      </c>
      <c r="BK26" s="141"/>
      <c r="BL26" s="141"/>
      <c r="BM26" s="141"/>
    </row>
    <row r="27" spans="2:65">
      <c r="B27" s="835">
        <v>7</v>
      </c>
      <c r="C27" s="852" t="s">
        <v>53</v>
      </c>
      <c r="D27" s="816" t="s">
        <v>247</v>
      </c>
      <c r="E27" s="823" t="s">
        <v>249</v>
      </c>
      <c r="F27" s="811">
        <v>0</v>
      </c>
      <c r="G27" s="886">
        <v>0</v>
      </c>
      <c r="H27" s="886">
        <v>0</v>
      </c>
      <c r="I27" s="886">
        <v>0</v>
      </c>
      <c r="J27" s="886"/>
      <c r="K27" s="886"/>
      <c r="L27" s="886"/>
      <c r="M27" s="886"/>
      <c r="N27" s="886"/>
      <c r="O27" s="886"/>
      <c r="P27" s="886"/>
      <c r="Q27" s="886"/>
      <c r="R27" s="887"/>
      <c r="S27" s="810"/>
      <c r="T27" s="886">
        <v>3</v>
      </c>
      <c r="U27" s="888"/>
      <c r="V27" s="888"/>
      <c r="W27" s="933"/>
      <c r="X27" s="934"/>
      <c r="Y27" s="810"/>
      <c r="Z27" s="886"/>
      <c r="AA27" s="886"/>
      <c r="AB27" s="886"/>
      <c r="AC27" s="886"/>
      <c r="AD27" s="886"/>
      <c r="AE27" s="886"/>
      <c r="AF27" s="888"/>
      <c r="AG27" s="811"/>
      <c r="AH27" s="886"/>
      <c r="AI27" s="886"/>
      <c r="AJ27" s="886"/>
      <c r="AK27" s="886"/>
      <c r="AL27" s="886"/>
      <c r="AM27" s="886"/>
      <c r="AN27" s="888"/>
      <c r="AO27" s="811"/>
      <c r="AP27" s="886"/>
      <c r="AQ27" s="886"/>
      <c r="AR27" s="886"/>
      <c r="AS27" s="886"/>
      <c r="AT27" s="886"/>
      <c r="AU27" s="886"/>
      <c r="AV27" s="888"/>
      <c r="AW27" s="811"/>
      <c r="AX27" s="886"/>
      <c r="AY27" s="886"/>
      <c r="AZ27" s="886">
        <v>1</v>
      </c>
      <c r="BA27" s="886"/>
      <c r="BB27" s="886"/>
      <c r="BC27" s="886"/>
      <c r="BD27" s="887"/>
      <c r="BE27" s="889"/>
      <c r="BF27" s="20"/>
    </row>
    <row r="28" spans="2:65">
      <c r="B28" s="835">
        <v>8</v>
      </c>
      <c r="C28" s="852" t="s">
        <v>54</v>
      </c>
      <c r="D28" s="816" t="s">
        <v>247</v>
      </c>
      <c r="E28" s="823" t="s">
        <v>249</v>
      </c>
      <c r="F28" s="811">
        <v>1</v>
      </c>
      <c r="G28" s="886">
        <v>2</v>
      </c>
      <c r="H28" s="886">
        <v>1</v>
      </c>
      <c r="I28" s="886">
        <v>2</v>
      </c>
      <c r="J28" s="886"/>
      <c r="K28" s="886">
        <v>1</v>
      </c>
      <c r="L28" s="886"/>
      <c r="M28" s="886"/>
      <c r="N28" s="886"/>
      <c r="O28" s="886"/>
      <c r="P28" s="886"/>
      <c r="Q28" s="886"/>
      <c r="R28" s="887"/>
      <c r="S28" s="810"/>
      <c r="T28" s="886">
        <v>2</v>
      </c>
      <c r="U28" s="888"/>
      <c r="V28" s="888"/>
      <c r="W28" s="933"/>
      <c r="X28" s="934"/>
      <c r="Y28" s="810">
        <v>0.25</v>
      </c>
      <c r="Z28" s="886">
        <v>0.5</v>
      </c>
      <c r="AA28" s="886"/>
      <c r="AB28" s="886"/>
      <c r="AC28" s="886"/>
      <c r="AD28" s="886"/>
      <c r="AE28" s="886"/>
      <c r="AF28" s="888"/>
      <c r="AG28" s="811"/>
      <c r="AH28" s="886">
        <v>0.25</v>
      </c>
      <c r="AI28" s="886"/>
      <c r="AJ28" s="886"/>
      <c r="AK28" s="886"/>
      <c r="AL28" s="886"/>
      <c r="AM28" s="886"/>
      <c r="AN28" s="888"/>
      <c r="AO28" s="811"/>
      <c r="AP28" s="886">
        <v>0.25</v>
      </c>
      <c r="AQ28" s="886">
        <v>0.25</v>
      </c>
      <c r="AR28" s="886"/>
      <c r="AS28" s="886"/>
      <c r="AT28" s="886"/>
      <c r="AU28" s="886"/>
      <c r="AV28" s="888"/>
      <c r="AW28" s="811"/>
      <c r="AX28" s="886"/>
      <c r="AY28" s="886">
        <v>0.25</v>
      </c>
      <c r="AZ28" s="886">
        <v>1</v>
      </c>
      <c r="BA28" s="886"/>
      <c r="BB28" s="886"/>
      <c r="BC28" s="886"/>
      <c r="BD28" s="887"/>
      <c r="BE28" s="889"/>
      <c r="BF28" s="20"/>
    </row>
    <row r="29" spans="2:65">
      <c r="B29" s="835">
        <v>9</v>
      </c>
      <c r="C29" s="852" t="s">
        <v>55</v>
      </c>
      <c r="D29" s="816" t="s">
        <v>247</v>
      </c>
      <c r="E29" s="823" t="s">
        <v>249</v>
      </c>
      <c r="F29" s="811">
        <v>0.5</v>
      </c>
      <c r="G29" s="886">
        <v>1</v>
      </c>
      <c r="H29" s="886">
        <v>1</v>
      </c>
      <c r="I29" s="886">
        <v>1</v>
      </c>
      <c r="J29" s="886"/>
      <c r="K29" s="886">
        <v>1</v>
      </c>
      <c r="L29" s="886"/>
      <c r="M29" s="886"/>
      <c r="N29" s="886"/>
      <c r="O29" s="886"/>
      <c r="P29" s="886"/>
      <c r="Q29" s="886"/>
      <c r="R29" s="887"/>
      <c r="S29" s="810"/>
      <c r="T29" s="886">
        <v>1</v>
      </c>
      <c r="U29" s="888"/>
      <c r="V29" s="888"/>
      <c r="W29" s="933"/>
      <c r="X29" s="934"/>
      <c r="Y29" s="810">
        <v>0.25</v>
      </c>
      <c r="Z29" s="886">
        <v>0.25</v>
      </c>
      <c r="AA29" s="886"/>
      <c r="AB29" s="886"/>
      <c r="AC29" s="886"/>
      <c r="AD29" s="886"/>
      <c r="AE29" s="886"/>
      <c r="AF29" s="888"/>
      <c r="AG29" s="811"/>
      <c r="AH29" s="886">
        <v>0.25</v>
      </c>
      <c r="AI29" s="886"/>
      <c r="AJ29" s="886"/>
      <c r="AK29" s="886"/>
      <c r="AL29" s="886"/>
      <c r="AM29" s="886"/>
      <c r="AN29" s="888"/>
      <c r="AO29" s="811"/>
      <c r="AP29" s="886">
        <v>0.25</v>
      </c>
      <c r="AQ29" s="886">
        <v>0.25</v>
      </c>
      <c r="AR29" s="886"/>
      <c r="AS29" s="886"/>
      <c r="AT29" s="886"/>
      <c r="AU29" s="886"/>
      <c r="AV29" s="888"/>
      <c r="AW29" s="811"/>
      <c r="AX29" s="886"/>
      <c r="AY29" s="886">
        <v>0.25</v>
      </c>
      <c r="AZ29" s="886">
        <v>1</v>
      </c>
      <c r="BA29" s="886"/>
      <c r="BB29" s="886"/>
      <c r="BC29" s="886"/>
      <c r="BD29" s="887"/>
      <c r="BE29" s="889"/>
      <c r="BF29" s="20"/>
    </row>
    <row r="30" spans="2:65">
      <c r="B30" s="835">
        <v>10</v>
      </c>
      <c r="C30" s="852" t="s">
        <v>56</v>
      </c>
      <c r="D30" s="816" t="s">
        <v>247</v>
      </c>
      <c r="E30" s="823" t="s">
        <v>249</v>
      </c>
      <c r="F30" s="811"/>
      <c r="G30" s="886"/>
      <c r="H30" s="886"/>
      <c r="I30" s="886">
        <v>1</v>
      </c>
      <c r="J30" s="886"/>
      <c r="K30" s="886"/>
      <c r="L30" s="886"/>
      <c r="M30" s="886"/>
      <c r="N30" s="886"/>
      <c r="O30" s="886"/>
      <c r="P30" s="886"/>
      <c r="Q30" s="886"/>
      <c r="R30" s="887"/>
      <c r="S30" s="810"/>
      <c r="T30" s="886"/>
      <c r="U30" s="888"/>
      <c r="V30" s="888"/>
      <c r="W30" s="933"/>
      <c r="X30" s="934"/>
      <c r="Y30" s="810"/>
      <c r="Z30" s="886">
        <v>0.25</v>
      </c>
      <c r="AA30" s="886">
        <v>0.5</v>
      </c>
      <c r="AB30" s="886"/>
      <c r="AC30" s="886"/>
      <c r="AD30" s="886"/>
      <c r="AE30" s="886"/>
      <c r="AF30" s="888"/>
      <c r="AG30" s="811"/>
      <c r="AH30" s="886">
        <v>0.25</v>
      </c>
      <c r="AI30" s="886">
        <v>0.5</v>
      </c>
      <c r="AJ30" s="886"/>
      <c r="AK30" s="886"/>
      <c r="AL30" s="886"/>
      <c r="AM30" s="886"/>
      <c r="AN30" s="888"/>
      <c r="AO30" s="811"/>
      <c r="AP30" s="886">
        <v>0.25</v>
      </c>
      <c r="AQ30" s="886">
        <v>0.5</v>
      </c>
      <c r="AR30" s="886"/>
      <c r="AS30" s="886"/>
      <c r="AT30" s="886"/>
      <c r="AU30" s="886"/>
      <c r="AV30" s="888"/>
      <c r="AW30" s="811"/>
      <c r="AX30" s="886"/>
      <c r="AY30" s="886"/>
      <c r="AZ30" s="886">
        <v>1</v>
      </c>
      <c r="BA30" s="886">
        <v>1</v>
      </c>
      <c r="BB30" s="886"/>
      <c r="BC30" s="886"/>
      <c r="BD30" s="887"/>
      <c r="BE30" s="889"/>
      <c r="BF30" s="20"/>
    </row>
    <row r="31" spans="2:65">
      <c r="B31" s="835">
        <v>11</v>
      </c>
      <c r="C31" s="852" t="s">
        <v>57</v>
      </c>
      <c r="D31" s="816" t="s">
        <v>247</v>
      </c>
      <c r="E31" s="823" t="s">
        <v>249</v>
      </c>
      <c r="F31" s="811"/>
      <c r="G31" s="886">
        <v>1</v>
      </c>
      <c r="H31" s="886"/>
      <c r="I31" s="886">
        <v>1</v>
      </c>
      <c r="J31" s="886"/>
      <c r="K31" s="886"/>
      <c r="L31" s="886"/>
      <c r="M31" s="886"/>
      <c r="N31" s="886"/>
      <c r="O31" s="886"/>
      <c r="P31" s="886"/>
      <c r="Q31" s="886"/>
      <c r="R31" s="887">
        <v>3</v>
      </c>
      <c r="S31" s="810"/>
      <c r="T31" s="886"/>
      <c r="U31" s="888"/>
      <c r="V31" s="888"/>
      <c r="W31" s="933"/>
      <c r="X31" s="934"/>
      <c r="Y31" s="810"/>
      <c r="Z31" s="886">
        <v>0.25</v>
      </c>
      <c r="AA31" s="886">
        <v>0.5</v>
      </c>
      <c r="AB31" s="886"/>
      <c r="AC31" s="886"/>
      <c r="AD31" s="886"/>
      <c r="AE31" s="886"/>
      <c r="AF31" s="888"/>
      <c r="AG31" s="811"/>
      <c r="AH31" s="886">
        <v>0.25</v>
      </c>
      <c r="AI31" s="886">
        <v>0.5</v>
      </c>
      <c r="AJ31" s="886"/>
      <c r="AK31" s="886"/>
      <c r="AL31" s="886"/>
      <c r="AM31" s="886"/>
      <c r="AN31" s="888"/>
      <c r="AO31" s="811"/>
      <c r="AP31" s="886">
        <v>0.25</v>
      </c>
      <c r="AQ31" s="886">
        <v>0.5</v>
      </c>
      <c r="AR31" s="886"/>
      <c r="AS31" s="886"/>
      <c r="AT31" s="886"/>
      <c r="AU31" s="886"/>
      <c r="AV31" s="888"/>
      <c r="AW31" s="811"/>
      <c r="AX31" s="886"/>
      <c r="AY31" s="886"/>
      <c r="AZ31" s="886"/>
      <c r="BA31" s="886"/>
      <c r="BB31" s="886"/>
      <c r="BC31" s="886"/>
      <c r="BD31" s="887"/>
      <c r="BE31" s="889"/>
      <c r="BF31" s="20"/>
    </row>
    <row r="32" spans="2:65" ht="15" thickBot="1">
      <c r="B32" s="890">
        <v>12</v>
      </c>
      <c r="C32" s="891" t="s">
        <v>106</v>
      </c>
      <c r="D32" s="816" t="s">
        <v>247</v>
      </c>
      <c r="E32" s="823" t="s">
        <v>249</v>
      </c>
      <c r="F32" s="811">
        <v>1</v>
      </c>
      <c r="G32" s="886">
        <f>2+5</f>
        <v>7</v>
      </c>
      <c r="H32" s="886"/>
      <c r="I32" s="886">
        <f>3+2</f>
        <v>5</v>
      </c>
      <c r="J32" s="886"/>
      <c r="K32" s="886"/>
      <c r="L32" s="886"/>
      <c r="M32" s="886"/>
      <c r="N32" s="886">
        <v>0.5</v>
      </c>
      <c r="O32" s="886"/>
      <c r="P32" s="886"/>
      <c r="Q32" s="886">
        <v>2</v>
      </c>
      <c r="R32" s="887"/>
      <c r="S32" s="810"/>
      <c r="T32" s="886">
        <v>1</v>
      </c>
      <c r="U32" s="888"/>
      <c r="V32" s="888"/>
      <c r="W32" s="933"/>
      <c r="X32" s="934"/>
      <c r="Y32" s="810"/>
      <c r="Z32" s="886">
        <v>0.25</v>
      </c>
      <c r="AA32" s="886">
        <v>0.25</v>
      </c>
      <c r="AB32" s="886"/>
      <c r="AC32" s="886"/>
      <c r="AD32" s="886"/>
      <c r="AE32" s="886"/>
      <c r="AF32" s="888"/>
      <c r="AG32" s="811"/>
      <c r="AH32" s="886">
        <v>0.25</v>
      </c>
      <c r="AI32" s="886">
        <v>0.25</v>
      </c>
      <c r="AJ32" s="886">
        <v>0.25</v>
      </c>
      <c r="AK32" s="886"/>
      <c r="AL32" s="886"/>
      <c r="AM32" s="886"/>
      <c r="AN32" s="888"/>
      <c r="AO32" s="811"/>
      <c r="AP32" s="886">
        <v>0.75</v>
      </c>
      <c r="AQ32" s="886">
        <v>0.25</v>
      </c>
      <c r="AR32" s="886">
        <v>0.25</v>
      </c>
      <c r="AS32" s="886"/>
      <c r="AT32" s="886"/>
      <c r="AU32" s="886"/>
      <c r="AV32" s="888"/>
      <c r="AW32" s="811"/>
      <c r="AX32" s="886"/>
      <c r="AY32" s="886">
        <v>1</v>
      </c>
      <c r="AZ32" s="886">
        <v>1</v>
      </c>
      <c r="BA32" s="886"/>
      <c r="BB32" s="886"/>
      <c r="BC32" s="886"/>
      <c r="BD32" s="887"/>
      <c r="BE32" s="889"/>
      <c r="BF32" s="20"/>
    </row>
    <row r="33" spans="1:135" s="120" customFormat="1">
      <c r="A33" s="20"/>
      <c r="B33" s="836">
        <v>13</v>
      </c>
      <c r="C33" s="848" t="s">
        <v>61</v>
      </c>
      <c r="D33" s="817" t="s">
        <v>248</v>
      </c>
      <c r="E33" s="822" t="s">
        <v>251</v>
      </c>
      <c r="F33" s="348"/>
      <c r="G33" s="254"/>
      <c r="H33" s="254"/>
      <c r="I33" s="254"/>
      <c r="J33" s="254"/>
      <c r="K33" s="254"/>
      <c r="L33" s="254"/>
      <c r="M33" s="254"/>
      <c r="N33" s="254"/>
      <c r="O33" s="254"/>
      <c r="P33" s="254"/>
      <c r="Q33" s="254"/>
      <c r="R33" s="264"/>
      <c r="S33" s="349"/>
      <c r="T33" s="254"/>
      <c r="U33" s="267"/>
      <c r="V33" s="267"/>
      <c r="W33" s="927"/>
      <c r="X33" s="928"/>
      <c r="Y33" s="349"/>
      <c r="Z33" s="254"/>
      <c r="AA33" s="254"/>
      <c r="AB33" s="254"/>
      <c r="AC33" s="254"/>
      <c r="AD33" s="254"/>
      <c r="AE33" s="254"/>
      <c r="AF33" s="267"/>
      <c r="AG33" s="348"/>
      <c r="AH33" s="254"/>
      <c r="AI33" s="254"/>
      <c r="AJ33" s="254"/>
      <c r="AK33" s="254"/>
      <c r="AL33" s="254"/>
      <c r="AM33" s="254"/>
      <c r="AN33" s="267"/>
      <c r="AO33" s="348"/>
      <c r="AP33" s="254"/>
      <c r="AQ33" s="254"/>
      <c r="AR33" s="254"/>
      <c r="AS33" s="254"/>
      <c r="AT33" s="254"/>
      <c r="AU33" s="254"/>
      <c r="AV33" s="267"/>
      <c r="AW33" s="348"/>
      <c r="AX33" s="254"/>
      <c r="AY33" s="254"/>
      <c r="AZ33" s="254"/>
      <c r="BA33" s="254"/>
      <c r="BB33" s="254"/>
      <c r="BC33" s="254"/>
      <c r="BD33" s="264"/>
      <c r="BE33" s="872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</row>
    <row r="34" spans="1:135" s="128" customFormat="1">
      <c r="A34"/>
      <c r="B34" s="837">
        <v>13.1</v>
      </c>
      <c r="C34" s="849" t="s">
        <v>40</v>
      </c>
      <c r="D34" s="818" t="s">
        <v>248</v>
      </c>
      <c r="E34" s="823" t="s">
        <v>251</v>
      </c>
      <c r="F34" s="266"/>
      <c r="G34" s="246"/>
      <c r="H34" s="246"/>
      <c r="I34" s="246"/>
      <c r="J34" s="246"/>
      <c r="K34" s="246"/>
      <c r="L34" s="354"/>
      <c r="M34" s="354"/>
      <c r="N34" s="354"/>
      <c r="O34" s="354"/>
      <c r="P34" s="354"/>
      <c r="Q34" s="354"/>
      <c r="R34" s="355"/>
      <c r="S34" s="356"/>
      <c r="T34" s="357"/>
      <c r="U34" s="917"/>
      <c r="V34" s="358"/>
      <c r="W34" s="935"/>
      <c r="X34" s="936">
        <v>3</v>
      </c>
      <c r="Y34" s="858"/>
      <c r="Z34" s="354"/>
      <c r="AA34" s="354"/>
      <c r="AB34" s="354"/>
      <c r="AC34" s="354"/>
      <c r="AD34" s="354"/>
      <c r="AE34" s="354"/>
      <c r="AF34" s="358"/>
      <c r="AG34" s="859"/>
      <c r="AH34" s="354"/>
      <c r="AI34" s="354"/>
      <c r="AJ34" s="354"/>
      <c r="AK34" s="354"/>
      <c r="AL34" s="354"/>
      <c r="AM34" s="354"/>
      <c r="AN34" s="358"/>
      <c r="AO34" s="859"/>
      <c r="AP34" s="354"/>
      <c r="AQ34" s="354"/>
      <c r="AR34" s="354"/>
      <c r="AS34" s="354"/>
      <c r="AT34" s="354"/>
      <c r="AU34" s="354"/>
      <c r="AV34" s="358"/>
      <c r="AW34" s="859"/>
      <c r="AX34" s="354"/>
      <c r="AY34" s="354"/>
      <c r="AZ34" s="354"/>
      <c r="BA34" s="354"/>
      <c r="BB34" s="354"/>
      <c r="BC34" s="354"/>
      <c r="BD34" s="355"/>
      <c r="BE34" s="873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</row>
    <row r="35" spans="1:135" s="128" customFormat="1" ht="130.5">
      <c r="A35"/>
      <c r="B35" s="837">
        <v>13.2</v>
      </c>
      <c r="C35" s="849" t="s">
        <v>82</v>
      </c>
      <c r="D35" s="818" t="s">
        <v>248</v>
      </c>
      <c r="E35" s="823" t="s">
        <v>251</v>
      </c>
      <c r="F35" s="266">
        <v>2</v>
      </c>
      <c r="G35" s="246">
        <v>3</v>
      </c>
      <c r="H35" s="246">
        <v>2</v>
      </c>
      <c r="I35" s="246">
        <v>5</v>
      </c>
      <c r="J35" s="357"/>
      <c r="K35" s="246">
        <v>2</v>
      </c>
      <c r="L35" s="354"/>
      <c r="M35" s="246">
        <v>1</v>
      </c>
      <c r="N35" s="246"/>
      <c r="O35" s="246"/>
      <c r="P35" s="354"/>
      <c r="Q35" s="354"/>
      <c r="R35" s="355"/>
      <c r="S35" s="362"/>
      <c r="T35" s="246"/>
      <c r="U35" s="268"/>
      <c r="V35" s="358"/>
      <c r="W35" s="935"/>
      <c r="X35" s="936"/>
      <c r="Y35" s="858"/>
      <c r="Z35" s="354"/>
      <c r="AA35" s="354"/>
      <c r="AB35" s="354"/>
      <c r="AC35" s="354"/>
      <c r="AD35" s="354"/>
      <c r="AE35" s="354"/>
      <c r="AF35" s="358"/>
      <c r="AG35" s="859"/>
      <c r="AH35" s="354"/>
      <c r="AI35" s="354"/>
      <c r="AJ35" s="354"/>
      <c r="AK35" s="354"/>
      <c r="AL35" s="354"/>
      <c r="AM35" s="354"/>
      <c r="AN35" s="358"/>
      <c r="AO35" s="859"/>
      <c r="AP35" s="354"/>
      <c r="AQ35" s="354"/>
      <c r="AR35" s="354"/>
      <c r="AS35" s="354"/>
      <c r="AT35" s="354"/>
      <c r="AU35" s="354"/>
      <c r="AV35" s="358"/>
      <c r="AW35" s="859"/>
      <c r="AX35" s="354"/>
      <c r="AY35" s="354"/>
      <c r="AZ35" s="354"/>
      <c r="BA35" s="354"/>
      <c r="BB35" s="354"/>
      <c r="BC35" s="354"/>
      <c r="BD35" s="355"/>
      <c r="BE35" s="873"/>
      <c r="BF35" s="129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</row>
    <row r="36" spans="1:135" s="141" customFormat="1" ht="18.75" customHeight="1">
      <c r="B36" s="837">
        <v>14</v>
      </c>
      <c r="C36" s="847" t="s">
        <v>185</v>
      </c>
      <c r="D36" s="816" t="s">
        <v>248</v>
      </c>
      <c r="E36" s="823" t="s">
        <v>251</v>
      </c>
      <c r="F36" s="266">
        <v>2</v>
      </c>
      <c r="G36" s="892">
        <v>5</v>
      </c>
      <c r="H36" s="246">
        <v>8</v>
      </c>
      <c r="I36" s="246">
        <v>5</v>
      </c>
      <c r="J36" s="246">
        <v>15</v>
      </c>
      <c r="K36" s="1044">
        <v>4</v>
      </c>
      <c r="L36" s="247"/>
      <c r="M36" s="247"/>
      <c r="N36" s="246"/>
      <c r="O36" s="246"/>
      <c r="P36" s="246"/>
      <c r="Q36" s="247"/>
      <c r="R36" s="893"/>
      <c r="S36" s="362"/>
      <c r="T36" s="246"/>
      <c r="U36" s="268"/>
      <c r="V36" s="268"/>
      <c r="W36" s="931"/>
      <c r="X36" s="932"/>
      <c r="Y36" s="362"/>
      <c r="Z36" s="246"/>
      <c r="AA36" s="246"/>
      <c r="AB36" s="246"/>
      <c r="AC36" s="246"/>
      <c r="AD36" s="246"/>
      <c r="AE36" s="246"/>
      <c r="AF36" s="268"/>
      <c r="AG36" s="266"/>
      <c r="AH36" s="246"/>
      <c r="AI36" s="246"/>
      <c r="AJ36" s="246"/>
      <c r="AK36" s="246"/>
      <c r="AL36" s="246"/>
      <c r="AM36" s="246"/>
      <c r="AN36" s="268"/>
      <c r="AO36" s="266"/>
      <c r="AP36" s="246"/>
      <c r="AQ36" s="246"/>
      <c r="AR36" s="246"/>
      <c r="AS36" s="246"/>
      <c r="AT36" s="246"/>
      <c r="AU36" s="246"/>
      <c r="AV36" s="268"/>
      <c r="AW36" s="266"/>
      <c r="AX36" s="246"/>
      <c r="AY36" s="246"/>
      <c r="AZ36" s="246"/>
      <c r="BA36" s="246"/>
      <c r="BB36" s="246"/>
      <c r="BC36" s="246"/>
      <c r="BD36" s="257"/>
      <c r="BE36" s="622"/>
    </row>
    <row r="37" spans="1:135" s="141" customFormat="1" ht="159.75" customHeight="1">
      <c r="B37" s="837">
        <v>15</v>
      </c>
      <c r="C37" s="894" t="s">
        <v>91</v>
      </c>
      <c r="D37" s="895" t="s">
        <v>248</v>
      </c>
      <c r="E37" s="823" t="s">
        <v>251</v>
      </c>
      <c r="F37" s="266">
        <v>0.5</v>
      </c>
      <c r="G37" s="892">
        <v>3</v>
      </c>
      <c r="H37" s="246">
        <v>2</v>
      </c>
      <c r="I37" s="246">
        <v>3</v>
      </c>
      <c r="J37" s="246"/>
      <c r="K37" s="1044"/>
      <c r="L37" s="247"/>
      <c r="M37" s="247"/>
      <c r="N37" s="246"/>
      <c r="O37" s="246"/>
      <c r="P37" s="246"/>
      <c r="Q37" s="246">
        <v>5</v>
      </c>
      <c r="R37" s="893"/>
      <c r="S37" s="362"/>
      <c r="T37" s="246"/>
      <c r="U37" s="268"/>
      <c r="V37" s="268"/>
      <c r="W37" s="931"/>
      <c r="X37" s="932"/>
      <c r="Y37" s="362"/>
      <c r="Z37" s="246"/>
      <c r="AA37" s="246"/>
      <c r="AB37" s="246"/>
      <c r="AC37" s="246"/>
      <c r="AD37" s="246"/>
      <c r="AE37" s="246"/>
      <c r="AF37" s="268"/>
      <c r="AG37" s="266"/>
      <c r="AH37" s="246"/>
      <c r="AI37" s="246"/>
      <c r="AJ37" s="246"/>
      <c r="AK37" s="246"/>
      <c r="AL37" s="246"/>
      <c r="AM37" s="246"/>
      <c r="AN37" s="268"/>
      <c r="AO37" s="266"/>
      <c r="AP37" s="246"/>
      <c r="AQ37" s="246"/>
      <c r="AR37" s="246"/>
      <c r="AS37" s="246"/>
      <c r="AT37" s="246"/>
      <c r="AU37" s="246"/>
      <c r="AV37" s="268"/>
      <c r="AW37" s="266"/>
      <c r="AX37" s="246"/>
      <c r="AY37" s="246"/>
      <c r="AZ37" s="246"/>
      <c r="BA37" s="246"/>
      <c r="BB37" s="246"/>
      <c r="BC37" s="246"/>
      <c r="BD37" s="257"/>
      <c r="BE37" s="622"/>
    </row>
    <row r="38" spans="1:135" s="141" customFormat="1" ht="87">
      <c r="B38" s="837">
        <v>16</v>
      </c>
      <c r="C38" s="847" t="s">
        <v>186</v>
      </c>
      <c r="D38" s="816" t="s">
        <v>248</v>
      </c>
      <c r="E38" s="823" t="s">
        <v>251</v>
      </c>
      <c r="F38" s="266">
        <v>0.5</v>
      </c>
      <c r="G38" s="892">
        <v>2</v>
      </c>
      <c r="H38" s="246">
        <v>2</v>
      </c>
      <c r="I38" s="246">
        <v>0</v>
      </c>
      <c r="J38" s="246">
        <v>7</v>
      </c>
      <c r="K38" s="246"/>
      <c r="L38" s="247"/>
      <c r="M38" s="247"/>
      <c r="N38" s="246"/>
      <c r="O38" s="246"/>
      <c r="P38" s="246"/>
      <c r="Q38" s="247"/>
      <c r="R38" s="893"/>
      <c r="S38" s="362"/>
      <c r="T38" s="246"/>
      <c r="U38" s="268"/>
      <c r="V38" s="268"/>
      <c r="W38" s="931"/>
      <c r="X38" s="932"/>
      <c r="Y38" s="362"/>
      <c r="Z38" s="246"/>
      <c r="AA38" s="246"/>
      <c r="AB38" s="246"/>
      <c r="AC38" s="246"/>
      <c r="AD38" s="246"/>
      <c r="AE38" s="246"/>
      <c r="AF38" s="268"/>
      <c r="AG38" s="266"/>
      <c r="AH38" s="246"/>
      <c r="AI38" s="246"/>
      <c r="AJ38" s="246"/>
      <c r="AK38" s="246"/>
      <c r="AL38" s="246"/>
      <c r="AM38" s="246"/>
      <c r="AN38" s="268"/>
      <c r="AO38" s="266"/>
      <c r="AP38" s="246"/>
      <c r="AQ38" s="246"/>
      <c r="AR38" s="246"/>
      <c r="AS38" s="246"/>
      <c r="AT38" s="246"/>
      <c r="AU38" s="246"/>
      <c r="AV38" s="268"/>
      <c r="AW38" s="266"/>
      <c r="AX38" s="246"/>
      <c r="AY38" s="246"/>
      <c r="AZ38" s="246"/>
      <c r="BA38" s="246"/>
      <c r="BB38" s="246"/>
      <c r="BC38" s="246"/>
      <c r="BD38" s="257"/>
      <c r="BE38" s="622"/>
    </row>
    <row r="39" spans="1:135" ht="18.75" customHeight="1">
      <c r="B39" s="837">
        <v>17</v>
      </c>
      <c r="C39" s="847" t="s">
        <v>94</v>
      </c>
      <c r="D39" s="816" t="s">
        <v>248</v>
      </c>
      <c r="E39" s="823" t="s">
        <v>251</v>
      </c>
      <c r="F39" s="896"/>
      <c r="G39" s="246"/>
      <c r="H39" s="246"/>
      <c r="I39" s="246"/>
      <c r="J39" s="246"/>
      <c r="K39" s="246"/>
      <c r="L39" s="247"/>
      <c r="M39" s="247"/>
      <c r="N39" s="246"/>
      <c r="O39" s="246"/>
      <c r="P39" s="246"/>
      <c r="Q39" s="246"/>
      <c r="R39" s="257"/>
      <c r="S39" s="438"/>
      <c r="T39" s="246"/>
      <c r="U39" s="268"/>
      <c r="V39" s="268"/>
      <c r="W39" s="931"/>
      <c r="X39" s="932"/>
      <c r="Y39" s="362"/>
      <c r="Z39" s="246"/>
      <c r="AA39" s="246"/>
      <c r="AB39" s="246"/>
      <c r="AC39" s="246"/>
      <c r="AD39" s="246"/>
      <c r="AE39" s="246"/>
      <c r="AF39" s="268"/>
      <c r="AG39" s="266"/>
      <c r="AH39" s="246"/>
      <c r="AI39" s="246"/>
      <c r="AJ39" s="246"/>
      <c r="AK39" s="246"/>
      <c r="AL39" s="246"/>
      <c r="AM39" s="246"/>
      <c r="AN39" s="268"/>
      <c r="AO39" s="266"/>
      <c r="AP39" s="246"/>
      <c r="AQ39" s="246"/>
      <c r="AR39" s="246"/>
      <c r="AS39" s="246"/>
      <c r="AT39" s="246"/>
      <c r="AU39" s="246"/>
      <c r="AV39" s="268"/>
      <c r="AW39" s="266"/>
      <c r="AX39" s="246"/>
      <c r="AY39" s="246"/>
      <c r="AZ39" s="246"/>
      <c r="BA39" s="246"/>
      <c r="BB39" s="246"/>
      <c r="BC39" s="246"/>
      <c r="BD39" s="257"/>
      <c r="BE39" s="622"/>
      <c r="BF39" s="141"/>
      <c r="BG39" s="141"/>
      <c r="BH39" s="141"/>
      <c r="BI39" s="141"/>
    </row>
    <row r="40" spans="1:135" ht="18.75" customHeight="1">
      <c r="B40" s="837"/>
      <c r="C40" s="847" t="s">
        <v>95</v>
      </c>
      <c r="D40" s="816" t="s">
        <v>248</v>
      </c>
      <c r="E40" s="823" t="s">
        <v>251</v>
      </c>
      <c r="F40" s="1043">
        <v>1</v>
      </c>
      <c r="G40" s="1044">
        <v>2</v>
      </c>
      <c r="H40" s="1044">
        <v>1</v>
      </c>
      <c r="I40" s="1044">
        <v>1</v>
      </c>
      <c r="J40" s="246"/>
      <c r="K40" s="246"/>
      <c r="L40" s="247"/>
      <c r="M40" s="247"/>
      <c r="N40" s="246"/>
      <c r="O40" s="246"/>
      <c r="P40" s="246"/>
      <c r="Q40" s="246"/>
      <c r="R40" s="257"/>
      <c r="S40" s="438"/>
      <c r="T40" s="246"/>
      <c r="U40" s="268"/>
      <c r="V40" s="268"/>
      <c r="W40" s="931"/>
      <c r="X40" s="932"/>
      <c r="Y40" s="362">
        <v>0.5</v>
      </c>
      <c r="Z40" s="246">
        <v>1</v>
      </c>
      <c r="AA40" s="246"/>
      <c r="AB40" s="246"/>
      <c r="AC40" s="246"/>
      <c r="AD40" s="246">
        <v>1</v>
      </c>
      <c r="AE40" s="246"/>
      <c r="AF40" s="268"/>
      <c r="AG40" s="266"/>
      <c r="AH40" s="246"/>
      <c r="AI40" s="246"/>
      <c r="AJ40" s="246"/>
      <c r="AK40" s="246"/>
      <c r="AL40" s="246"/>
      <c r="AM40" s="246"/>
      <c r="AN40" s="268"/>
      <c r="AO40" s="266"/>
      <c r="AP40" s="246"/>
      <c r="AQ40" s="246"/>
      <c r="AR40" s="246"/>
      <c r="AS40" s="246"/>
      <c r="AT40" s="246"/>
      <c r="AU40" s="246"/>
      <c r="AV40" s="268"/>
      <c r="AW40" s="266"/>
      <c r="AX40" s="246"/>
      <c r="AY40" s="246"/>
      <c r="AZ40" s="246"/>
      <c r="BA40" s="246"/>
      <c r="BB40" s="246"/>
      <c r="BC40" s="246"/>
      <c r="BD40" s="257"/>
      <c r="BE40" s="622"/>
      <c r="BF40" s="141"/>
      <c r="BG40" s="141"/>
      <c r="BH40" s="141"/>
      <c r="BI40" s="141"/>
    </row>
    <row r="41" spans="1:135" ht="18.649999999999999" customHeight="1">
      <c r="B41" s="837"/>
      <c r="C41" s="847" t="s">
        <v>96</v>
      </c>
      <c r="D41" s="816" t="s">
        <v>248</v>
      </c>
      <c r="E41" s="823" t="s">
        <v>251</v>
      </c>
      <c r="F41" s="1043"/>
      <c r="G41" s="1044"/>
      <c r="H41" s="1044"/>
      <c r="I41" s="1044"/>
      <c r="J41" s="246"/>
      <c r="K41" s="246"/>
      <c r="L41" s="247"/>
      <c r="M41" s="247"/>
      <c r="N41" s="246"/>
      <c r="O41" s="246"/>
      <c r="P41" s="246"/>
      <c r="Q41" s="246"/>
      <c r="R41" s="257"/>
      <c r="S41" s="438"/>
      <c r="T41" s="246"/>
      <c r="U41" s="268"/>
      <c r="V41" s="268"/>
      <c r="W41" s="931"/>
      <c r="X41" s="932"/>
      <c r="Y41" s="362"/>
      <c r="Z41" s="246"/>
      <c r="AA41" s="246"/>
      <c r="AB41" s="246"/>
      <c r="AC41" s="246"/>
      <c r="AD41" s="246"/>
      <c r="AE41" s="246"/>
      <c r="AF41" s="268"/>
      <c r="AG41" s="266"/>
      <c r="AH41" s="246">
        <v>1</v>
      </c>
      <c r="AI41" s="246"/>
      <c r="AJ41" s="246"/>
      <c r="AK41" s="246"/>
      <c r="AL41" s="246">
        <v>1</v>
      </c>
      <c r="AM41" s="246"/>
      <c r="AN41" s="268"/>
      <c r="AO41" s="266"/>
      <c r="AP41" s="246"/>
      <c r="AQ41" s="246"/>
      <c r="AR41" s="246"/>
      <c r="AS41" s="246"/>
      <c r="AT41" s="246"/>
      <c r="AU41" s="246"/>
      <c r="AV41" s="268"/>
      <c r="AW41" s="266"/>
      <c r="AX41" s="246"/>
      <c r="AY41" s="246"/>
      <c r="AZ41" s="246"/>
      <c r="BA41" s="246"/>
      <c r="BB41" s="246"/>
      <c r="BC41" s="246"/>
      <c r="BD41" s="257"/>
      <c r="BE41" s="622"/>
      <c r="BF41" s="141"/>
      <c r="BG41" s="141"/>
      <c r="BH41" s="141"/>
      <c r="BI41" s="141"/>
    </row>
    <row r="42" spans="1:135" ht="18.75" customHeight="1">
      <c r="B42" s="837"/>
      <c r="C42" s="847" t="s">
        <v>97</v>
      </c>
      <c r="D42" s="816" t="s">
        <v>248</v>
      </c>
      <c r="E42" s="823" t="s">
        <v>251</v>
      </c>
      <c r="F42" s="1043"/>
      <c r="G42" s="1044"/>
      <c r="H42" s="1044"/>
      <c r="I42" s="1044"/>
      <c r="J42" s="246"/>
      <c r="K42" s="246"/>
      <c r="L42" s="247"/>
      <c r="M42" s="247"/>
      <c r="N42" s="246"/>
      <c r="O42" s="246"/>
      <c r="P42" s="246"/>
      <c r="Q42" s="246"/>
      <c r="R42" s="257"/>
      <c r="S42" s="438"/>
      <c r="T42" s="246"/>
      <c r="U42" s="268"/>
      <c r="V42" s="268"/>
      <c r="W42" s="931"/>
      <c r="X42" s="932"/>
      <c r="Y42" s="362"/>
      <c r="Z42" s="246"/>
      <c r="AA42" s="246"/>
      <c r="AB42" s="246"/>
      <c r="AC42" s="246"/>
      <c r="AD42" s="246"/>
      <c r="AE42" s="246"/>
      <c r="AF42" s="268"/>
      <c r="AG42" s="266"/>
      <c r="AH42" s="246"/>
      <c r="AI42" s="246"/>
      <c r="AJ42" s="246"/>
      <c r="AK42" s="246"/>
      <c r="AL42" s="246"/>
      <c r="AM42" s="246"/>
      <c r="AN42" s="268"/>
      <c r="AO42" s="266"/>
      <c r="AP42" s="246">
        <v>1</v>
      </c>
      <c r="AQ42" s="246"/>
      <c r="AR42" s="246"/>
      <c r="AS42" s="246"/>
      <c r="AT42" s="246">
        <v>1</v>
      </c>
      <c r="AU42" s="246"/>
      <c r="AV42" s="268"/>
      <c r="AW42" s="266"/>
      <c r="AX42" s="246"/>
      <c r="AY42" s="246"/>
      <c r="AZ42" s="246"/>
      <c r="BA42" s="246"/>
      <c r="BB42" s="246"/>
      <c r="BC42" s="246"/>
      <c r="BD42" s="257"/>
      <c r="BE42" s="622"/>
      <c r="BF42" s="141"/>
      <c r="BG42" s="141"/>
      <c r="BH42" s="141"/>
      <c r="BI42" s="141"/>
    </row>
    <row r="43" spans="1:135" ht="18.75" customHeight="1">
      <c r="B43" s="837"/>
      <c r="C43" s="847" t="s">
        <v>98</v>
      </c>
      <c r="D43" s="816" t="s">
        <v>248</v>
      </c>
      <c r="E43" s="823" t="s">
        <v>251</v>
      </c>
      <c r="F43" s="1043"/>
      <c r="G43" s="1044"/>
      <c r="H43" s="1044"/>
      <c r="I43" s="1044"/>
      <c r="J43" s="246"/>
      <c r="K43" s="246"/>
      <c r="L43" s="247"/>
      <c r="M43" s="247"/>
      <c r="N43" s="246"/>
      <c r="O43" s="246"/>
      <c r="P43" s="246"/>
      <c r="Q43" s="246"/>
      <c r="R43" s="257"/>
      <c r="S43" s="438"/>
      <c r="T43" s="246"/>
      <c r="U43" s="268"/>
      <c r="V43" s="268"/>
      <c r="W43" s="931"/>
      <c r="X43" s="932"/>
      <c r="Y43" s="362"/>
      <c r="Z43" s="246"/>
      <c r="AA43" s="246"/>
      <c r="AB43" s="246"/>
      <c r="AC43" s="246"/>
      <c r="AD43" s="246"/>
      <c r="AE43" s="246"/>
      <c r="AF43" s="268"/>
      <c r="AG43" s="266"/>
      <c r="AH43" s="246"/>
      <c r="AI43" s="246"/>
      <c r="AJ43" s="246"/>
      <c r="AK43" s="246"/>
      <c r="AL43" s="246"/>
      <c r="AM43" s="246"/>
      <c r="AN43" s="268"/>
      <c r="AO43" s="266"/>
      <c r="AP43" s="246"/>
      <c r="AQ43" s="246"/>
      <c r="AR43" s="246"/>
      <c r="AS43" s="246"/>
      <c r="AT43" s="246"/>
      <c r="AU43" s="246"/>
      <c r="AV43" s="268"/>
      <c r="AW43" s="266"/>
      <c r="AX43" s="246"/>
      <c r="AY43" s="246">
        <v>0.25</v>
      </c>
      <c r="AZ43" s="246">
        <v>0.5</v>
      </c>
      <c r="BA43" s="246"/>
      <c r="BB43" s="246"/>
      <c r="BC43" s="246"/>
      <c r="BD43" s="257"/>
      <c r="BE43" s="622"/>
      <c r="BF43" s="141"/>
      <c r="BG43" s="141"/>
      <c r="BH43" s="141"/>
      <c r="BI43" s="141"/>
    </row>
    <row r="44" spans="1:135" ht="18.649999999999999" customHeight="1">
      <c r="B44" s="837"/>
      <c r="C44" s="847" t="s">
        <v>66</v>
      </c>
      <c r="D44" s="816" t="s">
        <v>248</v>
      </c>
      <c r="E44" s="823" t="s">
        <v>251</v>
      </c>
      <c r="F44" s="1043"/>
      <c r="G44" s="1044"/>
      <c r="H44" s="1044"/>
      <c r="I44" s="1044"/>
      <c r="J44" s="246"/>
      <c r="K44" s="246"/>
      <c r="L44" s="247"/>
      <c r="M44" s="247"/>
      <c r="N44" s="246"/>
      <c r="O44" s="246"/>
      <c r="P44" s="246"/>
      <c r="Q44" s="246"/>
      <c r="R44" s="257"/>
      <c r="S44" s="438"/>
      <c r="T44" s="246">
        <v>1</v>
      </c>
      <c r="U44" s="268"/>
      <c r="V44" s="268"/>
      <c r="W44" s="931"/>
      <c r="X44" s="932"/>
      <c r="Y44" s="362"/>
      <c r="Z44" s="246"/>
      <c r="AA44" s="246"/>
      <c r="AB44" s="246"/>
      <c r="AC44" s="246"/>
      <c r="AD44" s="246"/>
      <c r="AE44" s="246"/>
      <c r="AF44" s="268"/>
      <c r="AG44" s="266"/>
      <c r="AH44" s="246"/>
      <c r="AI44" s="246"/>
      <c r="AJ44" s="246"/>
      <c r="AK44" s="246"/>
      <c r="AL44" s="246"/>
      <c r="AM44" s="246"/>
      <c r="AN44" s="268"/>
      <c r="AO44" s="266"/>
      <c r="AP44" s="246"/>
      <c r="AQ44" s="246"/>
      <c r="AR44" s="246"/>
      <c r="AS44" s="246"/>
      <c r="AT44" s="246"/>
      <c r="AU44" s="246"/>
      <c r="AV44" s="268"/>
      <c r="AW44" s="266"/>
      <c r="AX44" s="246"/>
      <c r="AY44" s="246"/>
      <c r="AZ44" s="246"/>
      <c r="BA44" s="246"/>
      <c r="BB44" s="246"/>
      <c r="BC44" s="246"/>
      <c r="BD44" s="257"/>
      <c r="BE44" s="622">
        <v>3</v>
      </c>
      <c r="BF44" s="141"/>
      <c r="BG44" s="141"/>
      <c r="BH44" s="141"/>
      <c r="BI44" s="141"/>
    </row>
    <row r="45" spans="1:135">
      <c r="B45" s="837">
        <v>18</v>
      </c>
      <c r="C45" s="852" t="s">
        <v>53</v>
      </c>
      <c r="D45" s="819" t="s">
        <v>248</v>
      </c>
      <c r="E45" s="823" t="s">
        <v>251</v>
      </c>
      <c r="F45" s="811">
        <v>1</v>
      </c>
      <c r="G45" s="886"/>
      <c r="H45" s="886"/>
      <c r="I45" s="886"/>
      <c r="J45" s="886"/>
      <c r="K45" s="886"/>
      <c r="L45" s="886"/>
      <c r="M45" s="886"/>
      <c r="N45" s="886"/>
      <c r="O45" s="886"/>
      <c r="P45" s="886"/>
      <c r="Q45" s="886"/>
      <c r="R45" s="887"/>
      <c r="S45" s="810"/>
      <c r="T45" s="886">
        <v>2</v>
      </c>
      <c r="U45" s="888"/>
      <c r="V45" s="888"/>
      <c r="W45" s="933"/>
      <c r="X45" s="934"/>
      <c r="Y45" s="810"/>
      <c r="Z45" s="886"/>
      <c r="AA45" s="886"/>
      <c r="AB45" s="886"/>
      <c r="AC45" s="886"/>
      <c r="AD45" s="886"/>
      <c r="AE45" s="886"/>
      <c r="AF45" s="888"/>
      <c r="AG45" s="811"/>
      <c r="AH45" s="886"/>
      <c r="AI45" s="886"/>
      <c r="AJ45" s="886"/>
      <c r="AK45" s="886"/>
      <c r="AL45" s="886"/>
      <c r="AM45" s="886"/>
      <c r="AN45" s="888"/>
      <c r="AO45" s="811"/>
      <c r="AP45" s="886"/>
      <c r="AQ45" s="886"/>
      <c r="AR45" s="886"/>
      <c r="AS45" s="886"/>
      <c r="AT45" s="886"/>
      <c r="AU45" s="886"/>
      <c r="AV45" s="888"/>
      <c r="AW45" s="811"/>
      <c r="AX45" s="886"/>
      <c r="AY45" s="886"/>
      <c r="AZ45" s="886"/>
      <c r="BA45" s="886"/>
      <c r="BB45" s="886"/>
      <c r="BC45" s="886"/>
      <c r="BD45" s="887"/>
      <c r="BE45" s="889"/>
      <c r="BF45" s="20"/>
    </row>
    <row r="46" spans="1:135">
      <c r="B46" s="837">
        <v>19</v>
      </c>
      <c r="C46" s="852" t="s">
        <v>54</v>
      </c>
      <c r="D46" s="819" t="s">
        <v>248</v>
      </c>
      <c r="E46" s="823" t="s">
        <v>251</v>
      </c>
      <c r="F46" s="811">
        <v>1</v>
      </c>
      <c r="G46" s="886">
        <v>1</v>
      </c>
      <c r="H46" s="886">
        <v>1</v>
      </c>
      <c r="I46" s="886">
        <v>2</v>
      </c>
      <c r="J46" s="886"/>
      <c r="K46" s="886">
        <v>1</v>
      </c>
      <c r="L46" s="886"/>
      <c r="M46" s="886"/>
      <c r="N46" s="886"/>
      <c r="O46" s="886"/>
      <c r="P46" s="886"/>
      <c r="Q46" s="886"/>
      <c r="R46" s="887"/>
      <c r="S46" s="810"/>
      <c r="T46" s="886">
        <v>2</v>
      </c>
      <c r="U46" s="888"/>
      <c r="V46" s="888"/>
      <c r="W46" s="933"/>
      <c r="X46" s="934"/>
      <c r="Y46" s="810">
        <v>0.25</v>
      </c>
      <c r="Z46" s="886">
        <v>0.25</v>
      </c>
      <c r="AA46" s="886"/>
      <c r="AB46" s="886"/>
      <c r="AC46" s="886"/>
      <c r="AD46" s="886"/>
      <c r="AE46" s="886"/>
      <c r="AF46" s="888"/>
      <c r="AG46" s="811"/>
      <c r="AH46" s="886">
        <v>0.25</v>
      </c>
      <c r="AI46" s="886"/>
      <c r="AJ46" s="886"/>
      <c r="AK46" s="886"/>
      <c r="AL46" s="886"/>
      <c r="AM46" s="886"/>
      <c r="AN46" s="888"/>
      <c r="AO46" s="811"/>
      <c r="AP46" s="886">
        <v>0.25</v>
      </c>
      <c r="AQ46" s="886"/>
      <c r="AR46" s="886"/>
      <c r="AS46" s="886"/>
      <c r="AT46" s="886"/>
      <c r="AU46" s="886"/>
      <c r="AV46" s="888"/>
      <c r="AW46" s="811"/>
      <c r="AX46" s="886"/>
      <c r="AY46" s="886"/>
      <c r="AZ46" s="886">
        <v>0.5</v>
      </c>
      <c r="BA46" s="886"/>
      <c r="BB46" s="886"/>
      <c r="BC46" s="886"/>
      <c r="BD46" s="887"/>
      <c r="BE46" s="889"/>
      <c r="BF46" s="20"/>
    </row>
    <row r="47" spans="1:135">
      <c r="B47" s="837">
        <v>20</v>
      </c>
      <c r="C47" s="852" t="s">
        <v>55</v>
      </c>
      <c r="D47" s="819" t="s">
        <v>248</v>
      </c>
      <c r="E47" s="823" t="s">
        <v>251</v>
      </c>
      <c r="F47" s="811">
        <v>1</v>
      </c>
      <c r="G47" s="886">
        <v>1</v>
      </c>
      <c r="H47" s="886">
        <v>1</v>
      </c>
      <c r="I47" s="886">
        <v>1</v>
      </c>
      <c r="J47" s="886"/>
      <c r="K47" s="886">
        <v>1</v>
      </c>
      <c r="L47" s="886"/>
      <c r="M47" s="886"/>
      <c r="N47" s="886"/>
      <c r="O47" s="886"/>
      <c r="P47" s="886"/>
      <c r="Q47" s="886"/>
      <c r="R47" s="887"/>
      <c r="S47" s="810"/>
      <c r="T47" s="886">
        <v>1</v>
      </c>
      <c r="U47" s="888"/>
      <c r="V47" s="888"/>
      <c r="W47" s="933"/>
      <c r="X47" s="934"/>
      <c r="Y47" s="810">
        <v>0.25</v>
      </c>
      <c r="Z47" s="886">
        <v>0.25</v>
      </c>
      <c r="AA47" s="886"/>
      <c r="AB47" s="886"/>
      <c r="AC47" s="886"/>
      <c r="AD47" s="886"/>
      <c r="AE47" s="886"/>
      <c r="AF47" s="888"/>
      <c r="AG47" s="811"/>
      <c r="AH47" s="886">
        <v>0.25</v>
      </c>
      <c r="AI47" s="886"/>
      <c r="AJ47" s="886"/>
      <c r="AK47" s="886"/>
      <c r="AL47" s="886"/>
      <c r="AM47" s="886"/>
      <c r="AN47" s="888"/>
      <c r="AO47" s="811"/>
      <c r="AP47" s="886">
        <v>0.25</v>
      </c>
      <c r="AQ47" s="886"/>
      <c r="AR47" s="886"/>
      <c r="AS47" s="886"/>
      <c r="AT47" s="886"/>
      <c r="AU47" s="886"/>
      <c r="AV47" s="888"/>
      <c r="AW47" s="811"/>
      <c r="AX47" s="886"/>
      <c r="AY47" s="886"/>
      <c r="AZ47" s="886">
        <v>0.5</v>
      </c>
      <c r="BA47" s="886"/>
      <c r="BB47" s="886"/>
      <c r="BC47" s="886"/>
      <c r="BD47" s="887"/>
      <c r="BE47" s="889"/>
      <c r="BF47" s="20"/>
    </row>
    <row r="48" spans="1:135">
      <c r="B48" s="837">
        <v>21</v>
      </c>
      <c r="C48" s="852" t="s">
        <v>56</v>
      </c>
      <c r="D48" s="819" t="s">
        <v>248</v>
      </c>
      <c r="E48" s="823" t="s">
        <v>251</v>
      </c>
      <c r="F48" s="811"/>
      <c r="G48" s="886"/>
      <c r="H48" s="886"/>
      <c r="I48" s="886"/>
      <c r="J48" s="886"/>
      <c r="K48" s="886"/>
      <c r="L48" s="886"/>
      <c r="M48" s="886"/>
      <c r="N48" s="886"/>
      <c r="O48" s="886"/>
      <c r="P48" s="886"/>
      <c r="Q48" s="886"/>
      <c r="R48" s="887"/>
      <c r="S48" s="810"/>
      <c r="T48" s="886"/>
      <c r="U48" s="888"/>
      <c r="V48" s="888"/>
      <c r="W48" s="933"/>
      <c r="X48" s="934"/>
      <c r="Y48" s="810"/>
      <c r="Z48" s="886">
        <v>0.25</v>
      </c>
      <c r="AA48" s="886">
        <v>0.5</v>
      </c>
      <c r="AB48" s="886"/>
      <c r="AC48" s="886"/>
      <c r="AD48" s="886"/>
      <c r="AE48" s="886"/>
      <c r="AF48" s="888"/>
      <c r="AG48" s="811"/>
      <c r="AH48" s="886">
        <v>0.25</v>
      </c>
      <c r="AI48" s="886">
        <v>0.5</v>
      </c>
      <c r="AJ48" s="886"/>
      <c r="AK48" s="886"/>
      <c r="AL48" s="886"/>
      <c r="AM48" s="886"/>
      <c r="AN48" s="888"/>
      <c r="AO48" s="811"/>
      <c r="AP48" s="886">
        <v>0.25</v>
      </c>
      <c r="AQ48" s="886">
        <v>0.5</v>
      </c>
      <c r="AR48" s="886"/>
      <c r="AS48" s="886"/>
      <c r="AT48" s="886"/>
      <c r="AU48" s="886"/>
      <c r="AV48" s="888"/>
      <c r="AW48" s="811"/>
      <c r="AX48" s="886"/>
      <c r="AY48" s="886"/>
      <c r="AZ48" s="886">
        <v>1</v>
      </c>
      <c r="BA48" s="886">
        <v>0.5</v>
      </c>
      <c r="BB48" s="886"/>
      <c r="BC48" s="886"/>
      <c r="BD48" s="887"/>
      <c r="BE48" s="889"/>
      <c r="BF48" s="20"/>
    </row>
    <row r="49" spans="2:60">
      <c r="B49" s="837">
        <v>22</v>
      </c>
      <c r="C49" s="852" t="s">
        <v>57</v>
      </c>
      <c r="D49" s="819" t="s">
        <v>248</v>
      </c>
      <c r="E49" s="823" t="s">
        <v>251</v>
      </c>
      <c r="F49" s="811"/>
      <c r="G49" s="886"/>
      <c r="H49" s="886"/>
      <c r="I49" s="886"/>
      <c r="J49" s="886"/>
      <c r="K49" s="886"/>
      <c r="L49" s="886"/>
      <c r="M49" s="886"/>
      <c r="N49" s="886"/>
      <c r="O49" s="886"/>
      <c r="P49" s="886"/>
      <c r="Q49" s="886"/>
      <c r="R49" s="887"/>
      <c r="S49" s="810"/>
      <c r="T49" s="886"/>
      <c r="U49" s="888"/>
      <c r="V49" s="888"/>
      <c r="W49" s="933"/>
      <c r="X49" s="934"/>
      <c r="Y49" s="810"/>
      <c r="Z49" s="886">
        <v>0.25</v>
      </c>
      <c r="AA49" s="886">
        <v>0.5</v>
      </c>
      <c r="AB49" s="886"/>
      <c r="AC49" s="886"/>
      <c r="AD49" s="886"/>
      <c r="AE49" s="886">
        <v>3</v>
      </c>
      <c r="AF49" s="888"/>
      <c r="AG49" s="811"/>
      <c r="AH49" s="886">
        <v>0.25</v>
      </c>
      <c r="AI49" s="886">
        <v>0.5</v>
      </c>
      <c r="AJ49" s="886"/>
      <c r="AK49" s="886"/>
      <c r="AL49" s="886"/>
      <c r="AM49" s="886">
        <v>3</v>
      </c>
      <c r="AN49" s="888"/>
      <c r="AO49" s="811"/>
      <c r="AP49" s="886">
        <v>0.25</v>
      </c>
      <c r="AQ49" s="886">
        <v>0.5</v>
      </c>
      <c r="AR49" s="886">
        <v>0.25</v>
      </c>
      <c r="AS49" s="886"/>
      <c r="AT49" s="886"/>
      <c r="AU49" s="886">
        <v>3</v>
      </c>
      <c r="AV49" s="888"/>
      <c r="AW49" s="811"/>
      <c r="AX49" s="886"/>
      <c r="AY49" s="886"/>
      <c r="AZ49" s="886"/>
      <c r="BA49" s="886"/>
      <c r="BB49" s="886"/>
      <c r="BC49" s="886"/>
      <c r="BD49" s="887">
        <v>3</v>
      </c>
      <c r="BE49" s="889"/>
      <c r="BF49" s="20"/>
    </row>
    <row r="50" spans="2:60">
      <c r="B50" s="897">
        <v>23</v>
      </c>
      <c r="C50" s="898" t="s">
        <v>106</v>
      </c>
      <c r="D50" s="819" t="s">
        <v>248</v>
      </c>
      <c r="E50" s="823" t="s">
        <v>251</v>
      </c>
      <c r="F50" s="811">
        <v>0.5</v>
      </c>
      <c r="G50" s="886">
        <f>2+5</f>
        <v>7</v>
      </c>
      <c r="H50" s="886"/>
      <c r="I50" s="886">
        <f>2+2</f>
        <v>4</v>
      </c>
      <c r="J50" s="886"/>
      <c r="K50" s="886"/>
      <c r="L50" s="886"/>
      <c r="M50" s="886"/>
      <c r="N50" s="886"/>
      <c r="O50" s="886"/>
      <c r="P50" s="886"/>
      <c r="Q50" s="886"/>
      <c r="R50" s="887"/>
      <c r="S50" s="810"/>
      <c r="T50" s="886">
        <v>1</v>
      </c>
      <c r="U50" s="888"/>
      <c r="V50" s="888">
        <v>0.5</v>
      </c>
      <c r="W50" s="933"/>
      <c r="X50" s="934"/>
      <c r="Y50" s="810"/>
      <c r="Z50" s="886"/>
      <c r="AA50" s="886"/>
      <c r="AB50" s="886"/>
      <c r="AC50" s="886"/>
      <c r="AD50" s="886"/>
      <c r="AE50" s="886"/>
      <c r="AF50" s="888"/>
      <c r="AG50" s="811"/>
      <c r="AH50" s="886"/>
      <c r="AI50" s="886"/>
      <c r="AJ50" s="886"/>
      <c r="AK50" s="886"/>
      <c r="AL50" s="886"/>
      <c r="AM50" s="886"/>
      <c r="AN50" s="888"/>
      <c r="AO50" s="811"/>
      <c r="AP50" s="886"/>
      <c r="AQ50" s="886"/>
      <c r="AR50" s="886"/>
      <c r="AS50" s="886"/>
      <c r="AT50" s="886"/>
      <c r="AU50" s="886"/>
      <c r="AV50" s="888"/>
      <c r="AW50" s="811"/>
      <c r="AX50" s="886"/>
      <c r="AY50" s="886"/>
      <c r="AZ50" s="886"/>
      <c r="BA50" s="886"/>
      <c r="BB50" s="886"/>
      <c r="BC50" s="886"/>
      <c r="BD50" s="887"/>
      <c r="BE50" s="889"/>
      <c r="BF50" s="20"/>
    </row>
    <row r="51" spans="2:60" ht="15" thickBot="1">
      <c r="B51" s="897">
        <v>24</v>
      </c>
      <c r="C51" s="898" t="s">
        <v>113</v>
      </c>
      <c r="D51" s="899" t="s">
        <v>247</v>
      </c>
      <c r="E51" s="900" t="s">
        <v>247</v>
      </c>
      <c r="F51" s="901">
        <v>6</v>
      </c>
      <c r="G51" s="902">
        <v>9.5</v>
      </c>
      <c r="H51" s="902">
        <v>4.5</v>
      </c>
      <c r="I51" s="902">
        <v>9.5</v>
      </c>
      <c r="J51" s="902">
        <v>4</v>
      </c>
      <c r="K51" s="902">
        <v>4.5</v>
      </c>
      <c r="L51" s="902"/>
      <c r="M51" s="902"/>
      <c r="N51" s="902"/>
      <c r="O51" s="902"/>
      <c r="P51" s="902"/>
      <c r="Q51" s="902">
        <v>2</v>
      </c>
      <c r="R51" s="903"/>
      <c r="S51" s="904"/>
      <c r="T51" s="902">
        <v>5</v>
      </c>
      <c r="U51" s="905"/>
      <c r="V51" s="905">
        <v>0.5</v>
      </c>
      <c r="W51" s="937"/>
      <c r="X51" s="938"/>
      <c r="Y51" s="904">
        <v>0.5</v>
      </c>
      <c r="Z51" s="902">
        <v>0</v>
      </c>
      <c r="AA51" s="902">
        <v>0.25</v>
      </c>
      <c r="AB51" s="902"/>
      <c r="AC51" s="902"/>
      <c r="AD51" s="902"/>
      <c r="AE51" s="902"/>
      <c r="AF51" s="905"/>
      <c r="AG51" s="901"/>
      <c r="AH51" s="902">
        <v>0.75</v>
      </c>
      <c r="AI51" s="902">
        <v>0.75</v>
      </c>
      <c r="AJ51" s="902">
        <v>0.25</v>
      </c>
      <c r="AK51" s="902"/>
      <c r="AL51" s="902"/>
      <c r="AM51" s="902"/>
      <c r="AN51" s="905"/>
      <c r="AO51" s="901"/>
      <c r="AP51" s="902">
        <v>0.75</v>
      </c>
      <c r="AQ51" s="902">
        <v>0.75</v>
      </c>
      <c r="AR51" s="902"/>
      <c r="AS51" s="902"/>
      <c r="AT51" s="902"/>
      <c r="AU51" s="902"/>
      <c r="AV51" s="905"/>
      <c r="AW51" s="901"/>
      <c r="AX51" s="902"/>
      <c r="AY51" s="902">
        <v>0.25</v>
      </c>
      <c r="AZ51" s="902">
        <v>1.5</v>
      </c>
      <c r="BA51" s="902">
        <v>0.5</v>
      </c>
      <c r="BB51" s="902"/>
      <c r="BC51" s="902"/>
      <c r="BD51" s="903"/>
      <c r="BE51" s="906">
        <v>1</v>
      </c>
      <c r="BF51" s="20"/>
    </row>
    <row r="52" spans="2:60">
      <c r="B52" s="839"/>
      <c r="C52" s="850" t="s">
        <v>26</v>
      </c>
      <c r="D52" s="828"/>
      <c r="E52" s="851"/>
      <c r="F52" s="914">
        <f>SUM(F3:F51)</f>
        <v>42</v>
      </c>
      <c r="G52" s="914">
        <f t="shared" ref="G52:Y52" si="0">SUM(G3:G51)</f>
        <v>67</v>
      </c>
      <c r="H52" s="914">
        <f t="shared" si="0"/>
        <v>35</v>
      </c>
      <c r="I52" s="914">
        <f t="shared" si="0"/>
        <v>64</v>
      </c>
      <c r="J52" s="914">
        <f t="shared" si="0"/>
        <v>26</v>
      </c>
      <c r="K52" s="914">
        <f t="shared" si="0"/>
        <v>27</v>
      </c>
      <c r="L52" s="914">
        <f t="shared" si="0"/>
        <v>0</v>
      </c>
      <c r="M52" s="914">
        <f t="shared" si="0"/>
        <v>1</v>
      </c>
      <c r="N52" s="914">
        <f t="shared" si="0"/>
        <v>10</v>
      </c>
      <c r="O52" s="914">
        <f t="shared" si="0"/>
        <v>2</v>
      </c>
      <c r="P52" s="914">
        <f t="shared" si="0"/>
        <v>0</v>
      </c>
      <c r="Q52" s="914">
        <f t="shared" si="0"/>
        <v>9</v>
      </c>
      <c r="R52" s="914">
        <f t="shared" si="0"/>
        <v>3</v>
      </c>
      <c r="S52" s="914">
        <f t="shared" si="0"/>
        <v>0</v>
      </c>
      <c r="T52" s="914">
        <f t="shared" si="0"/>
        <v>30</v>
      </c>
      <c r="U52" s="914">
        <f>SUM(U3:U51)</f>
        <v>1</v>
      </c>
      <c r="V52" s="914">
        <f t="shared" si="0"/>
        <v>5</v>
      </c>
      <c r="W52" s="914">
        <f t="shared" si="0"/>
        <v>0</v>
      </c>
      <c r="X52" s="914">
        <f t="shared" si="0"/>
        <v>3</v>
      </c>
      <c r="Y52" s="914">
        <f t="shared" si="0"/>
        <v>2</v>
      </c>
      <c r="Z52" s="914">
        <f t="shared" ref="Z52" si="1">SUM(Z3:Z51)</f>
        <v>5</v>
      </c>
      <c r="AA52" s="914">
        <f t="shared" ref="AA52" si="2">SUM(AA3:AA51)</f>
        <v>3</v>
      </c>
      <c r="AB52" s="914">
        <f t="shared" ref="AB52" si="3">SUM(AB3:AB51)</f>
        <v>0</v>
      </c>
      <c r="AC52" s="914">
        <f t="shared" ref="AC52" si="4">SUM(AC3:AC51)</f>
        <v>0</v>
      </c>
      <c r="AD52" s="914">
        <f t="shared" ref="AD52" si="5">SUM(AD3:AD51)</f>
        <v>1</v>
      </c>
      <c r="AE52" s="914">
        <f t="shared" ref="AE52" si="6">SUM(AE3:AE51)</f>
        <v>3</v>
      </c>
      <c r="AF52" s="914">
        <f t="shared" ref="AF52" si="7">SUM(AF3:AF51)</f>
        <v>0</v>
      </c>
      <c r="AG52" s="914">
        <f t="shared" ref="AG52" si="8">SUM(AG3:AG51)</f>
        <v>0</v>
      </c>
      <c r="AH52" s="914">
        <f t="shared" ref="AH52" si="9">SUM(AH3:AH51)</f>
        <v>6</v>
      </c>
      <c r="AI52" s="914">
        <f t="shared" ref="AI52" si="10">SUM(AI3:AI51)</f>
        <v>5</v>
      </c>
      <c r="AJ52" s="914">
        <f>SUM(AJ3:AJ51)</f>
        <v>0.5</v>
      </c>
      <c r="AK52" s="914">
        <f t="shared" ref="AK52" si="11">SUM(AK3:AK51)</f>
        <v>0</v>
      </c>
      <c r="AL52" s="914">
        <f t="shared" ref="AL52" si="12">SUM(AL3:AL51)</f>
        <v>1</v>
      </c>
      <c r="AM52" s="914">
        <f t="shared" ref="AM52" si="13">SUM(AM3:AM51)</f>
        <v>3</v>
      </c>
      <c r="AN52" s="914">
        <f t="shared" ref="AN52" si="14">SUM(AN3:AN51)</f>
        <v>0</v>
      </c>
      <c r="AO52" s="914">
        <f t="shared" ref="AO52" si="15">SUM(AO3:AO51)</f>
        <v>0</v>
      </c>
      <c r="AP52" s="914">
        <f t="shared" ref="AP52:AQ52" si="16">SUM(AP3:AP51)</f>
        <v>7</v>
      </c>
      <c r="AQ52" s="914">
        <f t="shared" si="16"/>
        <v>7</v>
      </c>
      <c r="AR52" s="914">
        <f t="shared" ref="AR52" si="17">SUM(AR3:AR51)</f>
        <v>1.5</v>
      </c>
      <c r="AS52" s="914">
        <f t="shared" ref="AS52" si="18">SUM(AS3:AS51)</f>
        <v>0</v>
      </c>
      <c r="AT52" s="914">
        <f t="shared" ref="AT52" si="19">SUM(AT3:AT51)</f>
        <v>1</v>
      </c>
      <c r="AU52" s="914">
        <f t="shared" ref="AU52" si="20">SUM(AU3:AU51)</f>
        <v>3</v>
      </c>
      <c r="AV52" s="914">
        <f t="shared" ref="AV52" si="21">SUM(AV3:AV51)</f>
        <v>0</v>
      </c>
      <c r="AW52" s="914">
        <f t="shared" ref="AW52" si="22">SUM(AW3:AW51)</f>
        <v>0</v>
      </c>
      <c r="AX52" s="914">
        <f t="shared" ref="AX52" si="23">SUM(AX3:AX51)</f>
        <v>0</v>
      </c>
      <c r="AY52" s="914">
        <f>SUM(AY3:AY51)</f>
        <v>2</v>
      </c>
      <c r="AZ52" s="914">
        <f t="shared" ref="AZ52" si="24">SUM(AZ3:AZ51)</f>
        <v>10</v>
      </c>
      <c r="BA52" s="914">
        <f t="shared" ref="BA52" si="25">SUM(BA3:BA51)</f>
        <v>2</v>
      </c>
      <c r="BB52" s="914">
        <f t="shared" ref="BB52" si="26">SUM(BB3:BB51)</f>
        <v>0</v>
      </c>
      <c r="BC52" s="914">
        <f t="shared" ref="BC52" si="27">SUM(BC3:BC51)</f>
        <v>0</v>
      </c>
      <c r="BD52" s="914">
        <f t="shared" ref="BD52" si="28">SUM(BD3:BD51)</f>
        <v>3</v>
      </c>
      <c r="BE52" s="914">
        <f t="shared" ref="BE52" si="29">SUM(BE3:BE51)</f>
        <v>6</v>
      </c>
      <c r="BF52" s="915">
        <f>SUM(F52:BE52)</f>
        <v>397</v>
      </c>
    </row>
    <row r="53" spans="2:60">
      <c r="B53" s="838"/>
      <c r="C53" s="852" t="s">
        <v>27</v>
      </c>
      <c r="D53" s="819"/>
      <c r="E53" s="844"/>
      <c r="F53" s="727">
        <v>8500</v>
      </c>
      <c r="G53" s="453">
        <v>8500</v>
      </c>
      <c r="H53" s="453">
        <v>14000</v>
      </c>
      <c r="I53" s="453">
        <v>14000</v>
      </c>
      <c r="J53" s="453">
        <v>8500</v>
      </c>
      <c r="K53" s="453">
        <v>8500</v>
      </c>
      <c r="L53" s="453">
        <v>8500</v>
      </c>
      <c r="M53" s="453">
        <v>8500</v>
      </c>
      <c r="N53" s="453">
        <v>8500</v>
      </c>
      <c r="O53" s="453">
        <v>14000</v>
      </c>
      <c r="P53" s="453">
        <v>8500</v>
      </c>
      <c r="Q53" s="453">
        <v>8500</v>
      </c>
      <c r="R53" s="453">
        <v>8500</v>
      </c>
      <c r="S53" s="453">
        <v>14000</v>
      </c>
      <c r="T53" s="453">
        <v>14000</v>
      </c>
      <c r="U53" s="508">
        <v>14000</v>
      </c>
      <c r="V53" s="453">
        <v>7500</v>
      </c>
      <c r="W53" s="453">
        <v>8500</v>
      </c>
      <c r="X53" s="453">
        <v>8500</v>
      </c>
      <c r="Y53" s="453">
        <v>14000</v>
      </c>
      <c r="Z53" s="453">
        <v>8500</v>
      </c>
      <c r="AA53" s="453">
        <v>14000</v>
      </c>
      <c r="AB53" s="453">
        <v>8500</v>
      </c>
      <c r="AC53" s="453">
        <v>8500</v>
      </c>
      <c r="AD53" s="453">
        <v>8500</v>
      </c>
      <c r="AE53" s="453">
        <v>8500</v>
      </c>
      <c r="AF53" s="453">
        <v>8500</v>
      </c>
      <c r="AG53" s="453">
        <v>14000</v>
      </c>
      <c r="AH53" s="453">
        <v>8500</v>
      </c>
      <c r="AI53" s="453">
        <v>14000</v>
      </c>
      <c r="AJ53" s="453">
        <v>8500</v>
      </c>
      <c r="AK53" s="453">
        <v>8500</v>
      </c>
      <c r="AL53" s="453">
        <v>8500</v>
      </c>
      <c r="AM53" s="453">
        <v>8500</v>
      </c>
      <c r="AN53" s="453">
        <v>8500</v>
      </c>
      <c r="AO53" s="453">
        <v>14000</v>
      </c>
      <c r="AP53" s="453">
        <v>8500</v>
      </c>
      <c r="AQ53" s="453">
        <v>14000</v>
      </c>
      <c r="AR53" s="453">
        <v>8500</v>
      </c>
      <c r="AS53" s="453">
        <v>8500</v>
      </c>
      <c r="AT53" s="453">
        <v>8500</v>
      </c>
      <c r="AU53" s="453">
        <v>8500</v>
      </c>
      <c r="AV53" s="453">
        <v>8500</v>
      </c>
      <c r="AW53" s="453">
        <v>14000</v>
      </c>
      <c r="AX53" s="453">
        <v>8500</v>
      </c>
      <c r="AY53" s="453">
        <v>14000</v>
      </c>
      <c r="AZ53" s="453">
        <v>8500</v>
      </c>
      <c r="BA53" s="453">
        <v>8500</v>
      </c>
      <c r="BB53" s="453">
        <v>8500</v>
      </c>
      <c r="BC53" s="453">
        <v>8500</v>
      </c>
      <c r="BD53" s="743">
        <v>8500</v>
      </c>
      <c r="BE53" s="763">
        <v>8500</v>
      </c>
    </row>
    <row r="54" spans="2:60" ht="15" thickBot="1">
      <c r="B54" s="840"/>
      <c r="C54" s="853" t="s">
        <v>28</v>
      </c>
      <c r="D54" s="829"/>
      <c r="E54" s="854"/>
      <c r="F54" s="728">
        <f>F52*F53</f>
        <v>357000</v>
      </c>
      <c r="G54" s="459">
        <f t="shared" ref="G54:BE54" si="30">G52*G53</f>
        <v>569500</v>
      </c>
      <c r="H54" s="459">
        <f t="shared" si="30"/>
        <v>490000</v>
      </c>
      <c r="I54" s="459">
        <f t="shared" si="30"/>
        <v>896000</v>
      </c>
      <c r="J54" s="459">
        <f t="shared" si="30"/>
        <v>221000</v>
      </c>
      <c r="K54" s="459">
        <f t="shared" si="30"/>
        <v>229500</v>
      </c>
      <c r="L54" s="459">
        <f t="shared" si="30"/>
        <v>0</v>
      </c>
      <c r="M54" s="459">
        <f t="shared" si="30"/>
        <v>8500</v>
      </c>
      <c r="N54" s="459">
        <f t="shared" si="30"/>
        <v>85000</v>
      </c>
      <c r="O54" s="459">
        <f t="shared" si="30"/>
        <v>28000</v>
      </c>
      <c r="P54" s="459">
        <f t="shared" si="30"/>
        <v>0</v>
      </c>
      <c r="Q54" s="459">
        <f t="shared" si="30"/>
        <v>76500</v>
      </c>
      <c r="R54" s="459">
        <f t="shared" si="30"/>
        <v>25500</v>
      </c>
      <c r="S54" s="459">
        <f t="shared" si="30"/>
        <v>0</v>
      </c>
      <c r="T54" s="459">
        <f t="shared" si="30"/>
        <v>420000</v>
      </c>
      <c r="U54" s="459">
        <f t="shared" ref="U54" si="31">U52*U53</f>
        <v>14000</v>
      </c>
      <c r="V54" s="459">
        <f t="shared" si="30"/>
        <v>37500</v>
      </c>
      <c r="W54" s="459">
        <f t="shared" si="30"/>
        <v>0</v>
      </c>
      <c r="X54" s="459">
        <f t="shared" si="30"/>
        <v>25500</v>
      </c>
      <c r="Y54" s="459">
        <f t="shared" si="30"/>
        <v>28000</v>
      </c>
      <c r="Z54" s="459">
        <f t="shared" si="30"/>
        <v>42500</v>
      </c>
      <c r="AA54" s="459">
        <f t="shared" si="30"/>
        <v>42000</v>
      </c>
      <c r="AB54" s="459">
        <f t="shared" si="30"/>
        <v>0</v>
      </c>
      <c r="AC54" s="459">
        <f t="shared" si="30"/>
        <v>0</v>
      </c>
      <c r="AD54" s="459">
        <f t="shared" si="30"/>
        <v>8500</v>
      </c>
      <c r="AE54" s="459">
        <f t="shared" si="30"/>
        <v>25500</v>
      </c>
      <c r="AF54" s="459">
        <f>AF52*AF53</f>
        <v>0</v>
      </c>
      <c r="AG54" s="459">
        <f>AG52*AG53</f>
        <v>0</v>
      </c>
      <c r="AH54" s="459">
        <f>AH52*AH53</f>
        <v>51000</v>
      </c>
      <c r="AI54" s="459">
        <f t="shared" si="30"/>
        <v>70000</v>
      </c>
      <c r="AJ54" s="459">
        <f>AJ52*AJ53</f>
        <v>4250</v>
      </c>
      <c r="AK54" s="459">
        <f t="shared" si="30"/>
        <v>0</v>
      </c>
      <c r="AL54" s="459">
        <f t="shared" si="30"/>
        <v>8500</v>
      </c>
      <c r="AM54" s="459">
        <f t="shared" si="30"/>
        <v>25500</v>
      </c>
      <c r="AN54" s="459">
        <f>AN52*AN53</f>
        <v>0</v>
      </c>
      <c r="AO54" s="459">
        <f t="shared" si="30"/>
        <v>0</v>
      </c>
      <c r="AP54" s="459">
        <f>AP52*AP53</f>
        <v>59500</v>
      </c>
      <c r="AQ54" s="459">
        <f t="shared" si="30"/>
        <v>98000</v>
      </c>
      <c r="AR54" s="459">
        <f t="shared" si="30"/>
        <v>12750</v>
      </c>
      <c r="AS54" s="459">
        <f t="shared" si="30"/>
        <v>0</v>
      </c>
      <c r="AT54" s="459">
        <f t="shared" si="30"/>
        <v>8500</v>
      </c>
      <c r="AU54" s="459">
        <f t="shared" si="30"/>
        <v>25500</v>
      </c>
      <c r="AV54" s="459">
        <f>AV52*AV53</f>
        <v>0</v>
      </c>
      <c r="AW54" s="459">
        <f t="shared" si="30"/>
        <v>0</v>
      </c>
      <c r="AX54" s="459">
        <f t="shared" si="30"/>
        <v>0</v>
      </c>
      <c r="AY54" s="459">
        <f t="shared" si="30"/>
        <v>28000</v>
      </c>
      <c r="AZ54" s="459">
        <f t="shared" si="30"/>
        <v>85000</v>
      </c>
      <c r="BA54" s="459">
        <f>BA52*BA53</f>
        <v>17000</v>
      </c>
      <c r="BB54" s="459">
        <f>BB52*BB53</f>
        <v>0</v>
      </c>
      <c r="BC54" s="459">
        <f>BC52*BC53</f>
        <v>0</v>
      </c>
      <c r="BD54" s="459">
        <f>BD52*BD53</f>
        <v>25500</v>
      </c>
      <c r="BE54" s="764">
        <f t="shared" si="30"/>
        <v>51000</v>
      </c>
      <c r="BF54" s="511">
        <f>SUM(F54:BE54)</f>
        <v>4200000</v>
      </c>
      <c r="BG54" s="281"/>
      <c r="BH54" s="281"/>
    </row>
    <row r="55" spans="2:60" ht="13.5" customHeight="1">
      <c r="F55" s="19" t="s">
        <v>124</v>
      </c>
      <c r="G55" s="19" t="s">
        <v>124</v>
      </c>
      <c r="H55" s="19" t="s">
        <v>124</v>
      </c>
      <c r="I55" s="19" t="s">
        <v>124</v>
      </c>
      <c r="K55" s="19" t="s">
        <v>124</v>
      </c>
      <c r="N55" s="19" t="s">
        <v>124</v>
      </c>
      <c r="O55" s="19" t="s">
        <v>124</v>
      </c>
      <c r="Q55" s="19" t="s">
        <v>124</v>
      </c>
      <c r="R55" s="19" t="s">
        <v>124</v>
      </c>
      <c r="Y55" s="19" t="s">
        <v>124</v>
      </c>
      <c r="Z55" s="19" t="s">
        <v>124</v>
      </c>
      <c r="AH55" s="19" t="s">
        <v>124</v>
      </c>
      <c r="AP55" s="19" t="s">
        <v>124</v>
      </c>
      <c r="AQ55" s="19" t="s">
        <v>124</v>
      </c>
      <c r="AX55" s="19" t="s">
        <v>124</v>
      </c>
      <c r="BE55" s="19" t="s">
        <v>124</v>
      </c>
      <c r="BH55" s="281"/>
    </row>
    <row r="56" spans="2:60">
      <c r="C56" s="20" t="s">
        <v>125</v>
      </c>
      <c r="F56" s="19">
        <f t="shared" ref="F56:R56" si="32">F52*8</f>
        <v>336</v>
      </c>
      <c r="G56" s="19">
        <f t="shared" si="32"/>
        <v>536</v>
      </c>
      <c r="H56" s="19">
        <f t="shared" si="32"/>
        <v>280</v>
      </c>
      <c r="I56" s="19">
        <f t="shared" si="32"/>
        <v>512</v>
      </c>
      <c r="J56" s="19">
        <f t="shared" si="32"/>
        <v>208</v>
      </c>
      <c r="K56" s="19">
        <f t="shared" si="32"/>
        <v>216</v>
      </c>
      <c r="L56" s="19">
        <f t="shared" si="32"/>
        <v>0</v>
      </c>
      <c r="M56" s="19">
        <f t="shared" si="32"/>
        <v>8</v>
      </c>
      <c r="N56" s="19">
        <f t="shared" si="32"/>
        <v>80</v>
      </c>
      <c r="O56" s="19">
        <f t="shared" si="32"/>
        <v>16</v>
      </c>
      <c r="P56" s="19">
        <f t="shared" si="32"/>
        <v>0</v>
      </c>
      <c r="Q56" s="19">
        <f t="shared" si="32"/>
        <v>72</v>
      </c>
      <c r="R56" s="19">
        <f t="shared" si="32"/>
        <v>24</v>
      </c>
      <c r="T56" s="19">
        <f>T52*8</f>
        <v>240</v>
      </c>
      <c r="V56" s="19">
        <f>V52*8</f>
        <v>40</v>
      </c>
      <c r="Y56" s="19">
        <f>Y52*8</f>
        <v>16</v>
      </c>
      <c r="Z56" s="19">
        <f>Z52*8</f>
        <v>40</v>
      </c>
      <c r="AE56" s="19">
        <f>AE52*8</f>
        <v>24</v>
      </c>
      <c r="AG56" s="19">
        <f>AG52*8</f>
        <v>0</v>
      </c>
      <c r="AH56" s="19">
        <f>AH52*8</f>
        <v>48</v>
      </c>
      <c r="AM56" s="19">
        <f>AM52*8</f>
        <v>24</v>
      </c>
      <c r="AO56" s="19">
        <f>AO52*8</f>
        <v>0</v>
      </c>
      <c r="AP56" s="19">
        <f>AP52*8</f>
        <v>56</v>
      </c>
      <c r="AU56" s="19">
        <f>AU52*8</f>
        <v>24</v>
      </c>
      <c r="AW56" s="19">
        <f>AW52*8</f>
        <v>0</v>
      </c>
      <c r="AX56" s="19">
        <f>AX52*8</f>
        <v>0</v>
      </c>
      <c r="BD56" s="19">
        <f>BD52*8</f>
        <v>24</v>
      </c>
      <c r="BE56" s="19">
        <f>BE52*8</f>
        <v>48</v>
      </c>
    </row>
    <row r="57" spans="2:60" ht="13.5" customHeight="1" thickBot="1"/>
    <row r="58" spans="2:60" ht="62" thickBot="1">
      <c r="C58" s="228" t="s">
        <v>252</v>
      </c>
      <c r="D58" s="228"/>
      <c r="F58" s="22" t="s">
        <v>127</v>
      </c>
      <c r="G58" s="22" t="s">
        <v>128</v>
      </c>
      <c r="H58" s="22" t="s">
        <v>129</v>
      </c>
      <c r="I58" s="22" t="s">
        <v>130</v>
      </c>
      <c r="J58" s="22" t="s">
        <v>131</v>
      </c>
      <c r="L58" s="940" t="s">
        <v>132</v>
      </c>
      <c r="M58" s="940" t="s">
        <v>133</v>
      </c>
      <c r="N58" s="940" t="s">
        <v>134</v>
      </c>
      <c r="O58" s="940" t="s">
        <v>135</v>
      </c>
      <c r="P58" s="940" t="s">
        <v>136</v>
      </c>
      <c r="R58" s="20"/>
      <c r="S58" s="941" t="s">
        <v>132</v>
      </c>
      <c r="T58" s="942" t="s">
        <v>133</v>
      </c>
      <c r="U58" s="942" t="s">
        <v>134</v>
      </c>
      <c r="V58" s="942" t="s">
        <v>135</v>
      </c>
      <c r="W58" s="942" t="s">
        <v>136</v>
      </c>
      <c r="X58" s="515"/>
      <c r="Y58" s="20"/>
      <c r="Z58" s="514" t="s">
        <v>132</v>
      </c>
      <c r="AA58" s="515" t="s">
        <v>133</v>
      </c>
      <c r="AB58" s="515" t="s">
        <v>134</v>
      </c>
      <c r="AC58" s="515" t="s">
        <v>135</v>
      </c>
      <c r="AD58" s="515" t="s">
        <v>136</v>
      </c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</row>
    <row r="59" spans="2:60" ht="43.5" thickBot="1">
      <c r="F59" s="22" t="s">
        <v>137</v>
      </c>
      <c r="G59" s="22" t="s">
        <v>138</v>
      </c>
      <c r="H59" s="22">
        <v>20</v>
      </c>
      <c r="I59" s="508">
        <v>8500</v>
      </c>
      <c r="J59" s="508">
        <f>H59*I59</f>
        <v>170000</v>
      </c>
      <c r="L59" s="939" t="s">
        <v>139</v>
      </c>
      <c r="M59" s="69" t="s">
        <v>140</v>
      </c>
      <c r="N59" s="82">
        <v>42</v>
      </c>
      <c r="O59" s="508">
        <v>8500</v>
      </c>
      <c r="P59" s="508">
        <f>N59*O59</f>
        <v>357000</v>
      </c>
      <c r="Q59" s="1031" t="s">
        <v>253</v>
      </c>
      <c r="R59" s="20"/>
      <c r="S59" s="943" t="s">
        <v>139</v>
      </c>
      <c r="T59" s="309" t="s">
        <v>140</v>
      </c>
      <c r="U59" s="309">
        <v>42</v>
      </c>
      <c r="V59" s="569">
        <v>8500</v>
      </c>
      <c r="W59" s="569">
        <f>U59*V59</f>
        <v>357000</v>
      </c>
      <c r="X59" s="569"/>
      <c r="Y59" s="20"/>
      <c r="Z59" s="685" t="s">
        <v>139</v>
      </c>
      <c r="AA59" s="686" t="s">
        <v>140</v>
      </c>
      <c r="AB59" s="309"/>
      <c r="AC59" s="569">
        <v>8500</v>
      </c>
      <c r="AD59" s="569">
        <v>144500</v>
      </c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</row>
    <row r="60" spans="2:60" ht="13.5" customHeight="1" thickBot="1">
      <c r="F60" s="22" t="s">
        <v>141</v>
      </c>
      <c r="G60" s="22" t="s">
        <v>142</v>
      </c>
      <c r="H60" s="22">
        <v>37.5</v>
      </c>
      <c r="I60" s="508">
        <v>8500</v>
      </c>
      <c r="J60" s="508">
        <f t="shared" ref="J60:J76" si="33">H60*I60</f>
        <v>318750</v>
      </c>
      <c r="L60" s="939" t="s">
        <v>143</v>
      </c>
      <c r="M60" s="69" t="s">
        <v>144</v>
      </c>
      <c r="N60" s="82">
        <v>67</v>
      </c>
      <c r="O60" s="508">
        <v>8500</v>
      </c>
      <c r="P60" s="508">
        <f t="shared" ref="P60:P63" si="34">N60*O60</f>
        <v>569500</v>
      </c>
      <c r="Q60" s="1031"/>
      <c r="R60" s="20"/>
      <c r="S60" s="943" t="s">
        <v>143</v>
      </c>
      <c r="T60" s="309" t="s">
        <v>144</v>
      </c>
      <c r="U60" s="309">
        <v>67</v>
      </c>
      <c r="V60" s="569">
        <v>8500</v>
      </c>
      <c r="W60" s="569">
        <f t="shared" ref="W60:W82" si="35">U60*V60</f>
        <v>569500</v>
      </c>
      <c r="X60" s="569"/>
      <c r="Y60" s="20"/>
      <c r="Z60" s="685" t="s">
        <v>143</v>
      </c>
      <c r="AA60" s="686" t="s">
        <v>144</v>
      </c>
      <c r="AB60" s="309"/>
      <c r="AC60" s="569">
        <v>8500</v>
      </c>
      <c r="AD60" s="569">
        <v>246500</v>
      </c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</row>
    <row r="61" spans="2:60" ht="13.5" customHeight="1" thickBot="1">
      <c r="F61" s="22" t="s">
        <v>141</v>
      </c>
      <c r="G61" s="22" t="s">
        <v>5</v>
      </c>
      <c r="H61" s="22">
        <v>13.5</v>
      </c>
      <c r="I61" s="508">
        <v>14000</v>
      </c>
      <c r="J61" s="508">
        <f t="shared" si="33"/>
        <v>189000</v>
      </c>
      <c r="L61" s="939" t="s">
        <v>145</v>
      </c>
      <c r="M61" s="69" t="s">
        <v>146</v>
      </c>
      <c r="N61" s="82">
        <v>35</v>
      </c>
      <c r="O61" s="508">
        <v>14000</v>
      </c>
      <c r="P61" s="508">
        <f t="shared" si="34"/>
        <v>490000</v>
      </c>
      <c r="Q61" s="1031"/>
      <c r="R61" s="20"/>
      <c r="S61" s="943" t="s">
        <v>145</v>
      </c>
      <c r="T61" s="309" t="s">
        <v>146</v>
      </c>
      <c r="U61" s="309">
        <v>35</v>
      </c>
      <c r="V61" s="569">
        <v>14000</v>
      </c>
      <c r="W61" s="569">
        <f t="shared" si="35"/>
        <v>490000</v>
      </c>
      <c r="X61" s="569"/>
      <c r="Y61" s="20"/>
      <c r="Z61" s="685" t="s">
        <v>145</v>
      </c>
      <c r="AA61" s="686" t="s">
        <v>146</v>
      </c>
      <c r="AB61" s="309"/>
      <c r="AC61" s="569">
        <v>14000</v>
      </c>
      <c r="AD61" s="569">
        <v>168000</v>
      </c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</row>
    <row r="62" spans="2:60" ht="13.5" customHeight="1" thickBot="1">
      <c r="F62" s="22" t="s">
        <v>141</v>
      </c>
      <c r="G62" s="22" t="s">
        <v>108</v>
      </c>
      <c r="H62" s="22">
        <v>35</v>
      </c>
      <c r="I62" s="508">
        <v>14000</v>
      </c>
      <c r="J62" s="508">
        <f t="shared" si="33"/>
        <v>490000</v>
      </c>
      <c r="L62" s="939" t="s">
        <v>147</v>
      </c>
      <c r="M62" s="69" t="s">
        <v>148</v>
      </c>
      <c r="N62" s="82">
        <v>64</v>
      </c>
      <c r="O62" s="508">
        <v>14000</v>
      </c>
      <c r="P62" s="508">
        <f t="shared" si="34"/>
        <v>896000</v>
      </c>
      <c r="Q62" s="1031"/>
      <c r="R62" s="20"/>
      <c r="S62" s="943" t="s">
        <v>147</v>
      </c>
      <c r="T62" s="309" t="s">
        <v>148</v>
      </c>
      <c r="U62" s="309">
        <v>64</v>
      </c>
      <c r="V62" s="569">
        <v>14000</v>
      </c>
      <c r="W62" s="569">
        <f t="shared" si="35"/>
        <v>896000</v>
      </c>
      <c r="X62" s="569"/>
      <c r="Y62" s="20"/>
      <c r="Z62" s="685" t="s">
        <v>147</v>
      </c>
      <c r="AA62" s="686" t="s">
        <v>148</v>
      </c>
      <c r="AB62" s="309"/>
      <c r="AC62" s="569">
        <v>14000</v>
      </c>
      <c r="AD62" s="569">
        <v>462000</v>
      </c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</row>
    <row r="63" spans="2:60" ht="13.5" customHeight="1" thickBot="1">
      <c r="F63" s="22" t="s">
        <v>141</v>
      </c>
      <c r="G63" s="505" t="s">
        <v>7</v>
      </c>
      <c r="H63" s="22">
        <v>13</v>
      </c>
      <c r="I63" s="508">
        <v>8500</v>
      </c>
      <c r="J63" s="508">
        <f t="shared" si="33"/>
        <v>110500</v>
      </c>
      <c r="L63" s="939" t="s">
        <v>254</v>
      </c>
      <c r="M63" s="69" t="s">
        <v>163</v>
      </c>
      <c r="N63" s="22">
        <v>26</v>
      </c>
      <c r="O63" s="508">
        <v>8500</v>
      </c>
      <c r="P63" s="508">
        <f t="shared" si="34"/>
        <v>221000</v>
      </c>
      <c r="Q63" s="1031"/>
      <c r="R63" s="20"/>
      <c r="S63" s="943" t="s">
        <v>254</v>
      </c>
      <c r="T63" s="309" t="s">
        <v>163</v>
      </c>
      <c r="U63" s="309">
        <v>26</v>
      </c>
      <c r="V63" s="569">
        <v>8500</v>
      </c>
      <c r="W63" s="569">
        <f t="shared" si="35"/>
        <v>221000</v>
      </c>
      <c r="X63" s="569"/>
      <c r="Y63" s="20"/>
      <c r="Z63" s="685" t="s">
        <v>149</v>
      </c>
      <c r="AA63" s="686" t="s">
        <v>150</v>
      </c>
      <c r="AB63" s="309"/>
      <c r="AC63" s="569">
        <v>8500</v>
      </c>
      <c r="AD63" s="569">
        <v>110500</v>
      </c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</row>
    <row r="64" spans="2:60" ht="13.5" customHeight="1" thickBot="1">
      <c r="F64" s="22" t="s">
        <v>60</v>
      </c>
      <c r="G64" s="506" t="s">
        <v>71</v>
      </c>
      <c r="H64" s="22">
        <v>17</v>
      </c>
      <c r="I64" s="508">
        <v>14000</v>
      </c>
      <c r="J64" s="508">
        <f t="shared" si="33"/>
        <v>238000</v>
      </c>
      <c r="L64" s="939" t="s">
        <v>149</v>
      </c>
      <c r="M64" s="69" t="s">
        <v>150</v>
      </c>
      <c r="N64" s="82">
        <v>27</v>
      </c>
      <c r="O64" s="508">
        <v>8500</v>
      </c>
      <c r="P64" s="508">
        <f t="shared" ref="P64:P87" si="36">N64*O64</f>
        <v>229500</v>
      </c>
      <c r="Q64" s="1031"/>
      <c r="R64" s="20"/>
      <c r="S64" s="943" t="s">
        <v>149</v>
      </c>
      <c r="T64" s="309" t="s">
        <v>150</v>
      </c>
      <c r="U64" s="309">
        <v>27</v>
      </c>
      <c r="V64" s="569">
        <v>8500</v>
      </c>
      <c r="W64" s="569">
        <f t="shared" si="35"/>
        <v>229500</v>
      </c>
      <c r="X64" s="569"/>
      <c r="Y64" s="20"/>
      <c r="Z64" s="685" t="s">
        <v>182</v>
      </c>
      <c r="AA64" s="686" t="s">
        <v>152</v>
      </c>
      <c r="AB64" s="309"/>
      <c r="AC64" s="569">
        <v>14000</v>
      </c>
      <c r="AD64" s="569">
        <v>224000</v>
      </c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</row>
    <row r="65" spans="6:58" ht="13.5" customHeight="1" thickBot="1">
      <c r="F65" s="22" t="s">
        <v>60</v>
      </c>
      <c r="G65" s="22" t="s">
        <v>153</v>
      </c>
      <c r="H65" s="22">
        <v>5</v>
      </c>
      <c r="I65" s="508">
        <v>7500</v>
      </c>
      <c r="J65" s="508">
        <f t="shared" si="33"/>
        <v>37500</v>
      </c>
      <c r="L65" s="939" t="s">
        <v>255</v>
      </c>
      <c r="M65" s="69" t="s">
        <v>256</v>
      </c>
      <c r="N65" s="22">
        <v>1</v>
      </c>
      <c r="O65" s="508">
        <v>8500</v>
      </c>
      <c r="P65" s="508">
        <f t="shared" si="36"/>
        <v>8500</v>
      </c>
      <c r="Q65" s="1031"/>
      <c r="R65" s="20"/>
      <c r="S65" s="943" t="s">
        <v>255</v>
      </c>
      <c r="T65" s="309" t="s">
        <v>256</v>
      </c>
      <c r="U65" s="309">
        <v>1</v>
      </c>
      <c r="V65" s="569">
        <v>8500</v>
      </c>
      <c r="W65" s="569">
        <f t="shared" si="35"/>
        <v>8500</v>
      </c>
      <c r="X65" s="569"/>
      <c r="Y65" s="20"/>
      <c r="Z65" s="685" t="s">
        <v>154</v>
      </c>
      <c r="AA65" s="686" t="s">
        <v>153</v>
      </c>
      <c r="AB65" s="309"/>
      <c r="AC65" s="569">
        <v>7500</v>
      </c>
      <c r="AD65" s="569">
        <v>37500</v>
      </c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</row>
    <row r="66" spans="6:58" ht="13.5" customHeight="1" thickBot="1">
      <c r="F66" s="22" t="s">
        <v>155</v>
      </c>
      <c r="G66" s="22" t="s">
        <v>74</v>
      </c>
      <c r="H66" s="22">
        <v>0.5</v>
      </c>
      <c r="I66" s="508">
        <v>14000</v>
      </c>
      <c r="J66" s="508">
        <f t="shared" si="33"/>
        <v>7000</v>
      </c>
      <c r="L66" s="939" t="s">
        <v>167</v>
      </c>
      <c r="M66" s="69" t="s">
        <v>168</v>
      </c>
      <c r="N66" s="82">
        <v>10</v>
      </c>
      <c r="O66" s="508">
        <v>8500</v>
      </c>
      <c r="P66" s="508">
        <f t="shared" si="36"/>
        <v>85000</v>
      </c>
      <c r="Q66" s="1031"/>
      <c r="R66" s="20"/>
      <c r="S66" s="943" t="s">
        <v>167</v>
      </c>
      <c r="T66" s="309" t="s">
        <v>168</v>
      </c>
      <c r="U66" s="309">
        <v>10</v>
      </c>
      <c r="V66" s="569">
        <v>8500</v>
      </c>
      <c r="W66" s="569">
        <f t="shared" si="35"/>
        <v>85000</v>
      </c>
      <c r="X66" s="569"/>
      <c r="Y66" s="20"/>
      <c r="Z66" s="685" t="s">
        <v>156</v>
      </c>
      <c r="AA66" s="686" t="s">
        <v>157</v>
      </c>
      <c r="AB66" s="309"/>
      <c r="AC66" s="569">
        <v>14000</v>
      </c>
      <c r="AD66" s="569">
        <v>14000</v>
      </c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</row>
    <row r="67" spans="6:58" ht="13.5" customHeight="1" thickBot="1">
      <c r="F67" s="22" t="s">
        <v>155</v>
      </c>
      <c r="G67" s="22" t="s">
        <v>142</v>
      </c>
      <c r="H67" s="22">
        <v>0.75</v>
      </c>
      <c r="I67" s="508">
        <v>8500</v>
      </c>
      <c r="J67" s="508">
        <f t="shared" si="33"/>
        <v>6375</v>
      </c>
      <c r="L67" s="939" t="s">
        <v>170</v>
      </c>
      <c r="M67" s="69" t="s">
        <v>171</v>
      </c>
      <c r="N67" s="82">
        <v>2</v>
      </c>
      <c r="O67" s="508">
        <v>14000</v>
      </c>
      <c r="P67" s="508">
        <f t="shared" si="36"/>
        <v>28000</v>
      </c>
      <c r="Q67" s="1031"/>
      <c r="R67" s="20"/>
      <c r="S67" s="943" t="s">
        <v>170</v>
      </c>
      <c r="T67" s="309" t="s">
        <v>171</v>
      </c>
      <c r="U67" s="309">
        <v>2</v>
      </c>
      <c r="V67" s="569">
        <v>14000</v>
      </c>
      <c r="W67" s="569">
        <f t="shared" si="35"/>
        <v>28000</v>
      </c>
      <c r="X67" s="569"/>
      <c r="Y67" s="20"/>
      <c r="Z67" s="685" t="s">
        <v>158</v>
      </c>
      <c r="AA67" s="686" t="s">
        <v>150</v>
      </c>
      <c r="AB67" s="309"/>
      <c r="AC67" s="569">
        <v>8500</v>
      </c>
      <c r="AD67" s="569">
        <v>8500</v>
      </c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</row>
    <row r="68" spans="6:58" ht="13.5" customHeight="1" thickBot="1">
      <c r="F68" s="22" t="s">
        <v>63</v>
      </c>
      <c r="G68" s="22" t="s">
        <v>142</v>
      </c>
      <c r="H68" s="22">
        <v>0.5</v>
      </c>
      <c r="I68" s="508">
        <v>8500</v>
      </c>
      <c r="J68" s="508">
        <f t="shared" si="33"/>
        <v>4250</v>
      </c>
      <c r="L68" s="939" t="s">
        <v>175</v>
      </c>
      <c r="M68" s="69" t="s">
        <v>176</v>
      </c>
      <c r="N68" s="82">
        <v>12</v>
      </c>
      <c r="O68" s="508">
        <v>8500</v>
      </c>
      <c r="P68" s="508">
        <f t="shared" si="36"/>
        <v>102000</v>
      </c>
      <c r="Q68" s="1031"/>
      <c r="R68" s="20"/>
      <c r="S68" s="943" t="s">
        <v>175</v>
      </c>
      <c r="T68" s="309" t="s">
        <v>176</v>
      </c>
      <c r="U68" s="309">
        <v>12</v>
      </c>
      <c r="V68" s="569">
        <v>8500</v>
      </c>
      <c r="W68" s="569">
        <f t="shared" si="35"/>
        <v>102000</v>
      </c>
      <c r="X68" s="569"/>
      <c r="Y68" s="20"/>
      <c r="Z68" s="685" t="s">
        <v>159</v>
      </c>
      <c r="AA68" s="686" t="s">
        <v>150</v>
      </c>
      <c r="AB68" s="309"/>
      <c r="AC68" s="569">
        <v>8500</v>
      </c>
      <c r="AD68" s="569">
        <v>17000</v>
      </c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</row>
    <row r="69" spans="6:58" ht="13.5" customHeight="1" thickBot="1">
      <c r="F69" s="22" t="s">
        <v>64</v>
      </c>
      <c r="G69" s="22" t="s">
        <v>142</v>
      </c>
      <c r="H69" s="22">
        <v>0.75</v>
      </c>
      <c r="I69" s="508">
        <v>8500</v>
      </c>
      <c r="J69" s="508">
        <f t="shared" si="33"/>
        <v>6375</v>
      </c>
      <c r="L69" s="939" t="s">
        <v>183</v>
      </c>
      <c r="M69" s="69" t="s">
        <v>178</v>
      </c>
      <c r="N69" s="82">
        <v>15</v>
      </c>
      <c r="O69" s="508">
        <v>8500</v>
      </c>
      <c r="P69" s="508">
        <f t="shared" si="36"/>
        <v>127500</v>
      </c>
      <c r="Q69" s="1031"/>
      <c r="R69" s="20"/>
      <c r="S69" s="943" t="s">
        <v>183</v>
      </c>
      <c r="T69" s="309" t="s">
        <v>178</v>
      </c>
      <c r="U69" s="309">
        <v>15</v>
      </c>
      <c r="V69" s="569">
        <v>8500</v>
      </c>
      <c r="W69" s="569">
        <f t="shared" si="35"/>
        <v>127500</v>
      </c>
      <c r="X69" s="569"/>
      <c r="Y69" s="20"/>
      <c r="Z69" s="685" t="s">
        <v>162</v>
      </c>
      <c r="AA69" s="686" t="s">
        <v>163</v>
      </c>
      <c r="AB69" s="309"/>
      <c r="AC69" s="569">
        <v>8500</v>
      </c>
      <c r="AD69" s="569">
        <v>8500</v>
      </c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</row>
    <row r="70" spans="6:58" ht="13.5" customHeight="1" thickBot="1">
      <c r="F70" s="22" t="s">
        <v>160</v>
      </c>
      <c r="G70" s="22" t="s">
        <v>161</v>
      </c>
      <c r="H70" s="22">
        <v>0.5</v>
      </c>
      <c r="I70" s="508">
        <v>8500</v>
      </c>
      <c r="J70" s="508">
        <f t="shared" si="33"/>
        <v>4250</v>
      </c>
      <c r="L70" s="939" t="s">
        <v>182</v>
      </c>
      <c r="M70" s="69" t="s">
        <v>152</v>
      </c>
      <c r="N70" s="82">
        <v>30</v>
      </c>
      <c r="O70" s="508">
        <v>14000</v>
      </c>
      <c r="P70" s="508">
        <f t="shared" si="36"/>
        <v>420000</v>
      </c>
      <c r="Q70" s="1031" t="s">
        <v>60</v>
      </c>
      <c r="R70" s="20"/>
      <c r="S70" s="943" t="s">
        <v>182</v>
      </c>
      <c r="T70" s="309" t="s">
        <v>152</v>
      </c>
      <c r="U70" s="309">
        <v>30</v>
      </c>
      <c r="V70" s="569">
        <v>14000</v>
      </c>
      <c r="W70" s="569">
        <f t="shared" si="35"/>
        <v>420000</v>
      </c>
      <c r="X70" s="569"/>
      <c r="Y70" s="20"/>
      <c r="Z70" s="685" t="s">
        <v>165</v>
      </c>
      <c r="AA70" s="686" t="s">
        <v>144</v>
      </c>
      <c r="AB70" s="309"/>
      <c r="AC70" s="569">
        <v>8500</v>
      </c>
      <c r="AD70" s="569">
        <v>8500</v>
      </c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</row>
    <row r="71" spans="6:58" ht="13.5" customHeight="1" thickBot="1">
      <c r="F71" s="22" t="s">
        <v>164</v>
      </c>
      <c r="G71" s="22" t="s">
        <v>142</v>
      </c>
      <c r="H71" s="22">
        <v>0.5</v>
      </c>
      <c r="I71" s="508">
        <v>8500</v>
      </c>
      <c r="J71" s="508">
        <f t="shared" si="33"/>
        <v>4250</v>
      </c>
      <c r="L71" s="939" t="s">
        <v>257</v>
      </c>
      <c r="M71" s="69" t="s">
        <v>230</v>
      </c>
      <c r="N71" s="82">
        <v>1</v>
      </c>
      <c r="O71" s="508">
        <v>14000</v>
      </c>
      <c r="P71" s="508">
        <f t="shared" si="36"/>
        <v>14000</v>
      </c>
      <c r="Q71" s="1031"/>
      <c r="R71" s="20"/>
      <c r="S71" s="943" t="s">
        <v>257</v>
      </c>
      <c r="T71" s="309" t="s">
        <v>258</v>
      </c>
      <c r="U71" s="309">
        <v>1</v>
      </c>
      <c r="V71" s="569">
        <v>14000</v>
      </c>
      <c r="W71" s="569">
        <f t="shared" si="35"/>
        <v>14000</v>
      </c>
      <c r="X71" s="569"/>
      <c r="Y71" s="20"/>
      <c r="Z71" s="685" t="s">
        <v>167</v>
      </c>
      <c r="AA71" s="686" t="s">
        <v>168</v>
      </c>
      <c r="AB71" s="309"/>
      <c r="AC71" s="569">
        <v>8500</v>
      </c>
      <c r="AD71" s="569">
        <v>42500</v>
      </c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</row>
    <row r="72" spans="6:58" ht="13.5" customHeight="1" thickBot="1">
      <c r="F72" s="22" t="s">
        <v>137</v>
      </c>
      <c r="G72" s="22" t="s">
        <v>166</v>
      </c>
      <c r="H72" s="22">
        <v>6</v>
      </c>
      <c r="I72" s="508">
        <v>8500</v>
      </c>
      <c r="J72" s="508">
        <f t="shared" si="33"/>
        <v>51000</v>
      </c>
      <c r="L72" s="939" t="s">
        <v>154</v>
      </c>
      <c r="M72" s="69" t="s">
        <v>153</v>
      </c>
      <c r="N72" s="82">
        <v>5</v>
      </c>
      <c r="O72" s="508">
        <v>7500</v>
      </c>
      <c r="P72" s="508">
        <f t="shared" si="36"/>
        <v>37500</v>
      </c>
      <c r="Q72" s="1031"/>
      <c r="R72" s="20"/>
      <c r="S72" s="943" t="s">
        <v>154</v>
      </c>
      <c r="T72" s="309" t="s">
        <v>153</v>
      </c>
      <c r="U72" s="309">
        <v>5</v>
      </c>
      <c r="V72" s="569">
        <v>7500</v>
      </c>
      <c r="W72" s="569">
        <f t="shared" si="35"/>
        <v>37500</v>
      </c>
      <c r="X72" s="569"/>
      <c r="Y72" s="20"/>
      <c r="Z72" s="685" t="s">
        <v>170</v>
      </c>
      <c r="AA72" s="686" t="s">
        <v>171</v>
      </c>
      <c r="AB72" s="309"/>
      <c r="AC72" s="569">
        <v>14000</v>
      </c>
      <c r="AD72" s="569">
        <v>14000</v>
      </c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</row>
    <row r="73" spans="6:58" ht="13.5" customHeight="1" thickBot="1">
      <c r="F73" s="22" t="s">
        <v>137</v>
      </c>
      <c r="G73" s="22" t="s">
        <v>169</v>
      </c>
      <c r="H73" s="22">
        <v>0.5</v>
      </c>
      <c r="I73" s="508">
        <v>14000</v>
      </c>
      <c r="J73" s="508">
        <f t="shared" si="33"/>
        <v>7000</v>
      </c>
      <c r="L73" s="939"/>
      <c r="M73" s="69" t="s">
        <v>61</v>
      </c>
      <c r="N73" s="22"/>
      <c r="O73" s="508">
        <v>8500</v>
      </c>
      <c r="P73" s="508">
        <f t="shared" si="36"/>
        <v>0</v>
      </c>
      <c r="Q73" s="1031" t="s">
        <v>61</v>
      </c>
      <c r="R73" s="20"/>
      <c r="S73" s="943" t="s">
        <v>259</v>
      </c>
      <c r="T73" s="309" t="s">
        <v>260</v>
      </c>
      <c r="U73" s="309">
        <v>3</v>
      </c>
      <c r="V73" s="569">
        <v>8500</v>
      </c>
      <c r="W73" s="569">
        <f t="shared" si="35"/>
        <v>25500</v>
      </c>
      <c r="X73" s="569"/>
      <c r="Y73" s="20"/>
      <c r="Z73" s="685" t="s">
        <v>173</v>
      </c>
      <c r="AA73" s="686" t="s">
        <v>174</v>
      </c>
      <c r="AB73" s="309"/>
      <c r="AC73" s="569">
        <v>8500</v>
      </c>
      <c r="AD73" s="569">
        <v>25500</v>
      </c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</row>
    <row r="74" spans="6:58" ht="13.5" customHeight="1" thickBot="1">
      <c r="F74" s="22" t="s">
        <v>137</v>
      </c>
      <c r="G74" s="22" t="s">
        <v>172</v>
      </c>
      <c r="H74" s="22">
        <v>3</v>
      </c>
      <c r="I74" s="508">
        <v>8500</v>
      </c>
      <c r="J74" s="508">
        <f t="shared" si="33"/>
        <v>25500</v>
      </c>
      <c r="L74" s="939" t="s">
        <v>259</v>
      </c>
      <c r="M74" s="69" t="s">
        <v>261</v>
      </c>
      <c r="N74" s="22">
        <v>3</v>
      </c>
      <c r="O74" s="508">
        <v>8500</v>
      </c>
      <c r="P74" s="508">
        <f t="shared" si="36"/>
        <v>25500</v>
      </c>
      <c r="Q74" s="1031"/>
      <c r="R74" s="20"/>
      <c r="S74" s="943" t="s">
        <v>156</v>
      </c>
      <c r="T74" s="309" t="s">
        <v>157</v>
      </c>
      <c r="U74" s="309">
        <v>2</v>
      </c>
      <c r="V74" s="569">
        <v>14000</v>
      </c>
      <c r="W74" s="569">
        <f t="shared" si="35"/>
        <v>28000</v>
      </c>
      <c r="X74" s="569"/>
      <c r="Y74" s="20"/>
      <c r="Z74" s="685" t="s">
        <v>175</v>
      </c>
      <c r="AA74" s="686" t="s">
        <v>176</v>
      </c>
      <c r="AB74" s="309"/>
      <c r="AC74" s="569">
        <v>8500</v>
      </c>
      <c r="AD74" s="569">
        <v>17000</v>
      </c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</row>
    <row r="75" spans="6:58" ht="13.5" customHeight="1" thickBot="1">
      <c r="F75" s="22" t="s">
        <v>137</v>
      </c>
      <c r="G75" s="22" t="s">
        <v>35</v>
      </c>
      <c r="H75" s="22">
        <v>2</v>
      </c>
      <c r="I75" s="508">
        <v>8500</v>
      </c>
      <c r="J75" s="508">
        <f t="shared" si="33"/>
        <v>17000</v>
      </c>
      <c r="L75" s="939" t="s">
        <v>156</v>
      </c>
      <c r="M75" s="69" t="s">
        <v>157</v>
      </c>
      <c r="N75" s="82">
        <v>2</v>
      </c>
      <c r="O75" s="508">
        <v>14000</v>
      </c>
      <c r="P75" s="508">
        <f t="shared" si="36"/>
        <v>28000</v>
      </c>
      <c r="Q75" s="1031" t="s">
        <v>262</v>
      </c>
      <c r="R75" s="20"/>
      <c r="S75" s="943" t="s">
        <v>158</v>
      </c>
      <c r="T75" s="309" t="s">
        <v>150</v>
      </c>
      <c r="U75" s="309">
        <v>5</v>
      </c>
      <c r="V75" s="569">
        <v>8500</v>
      </c>
      <c r="W75" s="569">
        <f t="shared" si="35"/>
        <v>42500</v>
      </c>
      <c r="X75" s="569"/>
      <c r="Y75" s="20"/>
      <c r="Z75" s="685" t="s">
        <v>183</v>
      </c>
      <c r="AA75" s="686" t="s">
        <v>178</v>
      </c>
      <c r="AB75" s="309"/>
      <c r="AC75" s="569">
        <v>8500</v>
      </c>
      <c r="AD75" s="569">
        <v>25500</v>
      </c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</row>
    <row r="76" spans="6:58" ht="21.65" customHeight="1" thickBot="1">
      <c r="F76" s="22" t="s">
        <v>137</v>
      </c>
      <c r="G76" s="22" t="s">
        <v>11</v>
      </c>
      <c r="H76" s="22">
        <v>3</v>
      </c>
      <c r="I76" s="508">
        <v>8500</v>
      </c>
      <c r="J76" s="508">
        <f t="shared" si="33"/>
        <v>25500</v>
      </c>
      <c r="L76" s="939" t="s">
        <v>158</v>
      </c>
      <c r="M76" s="69" t="s">
        <v>150</v>
      </c>
      <c r="N76" s="82">
        <v>5</v>
      </c>
      <c r="O76" s="508">
        <v>8500</v>
      </c>
      <c r="P76" s="508">
        <f t="shared" si="36"/>
        <v>42500</v>
      </c>
      <c r="Q76" s="1031"/>
      <c r="R76" s="20"/>
      <c r="S76" s="943" t="s">
        <v>263</v>
      </c>
      <c r="T76" s="309" t="s">
        <v>148</v>
      </c>
      <c r="U76" s="309">
        <v>3</v>
      </c>
      <c r="V76" s="569">
        <v>14000</v>
      </c>
      <c r="W76" s="569">
        <f t="shared" si="35"/>
        <v>42000</v>
      </c>
      <c r="X76" s="569"/>
      <c r="Y76" s="20"/>
      <c r="Z76" s="1057" t="s">
        <v>184</v>
      </c>
      <c r="AA76" s="1058"/>
      <c r="AB76" s="309">
        <v>145</v>
      </c>
      <c r="AC76" s="570"/>
      <c r="AD76" s="569">
        <v>1574000</v>
      </c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</row>
    <row r="77" spans="6:58" ht="13.5" customHeight="1" thickBot="1">
      <c r="H77" s="507">
        <f>SUM(H59:H76)</f>
        <v>159</v>
      </c>
      <c r="I77" s="509"/>
      <c r="J77" s="510">
        <f>SUM(J59:J76)</f>
        <v>1712250</v>
      </c>
      <c r="L77" s="939" t="s">
        <v>263</v>
      </c>
      <c r="M77" s="69" t="s">
        <v>264</v>
      </c>
      <c r="N77" s="22">
        <v>3</v>
      </c>
      <c r="O77" s="508">
        <v>14000</v>
      </c>
      <c r="P77" s="508">
        <f t="shared" si="36"/>
        <v>42000</v>
      </c>
      <c r="Q77" s="1031"/>
      <c r="R77" s="20"/>
      <c r="S77" s="943" t="s">
        <v>159</v>
      </c>
      <c r="T77" s="309" t="s">
        <v>144</v>
      </c>
      <c r="U77" s="309">
        <v>13</v>
      </c>
      <c r="V77" s="569">
        <v>8500</v>
      </c>
      <c r="W77" s="569">
        <f t="shared" si="35"/>
        <v>110500</v>
      </c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</row>
    <row r="78" spans="6:58" ht="13.5" customHeight="1" thickBot="1">
      <c r="J78" s="512">
        <f>J77-BC54</f>
        <v>1712250</v>
      </c>
      <c r="L78" s="939" t="s">
        <v>159</v>
      </c>
      <c r="M78" s="69" t="s">
        <v>142</v>
      </c>
      <c r="N78" s="82">
        <v>6</v>
      </c>
      <c r="O78" s="508">
        <v>8500</v>
      </c>
      <c r="P78" s="508">
        <f t="shared" si="36"/>
        <v>51000</v>
      </c>
      <c r="Q78" s="1031" t="s">
        <v>265</v>
      </c>
      <c r="R78" s="20"/>
      <c r="S78" s="943" t="s">
        <v>266</v>
      </c>
      <c r="T78" s="309" t="s">
        <v>148</v>
      </c>
      <c r="U78" s="309">
        <v>12</v>
      </c>
      <c r="V78" s="569">
        <v>14000</v>
      </c>
      <c r="W78" s="569">
        <f t="shared" si="35"/>
        <v>168000</v>
      </c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</row>
    <row r="79" spans="6:58" ht="19" customHeight="1" thickBot="1">
      <c r="L79" s="939" t="s">
        <v>266</v>
      </c>
      <c r="M79" s="69" t="s">
        <v>264</v>
      </c>
      <c r="N79" s="22">
        <v>5</v>
      </c>
      <c r="O79" s="508">
        <v>14000</v>
      </c>
      <c r="P79" s="508">
        <f t="shared" si="36"/>
        <v>70000</v>
      </c>
      <c r="Q79" s="1031"/>
      <c r="R79" s="20"/>
      <c r="S79" s="943" t="s">
        <v>267</v>
      </c>
      <c r="T79" s="309" t="s">
        <v>163</v>
      </c>
      <c r="U79" s="309">
        <v>2</v>
      </c>
      <c r="V79" s="569">
        <v>8500</v>
      </c>
      <c r="W79" s="569">
        <f t="shared" si="35"/>
        <v>17000</v>
      </c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</row>
    <row r="80" spans="6:58" ht="13.5" customHeight="1" thickBot="1">
      <c r="L80" s="939" t="s">
        <v>267</v>
      </c>
      <c r="M80" s="69" t="s">
        <v>268</v>
      </c>
      <c r="N80" s="22">
        <v>0.5</v>
      </c>
      <c r="O80" s="508">
        <v>8500</v>
      </c>
      <c r="P80" s="508">
        <f t="shared" si="36"/>
        <v>4250</v>
      </c>
      <c r="Q80" s="1031"/>
      <c r="R80" s="20"/>
      <c r="S80" s="943" t="s">
        <v>269</v>
      </c>
      <c r="T80" s="309" t="s">
        <v>148</v>
      </c>
      <c r="U80" s="309">
        <v>2</v>
      </c>
      <c r="V80" s="569">
        <v>14000</v>
      </c>
      <c r="W80" s="569">
        <f t="shared" si="35"/>
        <v>28000</v>
      </c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</row>
    <row r="81" spans="12:58" ht="13.5" customHeight="1" thickBot="1">
      <c r="L81" s="939" t="s">
        <v>159</v>
      </c>
      <c r="M81" s="69" t="s">
        <v>142</v>
      </c>
      <c r="N81" s="82">
        <v>7</v>
      </c>
      <c r="O81" s="508">
        <v>8500</v>
      </c>
      <c r="P81" s="508">
        <f t="shared" si="36"/>
        <v>59500</v>
      </c>
      <c r="Q81" s="1031" t="s">
        <v>270</v>
      </c>
      <c r="R81" s="20"/>
      <c r="S81" s="943" t="s">
        <v>165</v>
      </c>
      <c r="T81" s="309" t="s">
        <v>144</v>
      </c>
      <c r="U81" s="309">
        <v>10</v>
      </c>
      <c r="V81" s="569">
        <v>8500</v>
      </c>
      <c r="W81" s="569">
        <f t="shared" si="35"/>
        <v>85000</v>
      </c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</row>
    <row r="82" spans="12:58" ht="13.5" customHeight="1" thickBot="1">
      <c r="L82" s="939" t="s">
        <v>266</v>
      </c>
      <c r="M82" s="69" t="s">
        <v>264</v>
      </c>
      <c r="N82" s="22">
        <v>7</v>
      </c>
      <c r="O82" s="508">
        <v>14000</v>
      </c>
      <c r="P82" s="508">
        <f t="shared" si="36"/>
        <v>98000</v>
      </c>
      <c r="Q82" s="1031"/>
      <c r="R82" s="20"/>
      <c r="S82" s="943" t="s">
        <v>271</v>
      </c>
      <c r="T82" s="309" t="s">
        <v>178</v>
      </c>
      <c r="U82" s="309">
        <v>2</v>
      </c>
      <c r="V82" s="569">
        <v>8500</v>
      </c>
      <c r="W82" s="569">
        <f t="shared" si="35"/>
        <v>17000</v>
      </c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</row>
    <row r="83" spans="12:58" ht="13.5" customHeight="1" thickBot="1">
      <c r="L83" s="939" t="s">
        <v>267</v>
      </c>
      <c r="M83" s="69" t="s">
        <v>268</v>
      </c>
      <c r="N83" s="22">
        <v>1.5</v>
      </c>
      <c r="O83" s="508">
        <v>8500</v>
      </c>
      <c r="P83" s="508">
        <f t="shared" si="36"/>
        <v>12750</v>
      </c>
      <c r="Q83" s="1031"/>
      <c r="R83" s="20"/>
      <c r="S83" s="943" t="s">
        <v>173</v>
      </c>
      <c r="T83" s="309" t="s">
        <v>272</v>
      </c>
      <c r="U83" s="309">
        <v>6</v>
      </c>
      <c r="V83" s="569">
        <v>8500</v>
      </c>
      <c r="W83" s="569">
        <f>U83*V83</f>
        <v>51000</v>
      </c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</row>
    <row r="84" spans="12:58" ht="21" customHeight="1" thickBot="1">
      <c r="L84" s="939" t="s">
        <v>269</v>
      </c>
      <c r="M84" s="69" t="s">
        <v>264</v>
      </c>
      <c r="N84" s="22">
        <v>2</v>
      </c>
      <c r="O84" s="508">
        <v>14000</v>
      </c>
      <c r="P84" s="508">
        <f t="shared" si="36"/>
        <v>28000</v>
      </c>
      <c r="Q84" s="1031" t="s">
        <v>273</v>
      </c>
      <c r="R84" s="20"/>
      <c r="S84" s="1057" t="s">
        <v>184</v>
      </c>
      <c r="T84" s="1058"/>
      <c r="U84" s="309">
        <f>SUM(U59:U83)</f>
        <v>397</v>
      </c>
      <c r="V84" s="570"/>
      <c r="W84" s="569">
        <f>SUM(W59:W83)</f>
        <v>4200000</v>
      </c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</row>
    <row r="85" spans="12:58" ht="13.5" customHeight="1">
      <c r="L85" s="939" t="s">
        <v>165</v>
      </c>
      <c r="M85" s="69" t="s">
        <v>268</v>
      </c>
      <c r="N85" s="22">
        <v>10</v>
      </c>
      <c r="O85" s="508">
        <v>8500</v>
      </c>
      <c r="P85" s="508">
        <f t="shared" si="36"/>
        <v>85000</v>
      </c>
      <c r="Q85" s="1031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</row>
    <row r="86" spans="12:58" ht="13.5" customHeight="1">
      <c r="L86" s="939" t="s">
        <v>271</v>
      </c>
      <c r="M86" s="69" t="s">
        <v>274</v>
      </c>
      <c r="N86" s="82">
        <v>2</v>
      </c>
      <c r="O86" s="508">
        <v>8500</v>
      </c>
      <c r="P86" s="508">
        <f t="shared" si="36"/>
        <v>17000</v>
      </c>
      <c r="Q86" s="1031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</row>
    <row r="87" spans="12:58" ht="13.5" customHeight="1">
      <c r="L87" s="939" t="s">
        <v>173</v>
      </c>
      <c r="M87" s="69" t="s">
        <v>163</v>
      </c>
      <c r="N87" s="82">
        <v>6</v>
      </c>
      <c r="O87" s="508">
        <v>8500</v>
      </c>
      <c r="P87" s="508">
        <f t="shared" si="36"/>
        <v>51000</v>
      </c>
      <c r="Q87" s="60" t="s">
        <v>275</v>
      </c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</row>
    <row r="88" spans="12:58" ht="13.5" customHeight="1">
      <c r="N88" s="568">
        <f>SUM(N59:N87)</f>
        <v>397</v>
      </c>
      <c r="O88" s="509"/>
      <c r="P88" s="510">
        <f>SUM(P59:P87)</f>
        <v>4200000</v>
      </c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</row>
    <row r="89" spans="12:58" ht="13.5" customHeight="1"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</row>
    <row r="90" spans="12:58" ht="13.5" customHeight="1"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</row>
    <row r="91" spans="12:58" ht="13.5" customHeight="1"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</row>
    <row r="92" spans="12:58" ht="13.5" customHeight="1"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</row>
    <row r="93" spans="12:58" ht="13.5" customHeight="1"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</row>
    <row r="94" spans="12:58" ht="13.5" customHeight="1"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</row>
    <row r="95" spans="12:58" ht="13.5" customHeight="1"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</row>
    <row r="96" spans="12:58" ht="13.5" customHeight="1">
      <c r="O96" s="513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</row>
    <row r="97" spans="14:58" ht="13.5" customHeight="1"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</row>
    <row r="98" spans="14:58" ht="13.5" customHeight="1"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</row>
    <row r="99" spans="14:58" ht="13.5" customHeight="1"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</row>
    <row r="100" spans="14:58" ht="13.5" customHeight="1"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</row>
    <row r="101" spans="14:58" ht="13.5" customHeight="1"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</row>
    <row r="102" spans="14:58" ht="13.5" customHeight="1"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</row>
    <row r="103" spans="14:58" ht="13.5" customHeight="1"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</row>
    <row r="104" spans="14:58" ht="13.5" customHeight="1"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</row>
    <row r="105" spans="14:58" ht="13.5" customHeight="1"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</row>
    <row r="106" spans="14:58" ht="13.5" customHeight="1"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</row>
    <row r="107" spans="14:58" ht="13.5" customHeight="1"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</row>
    <row r="108" spans="14:58" ht="13.5" customHeight="1"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</row>
    <row r="109" spans="14:58" ht="13.5" customHeight="1"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</row>
    <row r="110" spans="14:58" ht="13.5" customHeight="1"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</row>
    <row r="111" spans="14:58" ht="13.5" customHeight="1"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</row>
    <row r="112" spans="14:58" ht="13.5" customHeight="1">
      <c r="N112" s="513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</row>
    <row r="113" spans="16:58" ht="13.5" customHeight="1"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</row>
    <row r="114" spans="16:58" ht="13.5" customHeight="1"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</row>
    <row r="115" spans="16:58" ht="13.5" customHeight="1"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</row>
    <row r="116" spans="16:58" ht="13.5" customHeight="1"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</row>
    <row r="117" spans="16:58" ht="13.5" customHeight="1"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</row>
    <row r="118" spans="16:58" ht="13.5" customHeight="1"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</row>
    <row r="119" spans="16:58" ht="13.5" customHeight="1"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</row>
    <row r="120" spans="16:58" ht="13.5" customHeight="1"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</row>
    <row r="121" spans="16:58" ht="13.5" customHeight="1"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</row>
    <row r="122" spans="16:58" ht="13.5" customHeight="1"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</row>
    <row r="123" spans="16:58" ht="13.5" customHeight="1"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</row>
    <row r="124" spans="16:58" ht="13.5" customHeight="1"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</row>
    <row r="125" spans="16:58" ht="13.5" customHeight="1"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</row>
    <row r="126" spans="16:58" ht="13.5" customHeight="1"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</row>
    <row r="127" spans="16:58" ht="13.5" customHeight="1"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</row>
    <row r="128" spans="16:58" ht="13.5" customHeight="1"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</row>
    <row r="129" spans="16:58" ht="13.5" customHeight="1"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</row>
    <row r="130" spans="16:58" ht="13.5" customHeight="1"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</row>
    <row r="131" spans="16:58" ht="13.5" customHeight="1"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</row>
    <row r="132" spans="16:58" ht="13.5" customHeight="1"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</row>
    <row r="133" spans="16:58" ht="13.5" customHeight="1"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</row>
    <row r="134" spans="16:58" ht="13.5" customHeight="1"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</row>
    <row r="135" spans="16:58" ht="13.5" customHeight="1"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</row>
    <row r="136" spans="16:58" ht="13.5" customHeight="1"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</row>
    <row r="137" spans="16:58" ht="13.5" customHeight="1"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</row>
    <row r="138" spans="16:58" ht="13.5" customHeight="1"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</row>
    <row r="139" spans="16:58">
      <c r="P139" s="20"/>
    </row>
    <row r="140" spans="16:58">
      <c r="P140" s="20"/>
    </row>
  </sheetData>
  <autoFilter ref="A2:EE56" xr:uid="{481CC179-ECF6-4748-96A9-1D852131BE18}"/>
  <mergeCells count="34">
    <mergeCell ref="Z76:AA76"/>
    <mergeCell ref="F20:F25"/>
    <mergeCell ref="G23:G24"/>
    <mergeCell ref="H23:H24"/>
    <mergeCell ref="I23:I24"/>
    <mergeCell ref="K23:K24"/>
    <mergeCell ref="N23:N24"/>
    <mergeCell ref="Q59:Q69"/>
    <mergeCell ref="Q70:Q72"/>
    <mergeCell ref="K36:K37"/>
    <mergeCell ref="F40:F44"/>
    <mergeCell ref="G40:G44"/>
    <mergeCell ref="H40:H44"/>
    <mergeCell ref="I40:I44"/>
    <mergeCell ref="Q73:Q74"/>
    <mergeCell ref="Q75:Q77"/>
    <mergeCell ref="W1:X1"/>
    <mergeCell ref="AW1:BD1"/>
    <mergeCell ref="Y1:AF1"/>
    <mergeCell ref="AG1:AN1"/>
    <mergeCell ref="AO1:AV1"/>
    <mergeCell ref="AZ25:AZ26"/>
    <mergeCell ref="BE25:BE26"/>
    <mergeCell ref="G25:G26"/>
    <mergeCell ref="H25:H26"/>
    <mergeCell ref="I25:I26"/>
    <mergeCell ref="K25:K26"/>
    <mergeCell ref="Q78:Q80"/>
    <mergeCell ref="Q81:Q83"/>
    <mergeCell ref="Q84:Q86"/>
    <mergeCell ref="S84:T84"/>
    <mergeCell ref="F1:R1"/>
    <mergeCell ref="F8:F18"/>
    <mergeCell ref="S1:V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67F74-299D-4793-AC44-F41F2049205B}">
  <sheetPr>
    <tabColor rgb="FFFFFF00"/>
  </sheetPr>
  <dimension ref="A1:DY135"/>
  <sheetViews>
    <sheetView zoomScale="70" zoomScaleNormal="70" workbookViewId="0">
      <pane xSplit="3" ySplit="2" topLeftCell="D20" activePane="bottomRight" state="frozen"/>
      <selection pane="topRight" activeCell="D1" sqref="D1"/>
      <selection pane="bottomLeft" activeCell="A3" sqref="A3"/>
      <selection pane="bottomRight" activeCell="P26" sqref="P26"/>
    </sheetView>
  </sheetViews>
  <sheetFormatPr defaultColWidth="8.6328125" defaultRowHeight="13.5" customHeight="1"/>
  <cols>
    <col min="1" max="1" width="4.36328125" style="20" customWidth="1"/>
    <col min="2" max="2" width="5.08984375" style="87" customWidth="1"/>
    <col min="3" max="3" width="61.36328125" style="20" customWidth="1"/>
    <col min="4" max="4" width="27.36328125" style="19" bestFit="1" customWidth="1"/>
    <col min="5" max="5" width="12" style="19" customWidth="1"/>
    <col min="6" max="6" width="12.6328125" style="19" customWidth="1"/>
    <col min="7" max="7" width="14.90625" style="19" customWidth="1"/>
    <col min="8" max="8" width="16.6328125" style="19" customWidth="1"/>
    <col min="9" max="10" width="11.6328125" style="19" customWidth="1"/>
    <col min="11" max="11" width="12.6328125" style="19" customWidth="1"/>
    <col min="12" max="12" width="11.90625" style="19" customWidth="1"/>
    <col min="13" max="13" width="11.36328125" style="19" customWidth="1"/>
    <col min="14" max="14" width="12.36328125" style="19" customWidth="1"/>
    <col min="15" max="15" width="11.36328125" style="19" customWidth="1"/>
    <col min="16" max="18" width="12.6328125" style="19" customWidth="1"/>
    <col min="19" max="43" width="13.08984375" style="19" customWidth="1"/>
    <col min="44" max="51" width="20.90625" style="19" customWidth="1"/>
    <col min="52" max="52" width="52.36328125" style="19" customWidth="1"/>
    <col min="53" max="53" width="11.08984375" style="20" bestFit="1" customWidth="1"/>
    <col min="54" max="54" width="15.36328125" style="20" bestFit="1" customWidth="1"/>
    <col min="55" max="16384" width="8.6328125" style="20"/>
  </cols>
  <sheetData>
    <row r="1" spans="1:129" ht="15" customHeight="1">
      <c r="Q1" s="1037" t="s">
        <v>60</v>
      </c>
      <c r="R1" s="1038"/>
      <c r="S1" s="1038"/>
      <c r="T1" s="1038"/>
      <c r="U1" s="1037" t="s">
        <v>61</v>
      </c>
      <c r="V1" s="1038"/>
      <c r="W1" s="1037" t="s">
        <v>62</v>
      </c>
      <c r="X1" s="1038"/>
      <c r="Y1" s="1038"/>
      <c r="Z1" s="1038"/>
      <c r="AA1" s="1038"/>
      <c r="AB1" s="1038"/>
      <c r="AC1" s="1038"/>
      <c r="AD1" s="1037" t="s">
        <v>63</v>
      </c>
      <c r="AE1" s="1038"/>
      <c r="AF1" s="1038"/>
      <c r="AG1" s="1038"/>
      <c r="AH1" s="1038"/>
      <c r="AI1" s="1038"/>
      <c r="AJ1" s="1038"/>
      <c r="AK1" s="1037" t="s">
        <v>64</v>
      </c>
      <c r="AL1" s="1038"/>
      <c r="AM1" s="1038"/>
      <c r="AN1" s="1038"/>
      <c r="AO1" s="1038"/>
      <c r="AP1" s="1038"/>
      <c r="AQ1" s="1038"/>
      <c r="AR1" s="1037" t="s">
        <v>65</v>
      </c>
      <c r="AS1" s="1038"/>
      <c r="AT1" s="1038"/>
      <c r="AU1" s="1038"/>
      <c r="AV1" s="1038"/>
      <c r="AW1" s="1038"/>
      <c r="AX1" s="1038"/>
      <c r="AY1" s="731" t="s">
        <v>114</v>
      </c>
      <c r="AZ1" s="20"/>
    </row>
    <row r="2" spans="1:129" ht="29">
      <c r="B2" s="700" t="s">
        <v>29</v>
      </c>
      <c r="C2" s="710" t="s">
        <v>30</v>
      </c>
      <c r="D2" s="720" t="s">
        <v>3</v>
      </c>
      <c r="E2" s="315" t="s">
        <v>31</v>
      </c>
      <c r="F2" s="315" t="s">
        <v>5</v>
      </c>
      <c r="G2" s="315" t="s">
        <v>108</v>
      </c>
      <c r="H2" s="315" t="s">
        <v>32</v>
      </c>
      <c r="I2" s="315" t="s">
        <v>7</v>
      </c>
      <c r="J2" s="315" t="s">
        <v>68</v>
      </c>
      <c r="K2" s="315" t="s">
        <v>69</v>
      </c>
      <c r="L2" s="315" t="s">
        <v>8</v>
      </c>
      <c r="M2" s="315" t="s">
        <v>9</v>
      </c>
      <c r="N2" s="315" t="s">
        <v>10</v>
      </c>
      <c r="O2" s="315" t="s">
        <v>35</v>
      </c>
      <c r="P2" s="739" t="s">
        <v>11</v>
      </c>
      <c r="Q2" s="732" t="s">
        <v>70</v>
      </c>
      <c r="R2" s="729" t="s">
        <v>71</v>
      </c>
      <c r="S2" s="747" t="s">
        <v>34</v>
      </c>
      <c r="T2" s="747" t="s">
        <v>230</v>
      </c>
      <c r="U2" s="745" t="s">
        <v>72</v>
      </c>
      <c r="V2" s="749" t="s">
        <v>73</v>
      </c>
      <c r="W2" s="748" t="s">
        <v>74</v>
      </c>
      <c r="X2" s="730" t="s">
        <v>31</v>
      </c>
      <c r="Y2" s="730" t="s">
        <v>6</v>
      </c>
      <c r="Z2" s="730" t="s">
        <v>75</v>
      </c>
      <c r="AA2" s="730" t="s">
        <v>7</v>
      </c>
      <c r="AB2" s="730" t="s">
        <v>76</v>
      </c>
      <c r="AC2" s="750" t="s">
        <v>77</v>
      </c>
      <c r="AD2" s="748" t="s">
        <v>74</v>
      </c>
      <c r="AE2" s="730" t="s">
        <v>31</v>
      </c>
      <c r="AF2" s="730" t="s">
        <v>6</v>
      </c>
      <c r="AG2" s="730" t="s">
        <v>190</v>
      </c>
      <c r="AH2" s="730" t="s">
        <v>7</v>
      </c>
      <c r="AI2" s="730" t="s">
        <v>76</v>
      </c>
      <c r="AJ2" s="750" t="s">
        <v>77</v>
      </c>
      <c r="AK2" s="748" t="s">
        <v>74</v>
      </c>
      <c r="AL2" s="730" t="s">
        <v>31</v>
      </c>
      <c r="AM2" s="730" t="s">
        <v>6</v>
      </c>
      <c r="AN2" s="730" t="s">
        <v>190</v>
      </c>
      <c r="AO2" s="730" t="s">
        <v>7</v>
      </c>
      <c r="AP2" s="730" t="s">
        <v>76</v>
      </c>
      <c r="AQ2" s="750" t="s">
        <v>77</v>
      </c>
      <c r="AR2" s="748" t="s">
        <v>74</v>
      </c>
      <c r="AS2" s="730" t="s">
        <v>31</v>
      </c>
      <c r="AT2" s="730" t="s">
        <v>6</v>
      </c>
      <c r="AU2" s="730" t="s">
        <v>75</v>
      </c>
      <c r="AV2" s="730" t="s">
        <v>7</v>
      </c>
      <c r="AW2" s="730" t="s">
        <v>76</v>
      </c>
      <c r="AX2" s="750" t="s">
        <v>77</v>
      </c>
      <c r="AY2" s="751" t="s">
        <v>78</v>
      </c>
      <c r="AZ2" s="20"/>
    </row>
    <row r="3" spans="1:129" ht="14.5">
      <c r="B3" s="675">
        <v>1</v>
      </c>
      <c r="C3" s="676" t="s">
        <v>36</v>
      </c>
      <c r="D3" s="271"/>
      <c r="E3" s="62"/>
      <c r="F3" s="322"/>
      <c r="G3" s="322"/>
      <c r="H3" s="322"/>
      <c r="I3" s="322"/>
      <c r="J3" s="322"/>
      <c r="K3" s="322"/>
      <c r="L3" s="322"/>
      <c r="M3" s="322"/>
      <c r="N3" s="322"/>
      <c r="O3" s="322"/>
      <c r="P3" s="344"/>
      <c r="Q3" s="657"/>
      <c r="R3" s="322"/>
      <c r="S3" s="344"/>
      <c r="T3" s="344"/>
      <c r="U3" s="657"/>
      <c r="V3" s="344"/>
      <c r="W3" s="657"/>
      <c r="X3" s="322"/>
      <c r="Y3" s="322"/>
      <c r="Z3" s="322"/>
      <c r="AA3" s="322"/>
      <c r="AB3" s="322"/>
      <c r="AC3" s="344"/>
      <c r="AD3" s="657"/>
      <c r="AE3" s="322"/>
      <c r="AF3" s="322"/>
      <c r="AG3" s="322"/>
      <c r="AH3" s="322"/>
      <c r="AI3" s="322"/>
      <c r="AJ3" s="344"/>
      <c r="AK3" s="657"/>
      <c r="AL3" s="322"/>
      <c r="AM3" s="322"/>
      <c r="AN3" s="322"/>
      <c r="AO3" s="322"/>
      <c r="AP3" s="322"/>
      <c r="AQ3" s="344"/>
      <c r="AR3" s="657"/>
      <c r="AS3" s="322"/>
      <c r="AT3" s="322"/>
      <c r="AU3" s="322"/>
      <c r="AV3" s="322"/>
      <c r="AW3" s="322"/>
      <c r="AX3" s="344"/>
      <c r="AY3" s="752"/>
      <c r="AZ3" s="20"/>
    </row>
    <row r="4" spans="1:129" s="108" customFormat="1" ht="14.5">
      <c r="A4" s="20"/>
      <c r="B4" s="701">
        <v>2</v>
      </c>
      <c r="C4" s="711" t="s">
        <v>79</v>
      </c>
      <c r="D4" s="721"/>
      <c r="E4" s="230"/>
      <c r="F4" s="334"/>
      <c r="G4" s="334"/>
      <c r="H4" s="334"/>
      <c r="I4" s="334"/>
      <c r="J4" s="231"/>
      <c r="K4" s="231"/>
      <c r="L4" s="231"/>
      <c r="M4" s="231"/>
      <c r="N4" s="231"/>
      <c r="O4" s="231"/>
      <c r="P4" s="646"/>
      <c r="Q4" s="656"/>
      <c r="R4" s="334"/>
      <c r="S4" s="336"/>
      <c r="T4" s="336"/>
      <c r="U4" s="656"/>
      <c r="V4" s="336"/>
      <c r="W4" s="656"/>
      <c r="X4" s="334"/>
      <c r="Y4" s="334"/>
      <c r="Z4" s="334"/>
      <c r="AA4" s="334"/>
      <c r="AB4" s="334"/>
      <c r="AC4" s="336"/>
      <c r="AD4" s="656"/>
      <c r="AE4" s="334"/>
      <c r="AF4" s="334"/>
      <c r="AG4" s="334"/>
      <c r="AH4" s="334"/>
      <c r="AI4" s="334"/>
      <c r="AJ4" s="336"/>
      <c r="AK4" s="656"/>
      <c r="AL4" s="334"/>
      <c r="AM4" s="334"/>
      <c r="AN4" s="334"/>
      <c r="AO4" s="334"/>
      <c r="AP4" s="334"/>
      <c r="AQ4" s="336"/>
      <c r="AR4" s="656"/>
      <c r="AS4" s="334"/>
      <c r="AT4" s="334"/>
      <c r="AU4" s="334"/>
      <c r="AV4" s="334"/>
      <c r="AW4" s="334"/>
      <c r="AX4" s="336"/>
      <c r="AY4" s="753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</row>
    <row r="5" spans="1:129" s="108" customFormat="1" ht="14.5">
      <c r="A5" s="20"/>
      <c r="B5" s="701">
        <v>2</v>
      </c>
      <c r="C5" s="711" t="s">
        <v>80</v>
      </c>
      <c r="D5" s="721"/>
      <c r="E5" s="230"/>
      <c r="F5" s="334"/>
      <c r="G5" s="334"/>
      <c r="H5" s="334"/>
      <c r="I5" s="334"/>
      <c r="J5" s="334"/>
      <c r="K5" s="334"/>
      <c r="L5" s="334"/>
      <c r="M5" s="334"/>
      <c r="N5" s="334"/>
      <c r="O5" s="334"/>
      <c r="P5" s="336"/>
      <c r="Q5" s="656"/>
      <c r="R5" s="334"/>
      <c r="S5" s="336"/>
      <c r="T5" s="336"/>
      <c r="U5" s="656"/>
      <c r="V5" s="336"/>
      <c r="W5" s="656"/>
      <c r="X5" s="334"/>
      <c r="Y5" s="334"/>
      <c r="Z5" s="334"/>
      <c r="AA5" s="334"/>
      <c r="AB5" s="334"/>
      <c r="AC5" s="336"/>
      <c r="AD5" s="656"/>
      <c r="AE5" s="334"/>
      <c r="AF5" s="334"/>
      <c r="AG5" s="334"/>
      <c r="AH5" s="334"/>
      <c r="AI5" s="334"/>
      <c r="AJ5" s="336"/>
      <c r="AK5" s="656"/>
      <c r="AL5" s="334"/>
      <c r="AM5" s="334"/>
      <c r="AN5" s="334"/>
      <c r="AO5" s="334"/>
      <c r="AP5" s="334"/>
      <c r="AQ5" s="336"/>
      <c r="AR5" s="656"/>
      <c r="AS5" s="334"/>
      <c r="AT5" s="334"/>
      <c r="AU5" s="334"/>
      <c r="AV5" s="334"/>
      <c r="AW5" s="334"/>
      <c r="AX5" s="336"/>
      <c r="AY5" s="753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</row>
    <row r="6" spans="1:129" ht="14.5">
      <c r="B6" s="675">
        <v>3</v>
      </c>
      <c r="C6" s="676" t="s">
        <v>38</v>
      </c>
      <c r="D6" s="271"/>
      <c r="E6" s="518"/>
      <c r="F6" s="322"/>
      <c r="G6" s="322"/>
      <c r="H6" s="322"/>
      <c r="I6" s="322"/>
      <c r="J6" s="322"/>
      <c r="K6" s="322"/>
      <c r="L6" s="322"/>
      <c r="M6" s="322"/>
      <c r="N6" s="322"/>
      <c r="O6" s="322"/>
      <c r="P6" s="344"/>
      <c r="Q6" s="657"/>
      <c r="R6" s="322"/>
      <c r="S6" s="344"/>
      <c r="T6" s="344"/>
      <c r="U6" s="657"/>
      <c r="V6" s="344"/>
      <c r="W6" s="233"/>
      <c r="X6" s="62"/>
      <c r="Y6" s="62"/>
      <c r="Z6" s="62"/>
      <c r="AA6" s="62"/>
      <c r="AB6" s="62"/>
      <c r="AC6" s="262"/>
      <c r="AD6" s="233"/>
      <c r="AE6" s="62"/>
      <c r="AF6" s="62"/>
      <c r="AG6" s="62"/>
      <c r="AH6" s="62"/>
      <c r="AI6" s="62"/>
      <c r="AJ6" s="262"/>
      <c r="AK6" s="233"/>
      <c r="AL6" s="62"/>
      <c r="AM6" s="62"/>
      <c r="AN6" s="62"/>
      <c r="AO6" s="62"/>
      <c r="AP6" s="62"/>
      <c r="AQ6" s="262"/>
      <c r="AR6" s="233"/>
      <c r="AS6" s="62"/>
      <c r="AT6" s="62"/>
      <c r="AU6" s="62"/>
      <c r="AV6" s="62"/>
      <c r="AW6" s="62"/>
      <c r="AX6" s="262"/>
      <c r="AY6" s="754"/>
      <c r="AZ6" s="20"/>
    </row>
    <row r="7" spans="1:129" ht="14.5">
      <c r="B7" s="675">
        <v>4</v>
      </c>
      <c r="C7" s="676" t="s">
        <v>81</v>
      </c>
      <c r="D7" s="271"/>
      <c r="E7" s="62"/>
      <c r="F7" s="322"/>
      <c r="G7" s="322"/>
      <c r="H7" s="322"/>
      <c r="I7" s="322"/>
      <c r="J7" s="322"/>
      <c r="K7" s="322"/>
      <c r="L7" s="322"/>
      <c r="M7" s="322"/>
      <c r="N7" s="322"/>
      <c r="O7" s="322"/>
      <c r="P7" s="344"/>
      <c r="Q7" s="657"/>
      <c r="R7" s="322"/>
      <c r="S7" s="344"/>
      <c r="T7" s="344"/>
      <c r="U7" s="657"/>
      <c r="V7" s="344"/>
      <c r="W7" s="233"/>
      <c r="X7" s="322"/>
      <c r="Y7" s="322"/>
      <c r="Z7" s="322"/>
      <c r="AA7" s="322"/>
      <c r="AB7" s="322"/>
      <c r="AC7" s="344"/>
      <c r="AD7" s="233"/>
      <c r="AE7" s="322"/>
      <c r="AF7" s="322"/>
      <c r="AG7" s="322"/>
      <c r="AH7" s="322"/>
      <c r="AI7" s="322"/>
      <c r="AJ7" s="344"/>
      <c r="AK7" s="233"/>
      <c r="AL7" s="322"/>
      <c r="AM7" s="322"/>
      <c r="AN7" s="322"/>
      <c r="AO7" s="322"/>
      <c r="AP7" s="322"/>
      <c r="AQ7" s="344"/>
      <c r="AR7" s="233"/>
      <c r="AS7" s="322"/>
      <c r="AT7" s="322"/>
      <c r="AU7" s="322"/>
      <c r="AV7" s="322"/>
      <c r="AW7" s="322"/>
      <c r="AX7" s="344"/>
      <c r="AY7" s="754"/>
      <c r="AZ7" s="20"/>
    </row>
    <row r="8" spans="1:129" s="135" customFormat="1" ht="14.5">
      <c r="A8" s="20"/>
      <c r="B8" s="702">
        <v>5</v>
      </c>
      <c r="C8" s="712" t="s">
        <v>83</v>
      </c>
      <c r="D8" s="1065"/>
      <c r="E8" s="366"/>
      <c r="F8" s="366"/>
      <c r="G8" s="366"/>
      <c r="H8" s="366"/>
      <c r="I8" s="366"/>
      <c r="J8" s="366"/>
      <c r="K8" s="366"/>
      <c r="L8" s="366"/>
      <c r="M8" s="366"/>
      <c r="N8" s="366"/>
      <c r="O8" s="366"/>
      <c r="P8" s="369"/>
      <c r="Q8" s="365"/>
      <c r="R8" s="366"/>
      <c r="S8" s="369"/>
      <c r="T8" s="369"/>
      <c r="U8" s="365"/>
      <c r="V8" s="369"/>
      <c r="W8" s="365"/>
      <c r="X8" s="366"/>
      <c r="Y8" s="366"/>
      <c r="Z8" s="366"/>
      <c r="AA8" s="366"/>
      <c r="AB8" s="366"/>
      <c r="AC8" s="369"/>
      <c r="AD8" s="365"/>
      <c r="AE8" s="366"/>
      <c r="AF8" s="366"/>
      <c r="AG8" s="366"/>
      <c r="AH8" s="366"/>
      <c r="AI8" s="366"/>
      <c r="AJ8" s="369"/>
      <c r="AK8" s="365"/>
      <c r="AL8" s="366"/>
      <c r="AM8" s="366"/>
      <c r="AN8" s="366"/>
      <c r="AO8" s="366"/>
      <c r="AP8" s="366"/>
      <c r="AQ8" s="369"/>
      <c r="AR8" s="365"/>
      <c r="AS8" s="366"/>
      <c r="AT8" s="366"/>
      <c r="AU8" s="366"/>
      <c r="AV8" s="366"/>
      <c r="AW8" s="366"/>
      <c r="AX8" s="369"/>
      <c r="AY8" s="755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</row>
    <row r="9" spans="1:129" ht="18.75" customHeight="1">
      <c r="B9" s="703">
        <v>5.0999999999999996</v>
      </c>
      <c r="C9" s="713" t="s">
        <v>84</v>
      </c>
      <c r="D9" s="1065"/>
      <c r="E9" s="376"/>
      <c r="F9" s="376"/>
      <c r="G9" s="376"/>
      <c r="H9" s="376"/>
      <c r="I9" s="376"/>
      <c r="J9" s="377"/>
      <c r="K9" s="377"/>
      <c r="L9" s="376"/>
      <c r="M9" s="376"/>
      <c r="N9" s="376"/>
      <c r="O9" s="377"/>
      <c r="P9" s="740"/>
      <c r="Q9" s="384"/>
      <c r="R9" s="376"/>
      <c r="S9" s="380"/>
      <c r="T9" s="380"/>
      <c r="U9" s="384"/>
      <c r="V9" s="380"/>
      <c r="W9" s="384"/>
      <c r="X9" s="376"/>
      <c r="Y9" s="376"/>
      <c r="Z9" s="376"/>
      <c r="AA9" s="376"/>
      <c r="AB9" s="376"/>
      <c r="AC9" s="380"/>
      <c r="AD9" s="384"/>
      <c r="AE9" s="376"/>
      <c r="AF9" s="376"/>
      <c r="AG9" s="376"/>
      <c r="AH9" s="376"/>
      <c r="AI9" s="376"/>
      <c r="AJ9" s="380"/>
      <c r="AK9" s="384"/>
      <c r="AL9" s="376"/>
      <c r="AM9" s="376"/>
      <c r="AN9" s="376"/>
      <c r="AO9" s="376"/>
      <c r="AP9" s="376"/>
      <c r="AQ9" s="380"/>
      <c r="AR9" s="384"/>
      <c r="AS9" s="376"/>
      <c r="AT9" s="376"/>
      <c r="AU9" s="376"/>
      <c r="AV9" s="376"/>
      <c r="AW9" s="376"/>
      <c r="AX9" s="380"/>
      <c r="AY9" s="756"/>
      <c r="AZ9" s="20"/>
    </row>
    <row r="10" spans="1:129" ht="87" customHeight="1">
      <c r="B10" s="703"/>
      <c r="C10" s="713" t="s">
        <v>115</v>
      </c>
      <c r="D10" s="1065"/>
      <c r="E10" s="376"/>
      <c r="F10" s="376"/>
      <c r="G10" s="376"/>
      <c r="H10" s="376"/>
      <c r="I10" s="376"/>
      <c r="J10" s="377"/>
      <c r="K10" s="377"/>
      <c r="L10" s="376"/>
      <c r="M10" s="376"/>
      <c r="N10" s="376"/>
      <c r="O10" s="377"/>
      <c r="P10" s="740"/>
      <c r="Q10" s="384"/>
      <c r="R10" s="376"/>
      <c r="S10" s="380"/>
      <c r="T10" s="380"/>
      <c r="U10" s="384"/>
      <c r="V10" s="380"/>
      <c r="W10" s="384"/>
      <c r="X10" s="376"/>
      <c r="Y10" s="376"/>
      <c r="Z10" s="376"/>
      <c r="AA10" s="376"/>
      <c r="AB10" s="376"/>
      <c r="AC10" s="380"/>
      <c r="AD10" s="384"/>
      <c r="AE10" s="376"/>
      <c r="AF10" s="376"/>
      <c r="AG10" s="376"/>
      <c r="AH10" s="376"/>
      <c r="AI10" s="376"/>
      <c r="AJ10" s="380"/>
      <c r="AK10" s="384"/>
      <c r="AL10" s="376"/>
      <c r="AM10" s="376"/>
      <c r="AN10" s="376"/>
      <c r="AO10" s="376"/>
      <c r="AP10" s="376"/>
      <c r="AQ10" s="380"/>
      <c r="AR10" s="384"/>
      <c r="AS10" s="376"/>
      <c r="AT10" s="376"/>
      <c r="AU10" s="376"/>
      <c r="AV10" s="376"/>
      <c r="AW10" s="376"/>
      <c r="AX10" s="380"/>
      <c r="AY10" s="756"/>
      <c r="AZ10" s="20"/>
    </row>
    <row r="11" spans="1:129" ht="18.5">
      <c r="B11" s="703"/>
      <c r="C11" s="713" t="s">
        <v>116</v>
      </c>
      <c r="D11" s="1065"/>
      <c r="E11" s="376"/>
      <c r="F11" s="376"/>
      <c r="G11" s="376"/>
      <c r="H11" s="376"/>
      <c r="I11" s="376"/>
      <c r="J11" s="377"/>
      <c r="K11" s="377"/>
      <c r="L11" s="376"/>
      <c r="M11" s="376"/>
      <c r="N11" s="376"/>
      <c r="O11" s="377"/>
      <c r="P11" s="740"/>
      <c r="Q11" s="384"/>
      <c r="R11" s="376"/>
      <c r="S11" s="380"/>
      <c r="T11" s="380"/>
      <c r="U11" s="384"/>
      <c r="V11" s="380"/>
      <c r="W11" s="384"/>
      <c r="X11" s="376"/>
      <c r="Y11" s="376"/>
      <c r="Z11" s="376"/>
      <c r="AA11" s="376"/>
      <c r="AB11" s="376"/>
      <c r="AC11" s="380"/>
      <c r="AD11" s="384"/>
      <c r="AE11" s="376"/>
      <c r="AF11" s="376"/>
      <c r="AG11" s="376"/>
      <c r="AH11" s="376"/>
      <c r="AI11" s="376"/>
      <c r="AJ11" s="380"/>
      <c r="AK11" s="384"/>
      <c r="AL11" s="376"/>
      <c r="AM11" s="376"/>
      <c r="AN11" s="376"/>
      <c r="AO11" s="376"/>
      <c r="AP11" s="376"/>
      <c r="AQ11" s="380"/>
      <c r="AR11" s="384"/>
      <c r="AS11" s="376"/>
      <c r="AT11" s="376"/>
      <c r="AU11" s="376"/>
      <c r="AV11" s="376"/>
      <c r="AW11" s="376"/>
      <c r="AX11" s="380"/>
      <c r="AY11" s="756"/>
      <c r="AZ11" s="20"/>
    </row>
    <row r="12" spans="1:129" ht="18.5">
      <c r="B12" s="703"/>
      <c r="C12" s="713" t="s">
        <v>117</v>
      </c>
      <c r="D12" s="1065"/>
      <c r="E12" s="376"/>
      <c r="F12" s="376"/>
      <c r="G12" s="376"/>
      <c r="H12" s="376"/>
      <c r="I12" s="376"/>
      <c r="J12" s="377"/>
      <c r="K12" s="377"/>
      <c r="L12" s="376"/>
      <c r="M12" s="376"/>
      <c r="N12" s="376"/>
      <c r="O12" s="377"/>
      <c r="P12" s="740"/>
      <c r="Q12" s="384"/>
      <c r="R12" s="376"/>
      <c r="S12" s="380"/>
      <c r="T12" s="380"/>
      <c r="U12" s="384"/>
      <c r="V12" s="380"/>
      <c r="W12" s="384"/>
      <c r="X12" s="376"/>
      <c r="Y12" s="376"/>
      <c r="Z12" s="376"/>
      <c r="AA12" s="376"/>
      <c r="AB12" s="376"/>
      <c r="AC12" s="380"/>
      <c r="AD12" s="384"/>
      <c r="AE12" s="376"/>
      <c r="AF12" s="376"/>
      <c r="AG12" s="376"/>
      <c r="AH12" s="376"/>
      <c r="AI12" s="376"/>
      <c r="AJ12" s="380"/>
      <c r="AK12" s="384"/>
      <c r="AL12" s="376"/>
      <c r="AM12" s="376"/>
      <c r="AN12" s="376"/>
      <c r="AO12" s="376"/>
      <c r="AP12" s="376"/>
      <c r="AQ12" s="380"/>
      <c r="AR12" s="384"/>
      <c r="AS12" s="376"/>
      <c r="AT12" s="376"/>
      <c r="AU12" s="376"/>
      <c r="AV12" s="376"/>
      <c r="AW12" s="376"/>
      <c r="AX12" s="380"/>
      <c r="AY12" s="756"/>
      <c r="AZ12" s="20"/>
    </row>
    <row r="13" spans="1:129" ht="18.5">
      <c r="B13" s="703"/>
      <c r="C13" s="713" t="s">
        <v>118</v>
      </c>
      <c r="D13" s="1065"/>
      <c r="E13" s="376"/>
      <c r="F13" s="376"/>
      <c r="G13" s="376"/>
      <c r="H13" s="376"/>
      <c r="I13" s="376"/>
      <c r="J13" s="377"/>
      <c r="K13" s="377"/>
      <c r="L13" s="376"/>
      <c r="M13" s="376"/>
      <c r="N13" s="376"/>
      <c r="O13" s="377"/>
      <c r="P13" s="740"/>
      <c r="Q13" s="384"/>
      <c r="R13" s="376"/>
      <c r="S13" s="380"/>
      <c r="T13" s="380"/>
      <c r="U13" s="384"/>
      <c r="V13" s="380"/>
      <c r="W13" s="384"/>
      <c r="X13" s="376"/>
      <c r="Y13" s="376"/>
      <c r="Z13" s="376"/>
      <c r="AA13" s="376"/>
      <c r="AB13" s="376"/>
      <c r="AC13" s="380"/>
      <c r="AD13" s="384"/>
      <c r="AE13" s="376"/>
      <c r="AF13" s="376"/>
      <c r="AG13" s="376"/>
      <c r="AH13" s="376"/>
      <c r="AI13" s="376"/>
      <c r="AJ13" s="380"/>
      <c r="AK13" s="384"/>
      <c r="AL13" s="376"/>
      <c r="AM13" s="376"/>
      <c r="AN13" s="376"/>
      <c r="AO13" s="376"/>
      <c r="AP13" s="376"/>
      <c r="AQ13" s="380"/>
      <c r="AR13" s="384"/>
      <c r="AS13" s="376"/>
      <c r="AT13" s="376"/>
      <c r="AU13" s="376"/>
      <c r="AV13" s="376"/>
      <c r="AW13" s="376"/>
      <c r="AX13" s="380"/>
      <c r="AY13" s="756"/>
      <c r="AZ13" s="20"/>
    </row>
    <row r="14" spans="1:129" ht="18.5">
      <c r="B14" s="703">
        <v>5.2</v>
      </c>
      <c r="C14" s="713" t="s">
        <v>86</v>
      </c>
      <c r="D14" s="1065"/>
      <c r="E14" s="376"/>
      <c r="F14" s="376"/>
      <c r="G14" s="376"/>
      <c r="H14" s="376"/>
      <c r="I14" s="376"/>
      <c r="J14" s="377"/>
      <c r="K14" s="377"/>
      <c r="L14" s="376"/>
      <c r="M14" s="376"/>
      <c r="N14" s="376"/>
      <c r="O14" s="377"/>
      <c r="P14" s="740"/>
      <c r="Q14" s="384"/>
      <c r="R14" s="376"/>
      <c r="S14" s="380"/>
      <c r="T14" s="380"/>
      <c r="U14" s="384"/>
      <c r="V14" s="380"/>
      <c r="W14" s="384"/>
      <c r="X14" s="376"/>
      <c r="Y14" s="376"/>
      <c r="Z14" s="376"/>
      <c r="AA14" s="376"/>
      <c r="AB14" s="376"/>
      <c r="AC14" s="380"/>
      <c r="AD14" s="384"/>
      <c r="AE14" s="376"/>
      <c r="AF14" s="376"/>
      <c r="AG14" s="376"/>
      <c r="AH14" s="376"/>
      <c r="AI14" s="376"/>
      <c r="AJ14" s="380"/>
      <c r="AK14" s="384"/>
      <c r="AL14" s="376"/>
      <c r="AM14" s="376"/>
      <c r="AN14" s="376"/>
      <c r="AO14" s="376"/>
      <c r="AP14" s="376"/>
      <c r="AQ14" s="380"/>
      <c r="AR14" s="384"/>
      <c r="AS14" s="376"/>
      <c r="AT14" s="376"/>
      <c r="AU14" s="376"/>
      <c r="AV14" s="376"/>
      <c r="AW14" s="376"/>
      <c r="AX14" s="380"/>
      <c r="AY14" s="756"/>
      <c r="AZ14" s="20"/>
    </row>
    <row r="15" spans="1:129" ht="18.5">
      <c r="B15" s="703"/>
      <c r="C15" s="713" t="s">
        <v>87</v>
      </c>
      <c r="D15" s="1065"/>
      <c r="E15" s="428"/>
      <c r="F15" s="376"/>
      <c r="G15" s="376"/>
      <c r="H15" s="376"/>
      <c r="I15" s="376"/>
      <c r="J15" s="377"/>
      <c r="K15" s="377"/>
      <c r="L15" s="376"/>
      <c r="M15" s="376"/>
      <c r="N15" s="376"/>
      <c r="O15" s="377"/>
      <c r="P15" s="740"/>
      <c r="Q15" s="384"/>
      <c r="R15" s="376"/>
      <c r="S15" s="380"/>
      <c r="T15" s="380"/>
      <c r="U15" s="384"/>
      <c r="V15" s="380"/>
      <c r="W15" s="384"/>
      <c r="X15" s="376"/>
      <c r="Y15" s="376"/>
      <c r="Z15" s="376"/>
      <c r="AA15" s="376"/>
      <c r="AB15" s="376"/>
      <c r="AC15" s="380"/>
      <c r="AD15" s="384"/>
      <c r="AE15" s="376"/>
      <c r="AF15" s="376"/>
      <c r="AG15" s="376"/>
      <c r="AH15" s="376"/>
      <c r="AI15" s="376"/>
      <c r="AJ15" s="380"/>
      <c r="AK15" s="384"/>
      <c r="AL15" s="376"/>
      <c r="AM15" s="376"/>
      <c r="AN15" s="376"/>
      <c r="AO15" s="376"/>
      <c r="AP15" s="376"/>
      <c r="AQ15" s="380"/>
      <c r="AR15" s="384"/>
      <c r="AS15" s="376"/>
      <c r="AT15" s="376"/>
      <c r="AU15" s="376"/>
      <c r="AV15" s="376"/>
      <c r="AW15" s="376"/>
      <c r="AX15" s="380"/>
      <c r="AY15" s="756"/>
      <c r="AZ15" s="20"/>
    </row>
    <row r="16" spans="1:129" ht="18.5">
      <c r="B16" s="703"/>
      <c r="C16" s="713" t="s">
        <v>179</v>
      </c>
      <c r="D16" s="1065"/>
      <c r="E16" s="428"/>
      <c r="F16" s="376"/>
      <c r="G16" s="376"/>
      <c r="H16" s="376"/>
      <c r="I16" s="376"/>
      <c r="J16" s="377"/>
      <c r="K16" s="377"/>
      <c r="L16" s="376"/>
      <c r="M16" s="376"/>
      <c r="N16" s="376"/>
      <c r="O16" s="377"/>
      <c r="P16" s="740"/>
      <c r="Q16" s="384"/>
      <c r="R16" s="376"/>
      <c r="S16" s="380"/>
      <c r="T16" s="380"/>
      <c r="U16" s="384"/>
      <c r="V16" s="380"/>
      <c r="W16" s="384"/>
      <c r="X16" s="376"/>
      <c r="Y16" s="376"/>
      <c r="Z16" s="376"/>
      <c r="AA16" s="376"/>
      <c r="AB16" s="376"/>
      <c r="AC16" s="380"/>
      <c r="AD16" s="384"/>
      <c r="AE16" s="376"/>
      <c r="AF16" s="376"/>
      <c r="AG16" s="376"/>
      <c r="AH16" s="376"/>
      <c r="AI16" s="376"/>
      <c r="AJ16" s="380"/>
      <c r="AK16" s="384"/>
      <c r="AL16" s="376"/>
      <c r="AM16" s="376"/>
      <c r="AN16" s="376"/>
      <c r="AO16" s="376"/>
      <c r="AP16" s="376"/>
      <c r="AQ16" s="380"/>
      <c r="AR16" s="384"/>
      <c r="AS16" s="376"/>
      <c r="AT16" s="376"/>
      <c r="AU16" s="376"/>
      <c r="AV16" s="376"/>
      <c r="AW16" s="376"/>
      <c r="AX16" s="380"/>
      <c r="AY16" s="756"/>
      <c r="AZ16" s="20"/>
    </row>
    <row r="17" spans="2:55" ht="18.5">
      <c r="B17" s="703"/>
      <c r="C17" s="713" t="s">
        <v>180</v>
      </c>
      <c r="D17" s="1065"/>
      <c r="E17" s="428"/>
      <c r="F17" s="376"/>
      <c r="G17" s="376"/>
      <c r="H17" s="376"/>
      <c r="I17" s="376"/>
      <c r="J17" s="377"/>
      <c r="K17" s="377"/>
      <c r="L17" s="376"/>
      <c r="M17" s="376"/>
      <c r="N17" s="376"/>
      <c r="O17" s="377"/>
      <c r="P17" s="740"/>
      <c r="Q17" s="384"/>
      <c r="R17" s="376"/>
      <c r="S17" s="380"/>
      <c r="T17" s="380"/>
      <c r="U17" s="384"/>
      <c r="V17" s="380"/>
      <c r="W17" s="384"/>
      <c r="X17" s="376"/>
      <c r="Y17" s="376"/>
      <c r="Z17" s="376"/>
      <c r="AA17" s="376"/>
      <c r="AB17" s="376"/>
      <c r="AC17" s="380"/>
      <c r="AD17" s="384"/>
      <c r="AE17" s="376"/>
      <c r="AF17" s="376"/>
      <c r="AG17" s="376"/>
      <c r="AH17" s="376"/>
      <c r="AI17" s="376"/>
      <c r="AJ17" s="380"/>
      <c r="AK17" s="384"/>
      <c r="AL17" s="376"/>
      <c r="AM17" s="376"/>
      <c r="AN17" s="376"/>
      <c r="AO17" s="376"/>
      <c r="AP17" s="376"/>
      <c r="AQ17" s="380"/>
      <c r="AR17" s="384"/>
      <c r="AS17" s="376"/>
      <c r="AT17" s="376"/>
      <c r="AU17" s="376"/>
      <c r="AV17" s="376"/>
      <c r="AW17" s="376"/>
      <c r="AX17" s="380"/>
      <c r="AY17" s="756"/>
      <c r="AZ17" s="20"/>
    </row>
    <row r="18" spans="2:55" ht="18.5">
      <c r="B18" s="703"/>
      <c r="C18" s="713" t="s">
        <v>181</v>
      </c>
      <c r="D18" s="1065"/>
      <c r="E18" s="428"/>
      <c r="F18" s="376"/>
      <c r="G18" s="376"/>
      <c r="H18" s="376"/>
      <c r="I18" s="376"/>
      <c r="J18" s="377"/>
      <c r="K18" s="377"/>
      <c r="L18" s="376"/>
      <c r="M18" s="376"/>
      <c r="N18" s="376"/>
      <c r="O18" s="377"/>
      <c r="P18" s="740"/>
      <c r="Q18" s="384"/>
      <c r="R18" s="376"/>
      <c r="S18" s="380"/>
      <c r="T18" s="380"/>
      <c r="U18" s="384"/>
      <c r="V18" s="380"/>
      <c r="W18" s="384"/>
      <c r="X18" s="376"/>
      <c r="Y18" s="376"/>
      <c r="Z18" s="376"/>
      <c r="AA18" s="376"/>
      <c r="AB18" s="376"/>
      <c r="AC18" s="380"/>
      <c r="AD18" s="384"/>
      <c r="AE18" s="376"/>
      <c r="AF18" s="376"/>
      <c r="AG18" s="376"/>
      <c r="AH18" s="376"/>
      <c r="AI18" s="376"/>
      <c r="AJ18" s="380"/>
      <c r="AK18" s="384"/>
      <c r="AL18" s="376"/>
      <c r="AM18" s="376"/>
      <c r="AN18" s="376"/>
      <c r="AO18" s="376"/>
      <c r="AP18" s="376"/>
      <c r="AQ18" s="380"/>
      <c r="AR18" s="384"/>
      <c r="AS18" s="376"/>
      <c r="AT18" s="376"/>
      <c r="AU18" s="376"/>
      <c r="AV18" s="376"/>
      <c r="AW18" s="376"/>
      <c r="AX18" s="380"/>
      <c r="AY18" s="756"/>
      <c r="AZ18" s="20"/>
    </row>
    <row r="19" spans="2:55" ht="18.75" customHeight="1">
      <c r="B19" s="784">
        <v>6</v>
      </c>
      <c r="C19" s="722" t="s">
        <v>122</v>
      </c>
      <c r="D19" s="722"/>
      <c r="E19" s="254"/>
      <c r="F19" s="254"/>
      <c r="G19" s="254"/>
      <c r="H19" s="254"/>
      <c r="I19" s="254"/>
      <c r="J19" s="255"/>
      <c r="K19" s="255"/>
      <c r="L19" s="254"/>
      <c r="M19" s="254"/>
      <c r="N19" s="254"/>
      <c r="O19" s="254"/>
      <c r="P19" s="267"/>
      <c r="Q19" s="733"/>
      <c r="R19" s="254"/>
      <c r="S19" s="267"/>
      <c r="T19" s="267"/>
      <c r="U19" s="348"/>
      <c r="V19" s="267"/>
      <c r="W19" s="348"/>
      <c r="X19" s="254"/>
      <c r="Y19" s="254"/>
      <c r="Z19" s="254"/>
      <c r="AA19" s="254"/>
      <c r="AB19" s="254"/>
      <c r="AC19" s="267"/>
      <c r="AD19" s="348"/>
      <c r="AE19" s="254"/>
      <c r="AF19" s="254"/>
      <c r="AG19" s="254"/>
      <c r="AH19" s="254"/>
      <c r="AI19" s="254"/>
      <c r="AJ19" s="267"/>
      <c r="AK19" s="348"/>
      <c r="AL19" s="254"/>
      <c r="AM19" s="254"/>
      <c r="AN19" s="254"/>
      <c r="AO19" s="254"/>
      <c r="AP19" s="254"/>
      <c r="AQ19" s="267"/>
      <c r="AR19" s="348"/>
      <c r="AS19" s="254"/>
      <c r="AT19" s="254"/>
      <c r="AU19" s="254"/>
      <c r="AV19" s="254"/>
      <c r="AW19" s="254"/>
      <c r="AX19" s="267"/>
      <c r="AY19" s="757"/>
      <c r="AZ19" s="141"/>
      <c r="BA19" s="141"/>
      <c r="BB19" s="141"/>
      <c r="BC19" s="141"/>
    </row>
    <row r="20" spans="2:55" ht="18.75" customHeight="1">
      <c r="B20" s="785"/>
      <c r="C20" s="786" t="s">
        <v>95</v>
      </c>
      <c r="D20" s="1066"/>
      <c r="E20" s="1044"/>
      <c r="F20" s="1044"/>
      <c r="G20" s="1044"/>
      <c r="H20" s="246"/>
      <c r="I20" s="246"/>
      <c r="J20" s="247"/>
      <c r="K20" s="247"/>
      <c r="L20" s="1044"/>
      <c r="M20" s="492"/>
      <c r="N20" s="246"/>
      <c r="O20" s="246"/>
      <c r="P20" s="268"/>
      <c r="Q20" s="734"/>
      <c r="R20" s="246"/>
      <c r="S20" s="268"/>
      <c r="T20" s="268"/>
      <c r="U20" s="266"/>
      <c r="V20" s="268"/>
      <c r="W20" s="266"/>
      <c r="X20" s="246"/>
      <c r="Y20" s="246"/>
      <c r="Z20" s="246"/>
      <c r="AA20" s="246"/>
      <c r="AB20" s="246"/>
      <c r="AC20" s="268"/>
      <c r="AD20" s="266"/>
      <c r="AE20" s="246"/>
      <c r="AF20" s="246"/>
      <c r="AG20" s="246"/>
      <c r="AH20" s="246"/>
      <c r="AI20" s="246"/>
      <c r="AJ20" s="268"/>
      <c r="AK20" s="266"/>
      <c r="AL20" s="246"/>
      <c r="AM20" s="246"/>
      <c r="AN20" s="246"/>
      <c r="AO20" s="246"/>
      <c r="AP20" s="246"/>
      <c r="AQ20" s="268"/>
      <c r="AR20" s="266"/>
      <c r="AS20" s="246"/>
      <c r="AT20" s="246"/>
      <c r="AU20" s="246"/>
      <c r="AV20" s="246"/>
      <c r="AW20" s="246"/>
      <c r="AX20" s="268"/>
      <c r="AY20" s="289"/>
      <c r="AZ20" s="141"/>
      <c r="BA20" s="141"/>
      <c r="BB20" s="141"/>
      <c r="BC20" s="141"/>
    </row>
    <row r="21" spans="2:55" ht="18.75" customHeight="1">
      <c r="B21" s="785"/>
      <c r="C21" s="786" t="s">
        <v>96</v>
      </c>
      <c r="D21" s="1066"/>
      <c r="E21" s="1044"/>
      <c r="F21" s="1044"/>
      <c r="G21" s="1044"/>
      <c r="H21" s="246"/>
      <c r="I21" s="246"/>
      <c r="J21" s="247"/>
      <c r="K21" s="247"/>
      <c r="L21" s="1044"/>
      <c r="M21" s="492"/>
      <c r="N21" s="246"/>
      <c r="O21" s="246"/>
      <c r="P21" s="268"/>
      <c r="Q21" s="734"/>
      <c r="R21" s="246"/>
      <c r="S21" s="268"/>
      <c r="T21" s="268"/>
      <c r="U21" s="266"/>
      <c r="V21" s="268"/>
      <c r="W21" s="266"/>
      <c r="X21" s="246"/>
      <c r="Y21" s="246"/>
      <c r="Z21" s="246"/>
      <c r="AA21" s="246"/>
      <c r="AB21" s="246"/>
      <c r="AC21" s="268"/>
      <c r="AD21" s="266"/>
      <c r="AE21" s="246"/>
      <c r="AF21" s="246"/>
      <c r="AG21" s="246"/>
      <c r="AH21" s="246"/>
      <c r="AI21" s="246"/>
      <c r="AJ21" s="268"/>
      <c r="AK21" s="266"/>
      <c r="AL21" s="246"/>
      <c r="AM21" s="246"/>
      <c r="AN21" s="246"/>
      <c r="AO21" s="246"/>
      <c r="AP21" s="246"/>
      <c r="AQ21" s="268"/>
      <c r="AR21" s="266"/>
      <c r="AS21" s="246"/>
      <c r="AT21" s="246"/>
      <c r="AU21" s="246"/>
      <c r="AV21" s="246"/>
      <c r="AW21" s="246"/>
      <c r="AX21" s="268"/>
      <c r="AY21" s="289"/>
      <c r="AZ21" s="141"/>
      <c r="BA21" s="141"/>
      <c r="BB21" s="141"/>
      <c r="BC21" s="141"/>
    </row>
    <row r="22" spans="2:55" ht="18.75" customHeight="1">
      <c r="B22" s="785"/>
      <c r="C22" s="786" t="s">
        <v>97</v>
      </c>
      <c r="D22" s="1066"/>
      <c r="E22" s="1044"/>
      <c r="F22" s="1044"/>
      <c r="G22" s="1044"/>
      <c r="H22" s="246"/>
      <c r="I22" s="246"/>
      <c r="J22" s="247"/>
      <c r="K22" s="247"/>
      <c r="L22" s="1044"/>
      <c r="M22" s="492"/>
      <c r="N22" s="246"/>
      <c r="O22" s="246"/>
      <c r="P22" s="268"/>
      <c r="Q22" s="734"/>
      <c r="R22" s="246"/>
      <c r="S22" s="268"/>
      <c r="T22" s="268"/>
      <c r="U22" s="266"/>
      <c r="V22" s="268"/>
      <c r="W22" s="266"/>
      <c r="X22" s="246"/>
      <c r="Y22" s="246"/>
      <c r="Z22" s="246"/>
      <c r="AA22" s="246"/>
      <c r="AB22" s="246"/>
      <c r="AC22" s="268"/>
      <c r="AD22" s="266"/>
      <c r="AE22" s="246"/>
      <c r="AF22" s="246"/>
      <c r="AG22" s="246"/>
      <c r="AH22" s="246"/>
      <c r="AI22" s="246"/>
      <c r="AJ22" s="268"/>
      <c r="AK22" s="266"/>
      <c r="AL22" s="246"/>
      <c r="AM22" s="246"/>
      <c r="AN22" s="246"/>
      <c r="AO22" s="246"/>
      <c r="AP22" s="246"/>
      <c r="AQ22" s="268"/>
      <c r="AR22" s="266"/>
      <c r="AS22" s="246"/>
      <c r="AT22" s="246"/>
      <c r="AU22" s="246"/>
      <c r="AV22" s="246"/>
      <c r="AW22" s="246"/>
      <c r="AX22" s="268"/>
      <c r="AY22" s="289"/>
      <c r="AZ22" s="141"/>
      <c r="BA22" s="141"/>
      <c r="BB22" s="141"/>
      <c r="BC22" s="141"/>
    </row>
    <row r="23" spans="2:55" ht="18.75" customHeight="1">
      <c r="B23" s="785"/>
      <c r="C23" s="786" t="s">
        <v>98</v>
      </c>
      <c r="D23" s="1066"/>
      <c r="E23" s="1044"/>
      <c r="F23" s="1044"/>
      <c r="G23" s="1044"/>
      <c r="H23" s="246"/>
      <c r="I23" s="246"/>
      <c r="J23" s="247"/>
      <c r="K23" s="247"/>
      <c r="L23" s="246"/>
      <c r="M23" s="246"/>
      <c r="N23" s="246"/>
      <c r="O23" s="246"/>
      <c r="P23" s="268"/>
      <c r="Q23" s="734"/>
      <c r="R23" s="246"/>
      <c r="S23" s="268"/>
      <c r="T23" s="268"/>
      <c r="U23" s="266"/>
      <c r="V23" s="268"/>
      <c r="W23" s="266"/>
      <c r="X23" s="246"/>
      <c r="Y23" s="246"/>
      <c r="Z23" s="246"/>
      <c r="AA23" s="246"/>
      <c r="AB23" s="246"/>
      <c r="AC23" s="268"/>
      <c r="AD23" s="266"/>
      <c r="AE23" s="246"/>
      <c r="AF23" s="246"/>
      <c r="AG23" s="246"/>
      <c r="AH23" s="246"/>
      <c r="AI23" s="246"/>
      <c r="AJ23" s="268"/>
      <c r="AK23" s="266"/>
      <c r="AL23" s="246"/>
      <c r="AM23" s="246"/>
      <c r="AN23" s="246"/>
      <c r="AO23" s="246"/>
      <c r="AP23" s="246"/>
      <c r="AQ23" s="268"/>
      <c r="AR23" s="266"/>
      <c r="AS23" s="246"/>
      <c r="AT23" s="246"/>
      <c r="AU23" s="246"/>
      <c r="AV23" s="246"/>
      <c r="AW23" s="246"/>
      <c r="AX23" s="268"/>
      <c r="AY23" s="289"/>
      <c r="AZ23" s="141"/>
      <c r="BA23" s="141"/>
      <c r="BB23" s="141"/>
      <c r="BC23" s="141"/>
    </row>
    <row r="24" spans="2:55" ht="18.75" customHeight="1">
      <c r="B24" s="704">
        <v>7</v>
      </c>
      <c r="C24" s="714" t="s">
        <v>192</v>
      </c>
      <c r="D24" s="723"/>
      <c r="E24" s="412"/>
      <c r="F24" s="412"/>
      <c r="G24" s="412"/>
      <c r="H24" s="412"/>
      <c r="I24" s="412"/>
      <c r="J24" s="413"/>
      <c r="K24" s="413"/>
      <c r="L24" s="412"/>
      <c r="M24" s="412"/>
      <c r="N24" s="412"/>
      <c r="O24" s="412"/>
      <c r="P24" s="416"/>
      <c r="Q24" s="735"/>
      <c r="R24" s="412"/>
      <c r="S24" s="416"/>
      <c r="T24" s="416"/>
      <c r="U24" s="420"/>
      <c r="V24" s="416"/>
      <c r="W24" s="420"/>
      <c r="X24" s="412"/>
      <c r="Y24" s="412"/>
      <c r="Z24" s="412"/>
      <c r="AA24" s="412"/>
      <c r="AB24" s="412"/>
      <c r="AC24" s="416"/>
      <c r="AD24" s="420"/>
      <c r="AE24" s="412"/>
      <c r="AF24" s="412"/>
      <c r="AG24" s="412"/>
      <c r="AH24" s="412"/>
      <c r="AI24" s="412"/>
      <c r="AJ24" s="416"/>
      <c r="AK24" s="420"/>
      <c r="AL24" s="412"/>
      <c r="AM24" s="412"/>
      <c r="AN24" s="412"/>
      <c r="AO24" s="412"/>
      <c r="AP24" s="412"/>
      <c r="AQ24" s="416"/>
      <c r="AR24" s="420"/>
      <c r="AS24" s="412"/>
      <c r="AT24" s="412"/>
      <c r="AU24" s="412"/>
      <c r="AV24" s="412"/>
      <c r="AW24" s="412"/>
      <c r="AX24" s="416"/>
      <c r="AY24" s="758"/>
      <c r="AZ24" s="141"/>
      <c r="BA24" s="141"/>
      <c r="BB24" s="141"/>
      <c r="BC24" s="141"/>
    </row>
    <row r="25" spans="2:55" ht="18.75" customHeight="1">
      <c r="B25" s="705">
        <v>7.1</v>
      </c>
      <c r="C25" s="715" t="s">
        <v>193</v>
      </c>
      <c r="D25" s="1067"/>
      <c r="E25" s="687"/>
      <c r="F25" s="687"/>
      <c r="G25" s="687"/>
      <c r="H25" s="687"/>
      <c r="I25" s="687"/>
      <c r="J25" s="688"/>
      <c r="K25" s="688"/>
      <c r="L25" s="687"/>
      <c r="M25" s="687"/>
      <c r="N25" s="687"/>
      <c r="O25" s="687"/>
      <c r="P25" s="689"/>
      <c r="Q25" s="736"/>
      <c r="R25" s="687"/>
      <c r="S25" s="689"/>
      <c r="T25" s="689"/>
      <c r="U25" s="746"/>
      <c r="V25" s="689"/>
      <c r="W25" s="746"/>
      <c r="X25" s="687"/>
      <c r="Y25" s="687"/>
      <c r="Z25" s="687"/>
      <c r="AA25" s="687"/>
      <c r="AB25" s="687"/>
      <c r="AC25" s="689"/>
      <c r="AD25" s="746"/>
      <c r="AE25" s="687"/>
      <c r="AF25" s="687"/>
      <c r="AG25" s="687"/>
      <c r="AH25" s="687"/>
      <c r="AI25" s="687"/>
      <c r="AJ25" s="689"/>
      <c r="AK25" s="746"/>
      <c r="AL25" s="687"/>
      <c r="AM25" s="687"/>
      <c r="AN25" s="687"/>
      <c r="AO25" s="687"/>
      <c r="AP25" s="687"/>
      <c r="AQ25" s="689"/>
      <c r="AR25" s="746"/>
      <c r="AS25" s="687"/>
      <c r="AT25" s="687"/>
      <c r="AU25" s="687"/>
      <c r="AV25" s="687"/>
      <c r="AW25" s="687"/>
      <c r="AX25" s="689"/>
      <c r="AY25" s="759"/>
      <c r="AZ25" s="141"/>
      <c r="BA25" s="141"/>
      <c r="BB25" s="141"/>
      <c r="BC25" s="141"/>
    </row>
    <row r="26" spans="2:55" ht="18.75" customHeight="1">
      <c r="B26" s="705"/>
      <c r="C26" s="715" t="s">
        <v>194</v>
      </c>
      <c r="D26" s="1068"/>
      <c r="E26" s="687"/>
      <c r="F26" s="687"/>
      <c r="G26" s="687"/>
      <c r="H26" s="687"/>
      <c r="I26" s="687"/>
      <c r="J26" s="688"/>
      <c r="K26" s="688"/>
      <c r="L26" s="687"/>
      <c r="M26" s="687"/>
      <c r="N26" s="687"/>
      <c r="O26" s="687"/>
      <c r="P26" s="689"/>
      <c r="Q26" s="736"/>
      <c r="R26" s="687"/>
      <c r="S26" s="689"/>
      <c r="T26" s="689"/>
      <c r="U26" s="746"/>
      <c r="V26" s="689"/>
      <c r="W26" s="746"/>
      <c r="X26" s="687"/>
      <c r="Y26" s="687"/>
      <c r="Z26" s="687"/>
      <c r="AA26" s="687"/>
      <c r="AB26" s="687"/>
      <c r="AC26" s="689"/>
      <c r="AD26" s="746"/>
      <c r="AE26" s="687"/>
      <c r="AF26" s="687"/>
      <c r="AG26" s="687"/>
      <c r="AH26" s="687"/>
      <c r="AI26" s="687"/>
      <c r="AJ26" s="689"/>
      <c r="AK26" s="746"/>
      <c r="AL26" s="687"/>
      <c r="AM26" s="687"/>
      <c r="AN26" s="687"/>
      <c r="AO26" s="687"/>
      <c r="AP26" s="687"/>
      <c r="AQ26" s="689"/>
      <c r="AR26" s="746"/>
      <c r="AS26" s="687"/>
      <c r="AT26" s="687"/>
      <c r="AU26" s="687"/>
      <c r="AV26" s="687"/>
      <c r="AW26" s="687"/>
      <c r="AX26" s="689"/>
      <c r="AY26" s="759"/>
      <c r="AZ26" s="141"/>
      <c r="BA26" s="141"/>
      <c r="BB26" s="141"/>
      <c r="BC26" s="141"/>
    </row>
    <row r="27" spans="2:55" ht="18.5">
      <c r="B27" s="705">
        <v>7.2</v>
      </c>
      <c r="C27" s="765" t="s">
        <v>195</v>
      </c>
      <c r="D27" s="1068"/>
      <c r="E27" s="687"/>
      <c r="F27" s="687"/>
      <c r="G27" s="687"/>
      <c r="H27" s="687"/>
      <c r="I27" s="687"/>
      <c r="J27" s="688"/>
      <c r="K27" s="688"/>
      <c r="L27" s="687"/>
      <c r="M27" s="687"/>
      <c r="N27" s="687"/>
      <c r="O27" s="687"/>
      <c r="P27" s="689"/>
      <c r="Q27" s="736"/>
      <c r="R27" s="687"/>
      <c r="S27" s="689"/>
      <c r="T27" s="689"/>
      <c r="U27" s="746"/>
      <c r="V27" s="689"/>
      <c r="W27" s="746"/>
      <c r="X27" s="687"/>
      <c r="Y27" s="687"/>
      <c r="Z27" s="687"/>
      <c r="AA27" s="687"/>
      <c r="AB27" s="687"/>
      <c r="AC27" s="689"/>
      <c r="AD27" s="746"/>
      <c r="AE27" s="687"/>
      <c r="AF27" s="687"/>
      <c r="AG27" s="687"/>
      <c r="AH27" s="687"/>
      <c r="AI27" s="687"/>
      <c r="AJ27" s="689"/>
      <c r="AK27" s="746"/>
      <c r="AL27" s="687"/>
      <c r="AM27" s="687"/>
      <c r="AN27" s="687"/>
      <c r="AO27" s="687"/>
      <c r="AP27" s="687"/>
      <c r="AQ27" s="689"/>
      <c r="AR27" s="746"/>
      <c r="AS27" s="687"/>
      <c r="AT27" s="687"/>
      <c r="AU27" s="687"/>
      <c r="AV27" s="687"/>
      <c r="AW27" s="687"/>
      <c r="AX27" s="689"/>
      <c r="AY27" s="759"/>
      <c r="AZ27" s="141"/>
      <c r="BA27" s="141"/>
      <c r="BB27" s="141"/>
      <c r="BC27" s="141"/>
    </row>
    <row r="28" spans="2:55" ht="29">
      <c r="B28" s="705"/>
      <c r="C28" s="715" t="s">
        <v>196</v>
      </c>
      <c r="D28" s="1068"/>
      <c r="E28" s="1070"/>
      <c r="F28" s="1070"/>
      <c r="G28" s="1070"/>
      <c r="H28" s="687"/>
      <c r="I28" s="1070"/>
      <c r="J28" s="688"/>
      <c r="K28" s="688"/>
      <c r="L28" s="687"/>
      <c r="M28" s="687"/>
      <c r="N28" s="687"/>
      <c r="O28" s="687"/>
      <c r="P28" s="689"/>
      <c r="Q28" s="736"/>
      <c r="R28" s="687"/>
      <c r="S28" s="689"/>
      <c r="T28" s="689"/>
      <c r="U28" s="746"/>
      <c r="V28" s="689"/>
      <c r="W28" s="746"/>
      <c r="X28" s="687"/>
      <c r="Y28" s="687"/>
      <c r="Z28" s="687"/>
      <c r="AA28" s="687"/>
      <c r="AB28" s="687"/>
      <c r="AC28" s="689"/>
      <c r="AD28" s="746"/>
      <c r="AE28" s="687"/>
      <c r="AF28" s="687"/>
      <c r="AG28" s="687"/>
      <c r="AH28" s="687"/>
      <c r="AI28" s="687"/>
      <c r="AJ28" s="689"/>
      <c r="AK28" s="746"/>
      <c r="AL28" s="687"/>
      <c r="AM28" s="687"/>
      <c r="AN28" s="687"/>
      <c r="AO28" s="687"/>
      <c r="AP28" s="687"/>
      <c r="AQ28" s="689"/>
      <c r="AR28" s="771"/>
      <c r="AS28" s="772"/>
      <c r="AT28" s="772"/>
      <c r="AU28" s="772"/>
      <c r="AV28" s="772"/>
      <c r="AW28" s="772"/>
      <c r="AX28" s="772"/>
      <c r="AY28" s="773"/>
      <c r="AZ28" s="770"/>
      <c r="BA28" s="141"/>
      <c r="BB28" s="141"/>
      <c r="BC28" s="141"/>
    </row>
    <row r="29" spans="2:55" ht="18.75" customHeight="1">
      <c r="B29" s="705"/>
      <c r="C29" s="715" t="s">
        <v>197</v>
      </c>
      <c r="D29" s="1069"/>
      <c r="E29" s="1072"/>
      <c r="F29" s="1072"/>
      <c r="G29" s="1072"/>
      <c r="H29" s="687"/>
      <c r="I29" s="1072"/>
      <c r="J29" s="688"/>
      <c r="K29" s="688"/>
      <c r="L29" s="687"/>
      <c r="M29" s="687"/>
      <c r="N29" s="687"/>
      <c r="O29" s="687"/>
      <c r="P29" s="689"/>
      <c r="Q29" s="736"/>
      <c r="R29" s="687"/>
      <c r="S29" s="689"/>
      <c r="T29" s="689"/>
      <c r="U29" s="746"/>
      <c r="V29" s="689"/>
      <c r="W29" s="746"/>
      <c r="X29" s="766"/>
      <c r="Y29" s="687"/>
      <c r="Z29" s="687"/>
      <c r="AA29" s="687"/>
      <c r="AB29" s="687"/>
      <c r="AC29" s="689"/>
      <c r="AD29" s="746"/>
      <c r="AE29" s="687"/>
      <c r="AF29" s="687"/>
      <c r="AG29" s="687"/>
      <c r="AH29" s="687"/>
      <c r="AI29" s="687"/>
      <c r="AJ29" s="689"/>
      <c r="AK29" s="746"/>
      <c r="AL29" s="687"/>
      <c r="AM29" s="687"/>
      <c r="AN29" s="687"/>
      <c r="AO29" s="687"/>
      <c r="AP29" s="687"/>
      <c r="AQ29" s="689"/>
      <c r="AR29" s="746"/>
      <c r="AS29" s="687"/>
      <c r="AT29" s="687"/>
      <c r="AU29" s="687"/>
      <c r="AV29" s="687"/>
      <c r="AW29" s="687"/>
      <c r="AX29" s="689"/>
      <c r="AY29" s="759"/>
      <c r="AZ29" s="141"/>
      <c r="BA29" s="141"/>
      <c r="BB29" s="141"/>
      <c r="BC29" s="141"/>
    </row>
    <row r="30" spans="2:55" ht="58">
      <c r="B30" s="705"/>
      <c r="C30" s="715" t="s">
        <v>198</v>
      </c>
      <c r="D30" s="774"/>
      <c r="E30" s="769"/>
      <c r="F30" s="769"/>
      <c r="G30" s="769"/>
      <c r="H30" s="687"/>
      <c r="I30" s="769"/>
      <c r="J30" s="688"/>
      <c r="K30" s="688"/>
      <c r="L30" s="687"/>
      <c r="M30" s="687"/>
      <c r="N30" s="687"/>
      <c r="O30" s="687"/>
      <c r="P30" s="689"/>
      <c r="Q30" s="736"/>
      <c r="R30" s="687"/>
      <c r="S30" s="689"/>
      <c r="T30" s="689"/>
      <c r="U30" s="746"/>
      <c r="V30" s="689"/>
      <c r="W30" s="775"/>
      <c r="X30" s="766"/>
      <c r="Y30" s="776"/>
      <c r="Z30" s="687"/>
      <c r="AA30" s="687"/>
      <c r="AB30" s="687"/>
      <c r="AC30" s="689"/>
      <c r="AD30" s="746"/>
      <c r="AE30" s="687"/>
      <c r="AF30" s="687"/>
      <c r="AG30" s="687"/>
      <c r="AH30" s="687"/>
      <c r="AI30" s="687"/>
      <c r="AJ30" s="689"/>
      <c r="AK30" s="746"/>
      <c r="AL30" s="687"/>
      <c r="AM30" s="687"/>
      <c r="AN30" s="687"/>
      <c r="AO30" s="687"/>
      <c r="AP30" s="687"/>
      <c r="AQ30" s="689"/>
      <c r="AR30" s="746"/>
      <c r="AS30" s="687"/>
      <c r="AT30" s="687"/>
      <c r="AU30" s="687"/>
      <c r="AV30" s="687"/>
      <c r="AW30" s="687"/>
      <c r="AX30" s="689"/>
      <c r="AY30" s="759"/>
      <c r="AZ30" s="141"/>
      <c r="BA30" s="141"/>
      <c r="BB30" s="141"/>
      <c r="BC30" s="141"/>
    </row>
    <row r="31" spans="2:55" ht="18.75" customHeight="1">
      <c r="B31" s="705">
        <v>7.3</v>
      </c>
      <c r="C31" s="715" t="s">
        <v>199</v>
      </c>
      <c r="D31" s="774"/>
      <c r="E31" s="769"/>
      <c r="F31" s="769"/>
      <c r="G31" s="769"/>
      <c r="H31" s="687"/>
      <c r="I31" s="769"/>
      <c r="J31" s="688"/>
      <c r="K31" s="688"/>
      <c r="L31" s="687"/>
      <c r="M31" s="687"/>
      <c r="N31" s="687"/>
      <c r="O31" s="687"/>
      <c r="P31" s="689"/>
      <c r="Q31" s="736"/>
      <c r="R31" s="687"/>
      <c r="S31" s="689"/>
      <c r="T31" s="689"/>
      <c r="U31" s="746"/>
      <c r="V31" s="689"/>
      <c r="W31" s="775"/>
      <c r="X31" s="766"/>
      <c r="Y31" s="776"/>
      <c r="Z31" s="687"/>
      <c r="AA31" s="687"/>
      <c r="AB31" s="687"/>
      <c r="AC31" s="689"/>
      <c r="AD31" s="746"/>
      <c r="AE31" s="687"/>
      <c r="AF31" s="687"/>
      <c r="AG31" s="687"/>
      <c r="AH31" s="687"/>
      <c r="AI31" s="687"/>
      <c r="AJ31" s="689"/>
      <c r="AK31" s="746"/>
      <c r="AL31" s="687"/>
      <c r="AM31" s="687"/>
      <c r="AN31" s="687"/>
      <c r="AO31" s="687"/>
      <c r="AP31" s="687"/>
      <c r="AQ31" s="689"/>
      <c r="AR31" s="746"/>
      <c r="AS31" s="687"/>
      <c r="AT31" s="687"/>
      <c r="AU31" s="687"/>
      <c r="AV31" s="687"/>
      <c r="AW31" s="687"/>
      <c r="AX31" s="689"/>
      <c r="AY31" s="759"/>
      <c r="AZ31" s="141"/>
      <c r="BA31" s="141"/>
      <c r="BB31" s="141"/>
      <c r="BC31" s="141"/>
    </row>
    <row r="32" spans="2:55" ht="72.5">
      <c r="B32" s="705"/>
      <c r="C32" s="715" t="s">
        <v>200</v>
      </c>
      <c r="D32" s="1067">
        <v>1</v>
      </c>
      <c r="E32" s="769">
        <v>1</v>
      </c>
      <c r="F32" s="769">
        <v>2</v>
      </c>
      <c r="G32" s="769">
        <v>5</v>
      </c>
      <c r="H32" s="687"/>
      <c r="I32" s="769">
        <v>0.5</v>
      </c>
      <c r="J32" s="769"/>
      <c r="K32" s="688"/>
      <c r="L32" s="687"/>
      <c r="M32" s="687"/>
      <c r="N32" s="687"/>
      <c r="O32" s="687"/>
      <c r="P32" s="689"/>
      <c r="Q32" s="736"/>
      <c r="R32" s="687">
        <v>5</v>
      </c>
      <c r="S32" s="689">
        <v>0.5</v>
      </c>
      <c r="T32" s="689">
        <v>0.5</v>
      </c>
      <c r="U32" s="746"/>
      <c r="V32" s="689"/>
      <c r="W32" s="775"/>
      <c r="X32" s="766"/>
      <c r="Y32" s="776"/>
      <c r="Z32" s="687"/>
      <c r="AA32" s="687"/>
      <c r="AB32" s="687"/>
      <c r="AC32" s="689"/>
      <c r="AD32" s="746"/>
      <c r="AE32" s="687"/>
      <c r="AF32" s="687"/>
      <c r="AG32" s="687"/>
      <c r="AH32" s="687"/>
      <c r="AI32" s="687"/>
      <c r="AJ32" s="689"/>
      <c r="AK32" s="746"/>
      <c r="AL32" s="687"/>
      <c r="AM32" s="687"/>
      <c r="AN32" s="687"/>
      <c r="AO32" s="687"/>
      <c r="AP32" s="687"/>
      <c r="AQ32" s="689"/>
      <c r="AR32" s="746"/>
      <c r="AS32" s="687"/>
      <c r="AT32" s="687"/>
      <c r="AU32" s="687"/>
      <c r="AV32" s="687"/>
      <c r="AW32" s="687"/>
      <c r="AX32" s="689"/>
      <c r="AY32" s="759"/>
      <c r="AZ32" s="141"/>
      <c r="BA32" s="141"/>
      <c r="BB32" s="141"/>
      <c r="BC32" s="141"/>
    </row>
    <row r="33" spans="2:55" ht="87">
      <c r="B33" s="705"/>
      <c r="C33" s="715" t="s">
        <v>201</v>
      </c>
      <c r="D33" s="1068"/>
      <c r="E33" s="769">
        <v>1</v>
      </c>
      <c r="F33" s="769">
        <v>2</v>
      </c>
      <c r="G33" s="769">
        <v>5</v>
      </c>
      <c r="H33" s="687"/>
      <c r="I33" s="769">
        <v>0.5</v>
      </c>
      <c r="J33" s="769"/>
      <c r="K33" s="688"/>
      <c r="L33" s="687"/>
      <c r="M33" s="687"/>
      <c r="N33" s="687"/>
      <c r="O33" s="687"/>
      <c r="P33" s="689"/>
      <c r="Q33" s="736"/>
      <c r="R33" s="687">
        <v>5</v>
      </c>
      <c r="S33" s="689">
        <v>0.5</v>
      </c>
      <c r="T33" s="689">
        <v>0.5</v>
      </c>
      <c r="U33" s="746"/>
      <c r="V33" s="689"/>
      <c r="W33" s="775"/>
      <c r="X33" s="766"/>
      <c r="Y33" s="776"/>
      <c r="Z33" s="687"/>
      <c r="AA33" s="687"/>
      <c r="AB33" s="687"/>
      <c r="AC33" s="689"/>
      <c r="AD33" s="746"/>
      <c r="AE33" s="687"/>
      <c r="AF33" s="687"/>
      <c r="AG33" s="687"/>
      <c r="AH33" s="687"/>
      <c r="AI33" s="687"/>
      <c r="AJ33" s="689"/>
      <c r="AK33" s="746"/>
      <c r="AL33" s="687"/>
      <c r="AM33" s="687"/>
      <c r="AN33" s="687"/>
      <c r="AO33" s="687"/>
      <c r="AP33" s="687"/>
      <c r="AQ33" s="689"/>
      <c r="AR33" s="746"/>
      <c r="AS33" s="687"/>
      <c r="AT33" s="687"/>
      <c r="AU33" s="687"/>
      <c r="AV33" s="687"/>
      <c r="AW33" s="687"/>
      <c r="AX33" s="689"/>
      <c r="AY33" s="759"/>
      <c r="AZ33" s="141"/>
      <c r="BA33" s="141"/>
      <c r="BB33" s="141"/>
      <c r="BC33" s="141"/>
    </row>
    <row r="34" spans="2:55" ht="116">
      <c r="B34" s="705"/>
      <c r="C34" s="715" t="s">
        <v>202</v>
      </c>
      <c r="D34" s="1069"/>
      <c r="E34" s="769">
        <v>1</v>
      </c>
      <c r="F34" s="769">
        <v>1</v>
      </c>
      <c r="G34" s="769">
        <v>3</v>
      </c>
      <c r="H34" s="687"/>
      <c r="I34" s="769">
        <v>0.5</v>
      </c>
      <c r="J34" s="769"/>
      <c r="K34" s="688"/>
      <c r="L34" s="791">
        <v>1.5</v>
      </c>
      <c r="M34" s="791">
        <v>0.5</v>
      </c>
      <c r="N34" s="687"/>
      <c r="O34" s="687"/>
      <c r="P34" s="689"/>
      <c r="Q34" s="778">
        <v>9</v>
      </c>
      <c r="R34" s="687">
        <v>3</v>
      </c>
      <c r="S34" s="689"/>
      <c r="T34" s="689"/>
      <c r="U34" s="746"/>
      <c r="V34" s="689"/>
      <c r="W34" s="775"/>
      <c r="X34" s="766"/>
      <c r="Y34" s="776"/>
      <c r="Z34" s="687"/>
      <c r="AA34" s="687"/>
      <c r="AB34" s="687"/>
      <c r="AC34" s="689"/>
      <c r="AD34" s="746"/>
      <c r="AE34" s="687"/>
      <c r="AF34" s="687"/>
      <c r="AG34" s="687"/>
      <c r="AH34" s="687"/>
      <c r="AI34" s="687"/>
      <c r="AJ34" s="689"/>
      <c r="AK34" s="746"/>
      <c r="AL34" s="687"/>
      <c r="AM34" s="687"/>
      <c r="AN34" s="687"/>
      <c r="AO34" s="687"/>
      <c r="AP34" s="687"/>
      <c r="AQ34" s="689"/>
      <c r="AR34" s="746"/>
      <c r="AS34" s="687"/>
      <c r="AT34" s="687"/>
      <c r="AU34" s="687"/>
      <c r="AV34" s="687"/>
      <c r="AW34" s="687"/>
      <c r="AX34" s="689"/>
      <c r="AY34" s="759"/>
      <c r="AZ34" s="141"/>
      <c r="BA34" s="141"/>
      <c r="BB34" s="141"/>
      <c r="BC34" s="141"/>
    </row>
    <row r="35" spans="2:55" ht="18.75" customHeight="1">
      <c r="B35" s="705"/>
      <c r="C35" s="715" t="s">
        <v>203</v>
      </c>
      <c r="D35" s="774"/>
      <c r="E35" s="769"/>
      <c r="F35" s="1070">
        <v>1</v>
      </c>
      <c r="G35" s="769"/>
      <c r="H35" s="687"/>
      <c r="I35" s="1070">
        <v>1</v>
      </c>
      <c r="J35" s="688"/>
      <c r="K35" s="688"/>
      <c r="L35" s="1071">
        <v>6</v>
      </c>
      <c r="M35" s="1071">
        <v>1.5</v>
      </c>
      <c r="N35" s="687"/>
      <c r="O35" s="687"/>
      <c r="P35" s="689"/>
      <c r="Q35" s="736"/>
      <c r="R35" s="687"/>
      <c r="S35" s="689"/>
      <c r="T35" s="689"/>
      <c r="U35" s="746"/>
      <c r="V35" s="689"/>
      <c r="W35" s="775"/>
      <c r="X35" s="766"/>
      <c r="Y35" s="776"/>
      <c r="Z35" s="687"/>
      <c r="AA35" s="687"/>
      <c r="AB35" s="687"/>
      <c r="AC35" s="689"/>
      <c r="AD35" s="746"/>
      <c r="AE35" s="687"/>
      <c r="AF35" s="687"/>
      <c r="AG35" s="687"/>
      <c r="AH35" s="687"/>
      <c r="AI35" s="687"/>
      <c r="AJ35" s="689"/>
      <c r="AK35" s="746"/>
      <c r="AL35" s="687"/>
      <c r="AM35" s="687"/>
      <c r="AN35" s="687"/>
      <c r="AO35" s="687"/>
      <c r="AP35" s="687"/>
      <c r="AQ35" s="689"/>
      <c r="AR35" s="746"/>
      <c r="AS35" s="687"/>
      <c r="AT35" s="687">
        <v>1</v>
      </c>
      <c r="AU35" s="687">
        <v>3</v>
      </c>
      <c r="AV35" s="687"/>
      <c r="AW35" s="687"/>
      <c r="AX35" s="689"/>
      <c r="AY35" s="759"/>
      <c r="AZ35" s="777" t="s">
        <v>204</v>
      </c>
      <c r="BA35" s="141"/>
      <c r="BB35" s="141"/>
      <c r="BC35" s="141"/>
    </row>
    <row r="36" spans="2:55" ht="18.75" customHeight="1">
      <c r="B36" s="705"/>
      <c r="C36" s="792" t="s">
        <v>205</v>
      </c>
      <c r="D36" s="774"/>
      <c r="E36" s="769"/>
      <c r="F36" s="1071"/>
      <c r="G36" s="769"/>
      <c r="H36" s="687"/>
      <c r="I36" s="1071"/>
      <c r="J36" s="688"/>
      <c r="K36" s="688"/>
      <c r="L36" s="1071"/>
      <c r="M36" s="1071"/>
      <c r="N36" s="687"/>
      <c r="O36" s="687"/>
      <c r="P36" s="689"/>
      <c r="Q36" s="736"/>
      <c r="R36" s="687"/>
      <c r="S36" s="689"/>
      <c r="T36" s="689"/>
      <c r="U36" s="746"/>
      <c r="V36" s="689"/>
      <c r="W36" s="775"/>
      <c r="X36" s="766"/>
      <c r="Y36" s="776"/>
      <c r="Z36" s="687"/>
      <c r="AA36" s="687"/>
      <c r="AB36" s="687"/>
      <c r="AC36" s="689"/>
      <c r="AD36" s="746"/>
      <c r="AE36" s="687"/>
      <c r="AF36" s="687"/>
      <c r="AG36" s="687"/>
      <c r="AH36" s="687"/>
      <c r="AI36" s="687"/>
      <c r="AJ36" s="689"/>
      <c r="AK36" s="746"/>
      <c r="AL36" s="687"/>
      <c r="AM36" s="687"/>
      <c r="AN36" s="687"/>
      <c r="AO36" s="687"/>
      <c r="AP36" s="687"/>
      <c r="AQ36" s="689"/>
      <c r="AR36" s="746"/>
      <c r="AS36" s="687"/>
      <c r="AT36" s="687"/>
      <c r="AU36" s="687"/>
      <c r="AV36" s="687"/>
      <c r="AW36" s="687"/>
      <c r="AX36" s="689"/>
      <c r="AY36" s="759"/>
      <c r="AZ36" s="777" t="s">
        <v>206</v>
      </c>
      <c r="BA36" s="141"/>
      <c r="BB36" s="141"/>
      <c r="BC36" s="141"/>
    </row>
    <row r="37" spans="2:55" ht="18.75" customHeight="1">
      <c r="B37" s="705"/>
      <c r="C37" s="715" t="s">
        <v>207</v>
      </c>
      <c r="D37" s="774"/>
      <c r="E37" s="769"/>
      <c r="F37" s="1071"/>
      <c r="G37" s="769"/>
      <c r="H37" s="687"/>
      <c r="I37" s="1071"/>
      <c r="J37" s="688"/>
      <c r="K37" s="688"/>
      <c r="L37" s="1071"/>
      <c r="M37" s="1071"/>
      <c r="N37" s="687"/>
      <c r="O37" s="687"/>
      <c r="P37" s="689"/>
      <c r="Q37" s="736"/>
      <c r="R37" s="687"/>
      <c r="S37" s="689"/>
      <c r="T37" s="689"/>
      <c r="U37" s="746"/>
      <c r="V37" s="689"/>
      <c r="W37" s="775"/>
      <c r="X37" s="766"/>
      <c r="Y37" s="776"/>
      <c r="Z37" s="687"/>
      <c r="AA37" s="687"/>
      <c r="AB37" s="687"/>
      <c r="AC37" s="689"/>
      <c r="AD37" s="746"/>
      <c r="AE37" s="687"/>
      <c r="AF37" s="687"/>
      <c r="AG37" s="687"/>
      <c r="AH37" s="687"/>
      <c r="AI37" s="687"/>
      <c r="AJ37" s="689"/>
      <c r="AK37" s="746"/>
      <c r="AL37" s="687"/>
      <c r="AM37" s="687"/>
      <c r="AN37" s="687"/>
      <c r="AO37" s="687"/>
      <c r="AP37" s="687"/>
      <c r="AQ37" s="689"/>
      <c r="AR37" s="746"/>
      <c r="AS37" s="687"/>
      <c r="AT37" s="687"/>
      <c r="AU37" s="687">
        <v>1</v>
      </c>
      <c r="AV37" s="687"/>
      <c r="AW37" s="687"/>
      <c r="AX37" s="689"/>
      <c r="AY37" s="759"/>
      <c r="AZ37" s="777" t="s">
        <v>204</v>
      </c>
      <c r="BA37" s="141"/>
      <c r="BB37" s="141"/>
      <c r="BC37" s="141"/>
    </row>
    <row r="38" spans="2:55" ht="18.75" customHeight="1">
      <c r="B38" s="705"/>
      <c r="C38" s="715" t="s">
        <v>208</v>
      </c>
      <c r="D38" s="774"/>
      <c r="E38" s="769"/>
      <c r="F38" s="1071"/>
      <c r="G38" s="769"/>
      <c r="H38" s="687"/>
      <c r="I38" s="1071"/>
      <c r="J38" s="688"/>
      <c r="K38" s="688"/>
      <c r="L38" s="1071"/>
      <c r="M38" s="1071"/>
      <c r="N38" s="687"/>
      <c r="O38" s="687"/>
      <c r="P38" s="689"/>
      <c r="Q38" s="736"/>
      <c r="R38" s="687"/>
      <c r="S38" s="689"/>
      <c r="T38" s="689"/>
      <c r="U38" s="746"/>
      <c r="V38" s="689"/>
      <c r="W38" s="775"/>
      <c r="X38" s="766"/>
      <c r="Y38" s="776"/>
      <c r="Z38" s="687"/>
      <c r="AA38" s="687"/>
      <c r="AB38" s="687"/>
      <c r="AC38" s="689"/>
      <c r="AD38" s="746"/>
      <c r="AE38" s="687"/>
      <c r="AF38" s="687"/>
      <c r="AG38" s="687"/>
      <c r="AH38" s="687"/>
      <c r="AI38" s="687"/>
      <c r="AJ38" s="689"/>
      <c r="AK38" s="746"/>
      <c r="AL38" s="687"/>
      <c r="AM38" s="687"/>
      <c r="AN38" s="687"/>
      <c r="AO38" s="687"/>
      <c r="AP38" s="687"/>
      <c r="AQ38" s="689"/>
      <c r="AR38" s="746"/>
      <c r="AS38" s="687"/>
      <c r="AT38" s="687"/>
      <c r="AU38" s="687">
        <v>1</v>
      </c>
      <c r="AV38" s="687"/>
      <c r="AW38" s="687"/>
      <c r="AX38" s="689"/>
      <c r="AY38" s="759"/>
      <c r="AZ38" s="777" t="s">
        <v>204</v>
      </c>
      <c r="BA38" s="141"/>
      <c r="BB38" s="141"/>
      <c r="BC38" s="141"/>
    </row>
    <row r="39" spans="2:55" ht="18.75" customHeight="1">
      <c r="B39" s="705"/>
      <c r="C39" s="715" t="s">
        <v>209</v>
      </c>
      <c r="D39" s="774"/>
      <c r="E39" s="769"/>
      <c r="F39" s="1071"/>
      <c r="G39" s="769"/>
      <c r="H39" s="687"/>
      <c r="I39" s="1071"/>
      <c r="J39" s="688"/>
      <c r="K39" s="688"/>
      <c r="L39" s="1071"/>
      <c r="M39" s="1071"/>
      <c r="N39" s="687"/>
      <c r="O39" s="687"/>
      <c r="P39" s="689"/>
      <c r="Q39" s="736"/>
      <c r="R39" s="687"/>
      <c r="S39" s="689"/>
      <c r="T39" s="689"/>
      <c r="U39" s="746"/>
      <c r="V39" s="689"/>
      <c r="W39" s="775"/>
      <c r="X39" s="766"/>
      <c r="Y39" s="776"/>
      <c r="Z39" s="687"/>
      <c r="AA39" s="687"/>
      <c r="AB39" s="687"/>
      <c r="AC39" s="689"/>
      <c r="AD39" s="746"/>
      <c r="AE39" s="687"/>
      <c r="AF39" s="687"/>
      <c r="AG39" s="687"/>
      <c r="AH39" s="687"/>
      <c r="AI39" s="687"/>
      <c r="AJ39" s="689"/>
      <c r="AK39" s="746"/>
      <c r="AL39" s="687"/>
      <c r="AM39" s="687"/>
      <c r="AN39" s="687"/>
      <c r="AO39" s="687"/>
      <c r="AP39" s="687"/>
      <c r="AQ39" s="689"/>
      <c r="AR39" s="746"/>
      <c r="AS39" s="687"/>
      <c r="AT39" s="687"/>
      <c r="AU39" s="687">
        <v>1</v>
      </c>
      <c r="AV39" s="687"/>
      <c r="AW39" s="687"/>
      <c r="AX39" s="689"/>
      <c r="AY39" s="759"/>
      <c r="AZ39" s="777" t="s">
        <v>204</v>
      </c>
      <c r="BA39" s="141"/>
      <c r="BB39" s="141"/>
      <c r="BC39" s="141"/>
    </row>
    <row r="40" spans="2:55" ht="18.75" customHeight="1">
      <c r="B40" s="705"/>
      <c r="C40" s="715" t="s">
        <v>210</v>
      </c>
      <c r="D40" s="774"/>
      <c r="E40" s="769"/>
      <c r="F40" s="1072"/>
      <c r="G40" s="769"/>
      <c r="H40" s="687"/>
      <c r="I40" s="1072"/>
      <c r="J40" s="688"/>
      <c r="K40" s="688"/>
      <c r="L40" s="1072"/>
      <c r="M40" s="1072"/>
      <c r="N40" s="687"/>
      <c r="O40" s="687"/>
      <c r="P40" s="689"/>
      <c r="Q40" s="736"/>
      <c r="R40" s="687"/>
      <c r="S40" s="689"/>
      <c r="T40" s="689"/>
      <c r="U40" s="746"/>
      <c r="V40" s="689"/>
      <c r="W40" s="775"/>
      <c r="X40" s="766"/>
      <c r="Y40" s="776"/>
      <c r="Z40" s="687"/>
      <c r="AA40" s="687"/>
      <c r="AB40" s="687"/>
      <c r="AC40" s="689"/>
      <c r="AD40" s="746"/>
      <c r="AE40" s="687"/>
      <c r="AF40" s="687"/>
      <c r="AG40" s="687"/>
      <c r="AH40" s="687"/>
      <c r="AI40" s="687"/>
      <c r="AJ40" s="689"/>
      <c r="AK40" s="746"/>
      <c r="AL40" s="687"/>
      <c r="AM40" s="687"/>
      <c r="AN40" s="687"/>
      <c r="AO40" s="687"/>
      <c r="AP40" s="687"/>
      <c r="AQ40" s="689"/>
      <c r="AR40" s="746"/>
      <c r="AS40" s="687"/>
      <c r="AT40" s="687"/>
      <c r="AU40" s="687">
        <v>1</v>
      </c>
      <c r="AV40" s="687"/>
      <c r="AW40" s="687"/>
      <c r="AX40" s="689"/>
      <c r="AY40" s="759"/>
      <c r="AZ40" s="777" t="s">
        <v>204</v>
      </c>
      <c r="BA40" s="141"/>
      <c r="BB40" s="141"/>
      <c r="BC40" s="141"/>
    </row>
    <row r="41" spans="2:55" ht="14.5">
      <c r="B41" s="675">
        <v>11</v>
      </c>
      <c r="C41" s="676" t="s">
        <v>53</v>
      </c>
      <c r="D41" s="724"/>
      <c r="E41" s="518"/>
      <c r="F41" s="518"/>
      <c r="G41" s="518"/>
      <c r="H41" s="73"/>
      <c r="I41" s="73"/>
      <c r="J41" s="73"/>
      <c r="K41" s="73"/>
      <c r="L41" s="73"/>
      <c r="M41" s="73"/>
      <c r="N41" s="73"/>
      <c r="O41" s="73"/>
      <c r="P41" s="261"/>
      <c r="Q41" s="234"/>
      <c r="R41" s="73"/>
      <c r="S41" s="261"/>
      <c r="T41" s="261"/>
      <c r="U41" s="234"/>
      <c r="V41" s="261"/>
      <c r="W41" s="767"/>
      <c r="X41" s="73"/>
      <c r="Y41" s="270"/>
      <c r="Z41" s="62"/>
      <c r="AA41" s="73"/>
      <c r="AB41" s="73"/>
      <c r="AC41" s="261"/>
      <c r="AD41" s="234"/>
      <c r="AE41" s="73"/>
      <c r="AF41" s="73"/>
      <c r="AG41" s="73"/>
      <c r="AH41" s="73"/>
      <c r="AI41" s="73"/>
      <c r="AJ41" s="261"/>
      <c r="AK41" s="234"/>
      <c r="AL41" s="73"/>
      <c r="AM41" s="73"/>
      <c r="AN41" s="73"/>
      <c r="AO41" s="73"/>
      <c r="AP41" s="73"/>
      <c r="AQ41" s="261"/>
      <c r="AR41" s="234"/>
      <c r="AS41" s="73"/>
      <c r="AT41" s="73"/>
      <c r="AU41" s="73">
        <v>1</v>
      </c>
      <c r="AV41" s="73"/>
      <c r="AW41" s="73"/>
      <c r="AX41" s="261"/>
      <c r="AY41" s="760"/>
      <c r="AZ41" s="20"/>
    </row>
    <row r="42" spans="2:55" ht="14.5">
      <c r="B42" s="675">
        <v>12</v>
      </c>
      <c r="C42" s="676" t="s">
        <v>54</v>
      </c>
      <c r="D42" s="724"/>
      <c r="E42" s="73">
        <v>1</v>
      </c>
      <c r="F42" s="73"/>
      <c r="G42" s="73">
        <v>1</v>
      </c>
      <c r="H42" s="73"/>
      <c r="I42" s="62">
        <v>1</v>
      </c>
      <c r="J42" s="73"/>
      <c r="K42" s="73"/>
      <c r="L42" s="73"/>
      <c r="M42" s="73"/>
      <c r="N42" s="73"/>
      <c r="O42" s="73"/>
      <c r="P42" s="261"/>
      <c r="Q42" s="234"/>
      <c r="R42" s="73"/>
      <c r="S42" s="261"/>
      <c r="T42" s="261"/>
      <c r="U42" s="234"/>
      <c r="V42" s="261"/>
      <c r="W42" s="234"/>
      <c r="X42" s="768"/>
      <c r="Y42" s="73"/>
      <c r="Z42" s="62"/>
      <c r="AA42" s="73"/>
      <c r="AB42" s="73"/>
      <c r="AC42" s="261"/>
      <c r="AD42" s="234"/>
      <c r="AE42" s="73"/>
      <c r="AF42" s="73"/>
      <c r="AG42" s="73"/>
      <c r="AH42" s="73"/>
      <c r="AI42" s="73"/>
      <c r="AJ42" s="261"/>
      <c r="AK42" s="234"/>
      <c r="AL42" s="73"/>
      <c r="AM42" s="73"/>
      <c r="AN42" s="73"/>
      <c r="AO42" s="73"/>
      <c r="AP42" s="73"/>
      <c r="AQ42" s="261"/>
      <c r="AR42" s="234"/>
      <c r="AS42" s="73"/>
      <c r="AT42" s="73">
        <v>0.5</v>
      </c>
      <c r="AU42" s="73">
        <v>2</v>
      </c>
      <c r="AV42" s="73"/>
      <c r="AW42" s="73"/>
      <c r="AX42" s="261"/>
      <c r="AY42" s="760"/>
      <c r="AZ42" s="20"/>
    </row>
    <row r="43" spans="2:55" ht="14.5">
      <c r="B43" s="675">
        <v>13</v>
      </c>
      <c r="C43" s="676" t="s">
        <v>55</v>
      </c>
      <c r="D43" s="724"/>
      <c r="E43" s="518">
        <v>1</v>
      </c>
      <c r="F43" s="73"/>
      <c r="G43" s="73">
        <v>0.5</v>
      </c>
      <c r="H43" s="73"/>
      <c r="I43" s="73"/>
      <c r="J43" s="73"/>
      <c r="K43" s="73"/>
      <c r="L43" s="73"/>
      <c r="M43" s="73"/>
      <c r="N43" s="73"/>
      <c r="O43" s="73"/>
      <c r="P43" s="261"/>
      <c r="Q43" s="234"/>
      <c r="R43" s="518"/>
      <c r="S43" s="261"/>
      <c r="T43" s="261"/>
      <c r="U43" s="234"/>
      <c r="V43" s="261"/>
      <c r="W43" s="234"/>
      <c r="X43" s="73"/>
      <c r="Y43" s="73"/>
      <c r="Z43" s="62"/>
      <c r="AA43" s="73"/>
      <c r="AB43" s="73"/>
      <c r="AC43" s="261"/>
      <c r="AD43" s="234"/>
      <c r="AE43" s="73"/>
      <c r="AF43" s="73"/>
      <c r="AG43" s="73"/>
      <c r="AH43" s="73"/>
      <c r="AI43" s="73"/>
      <c r="AJ43" s="261"/>
      <c r="AK43" s="234"/>
      <c r="AL43" s="73"/>
      <c r="AM43" s="73"/>
      <c r="AN43" s="73"/>
      <c r="AO43" s="73"/>
      <c r="AP43" s="73"/>
      <c r="AQ43" s="261"/>
      <c r="AR43" s="234"/>
      <c r="AS43" s="73"/>
      <c r="AT43" s="73">
        <v>0.5</v>
      </c>
      <c r="AU43" s="73">
        <v>2</v>
      </c>
      <c r="AV43" s="73"/>
      <c r="AW43" s="73"/>
      <c r="AX43" s="261"/>
      <c r="AY43" s="760"/>
      <c r="AZ43" s="20"/>
    </row>
    <row r="44" spans="2:55" ht="14.5">
      <c r="B44" s="675">
        <v>14</v>
      </c>
      <c r="C44" s="676" t="s">
        <v>56</v>
      </c>
      <c r="D44" s="270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261"/>
      <c r="Q44" s="234"/>
      <c r="R44" s="73"/>
      <c r="S44" s="261"/>
      <c r="T44" s="261"/>
      <c r="U44" s="234"/>
      <c r="V44" s="261"/>
      <c r="W44" s="234"/>
      <c r="X44" s="73"/>
      <c r="Y44" s="73"/>
      <c r="Z44" s="73"/>
      <c r="AA44" s="73"/>
      <c r="AB44" s="73"/>
      <c r="AC44" s="261"/>
      <c r="AD44" s="234"/>
      <c r="AE44" s="73"/>
      <c r="AF44" s="73"/>
      <c r="AG44" s="73"/>
      <c r="AH44" s="73"/>
      <c r="AI44" s="73"/>
      <c r="AJ44" s="261"/>
      <c r="AK44" s="234"/>
      <c r="AL44" s="73"/>
      <c r="AM44" s="73"/>
      <c r="AN44" s="73"/>
      <c r="AO44" s="73"/>
      <c r="AP44" s="73"/>
      <c r="AQ44" s="261"/>
      <c r="AR44" s="234"/>
      <c r="AS44" s="73"/>
      <c r="AT44" s="73"/>
      <c r="AU44" s="73">
        <v>2</v>
      </c>
      <c r="AV44" s="73"/>
      <c r="AW44" s="73"/>
      <c r="AX44" s="261"/>
      <c r="AY44" s="760"/>
      <c r="AZ44" s="20"/>
    </row>
    <row r="45" spans="2:55" ht="14.5">
      <c r="B45" s="675">
        <v>15</v>
      </c>
      <c r="C45" s="676" t="s">
        <v>57</v>
      </c>
      <c r="D45" s="271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262"/>
      <c r="Q45" s="233"/>
      <c r="R45" s="62"/>
      <c r="S45" s="262"/>
      <c r="T45" s="262"/>
      <c r="U45" s="233"/>
      <c r="V45" s="262"/>
      <c r="W45" s="233"/>
      <c r="X45" s="73"/>
      <c r="Y45" s="62"/>
      <c r="Z45" s="62"/>
      <c r="AA45" s="62"/>
      <c r="AB45" s="62"/>
      <c r="AC45" s="262"/>
      <c r="AD45" s="233"/>
      <c r="AE45" s="62"/>
      <c r="AF45" s="62"/>
      <c r="AG45" s="62"/>
      <c r="AH45" s="62"/>
      <c r="AI45" s="62"/>
      <c r="AJ45" s="262"/>
      <c r="AK45" s="233"/>
      <c r="AL45" s="62"/>
      <c r="AM45" s="62"/>
      <c r="AN45" s="62"/>
      <c r="AO45" s="62"/>
      <c r="AP45" s="62"/>
      <c r="AQ45" s="262"/>
      <c r="AR45" s="233"/>
      <c r="AS45" s="62"/>
      <c r="AT45" s="62"/>
      <c r="AU45" s="62"/>
      <c r="AV45" s="62"/>
      <c r="AW45" s="62"/>
      <c r="AX45" s="262"/>
      <c r="AY45" s="754"/>
      <c r="AZ45" s="20"/>
    </row>
    <row r="46" spans="2:55" ht="14.5">
      <c r="B46" s="675">
        <v>16</v>
      </c>
      <c r="C46" s="676" t="s">
        <v>235</v>
      </c>
      <c r="D46" s="271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262"/>
      <c r="Q46" s="233"/>
      <c r="R46" s="62"/>
      <c r="S46" s="262"/>
      <c r="T46" s="262"/>
      <c r="U46" s="233"/>
      <c r="V46" s="262"/>
      <c r="W46" s="233"/>
      <c r="X46" s="73"/>
      <c r="Y46" s="62"/>
      <c r="Z46" s="62"/>
      <c r="AA46" s="62"/>
      <c r="AB46" s="62"/>
      <c r="AC46" s="262"/>
      <c r="AD46" s="233"/>
      <c r="AE46" s="62"/>
      <c r="AF46" s="62"/>
      <c r="AG46" s="62"/>
      <c r="AH46" s="62"/>
      <c r="AI46" s="62"/>
      <c r="AJ46" s="262"/>
      <c r="AK46" s="233"/>
      <c r="AL46" s="62"/>
      <c r="AM46" s="62"/>
      <c r="AN46" s="62"/>
      <c r="AO46" s="62"/>
      <c r="AP46" s="62"/>
      <c r="AQ46" s="262"/>
      <c r="AR46" s="233"/>
      <c r="AS46" s="62"/>
      <c r="AT46" s="62"/>
      <c r="AU46" s="62"/>
      <c r="AV46" s="62"/>
      <c r="AW46" s="62"/>
      <c r="AX46" s="262"/>
      <c r="AY46" s="754"/>
      <c r="AZ46" s="20"/>
    </row>
    <row r="47" spans="2:55" ht="14.5">
      <c r="B47" s="675">
        <v>17</v>
      </c>
      <c r="C47" s="676" t="s">
        <v>106</v>
      </c>
      <c r="D47" s="271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262"/>
      <c r="Q47" s="233"/>
      <c r="R47" s="62"/>
      <c r="S47" s="262"/>
      <c r="T47" s="262"/>
      <c r="U47" s="233"/>
      <c r="V47" s="262"/>
      <c r="W47" s="233"/>
      <c r="X47" s="62"/>
      <c r="Y47" s="62"/>
      <c r="Z47" s="73"/>
      <c r="AA47" s="62"/>
      <c r="AB47" s="62"/>
      <c r="AC47" s="262"/>
      <c r="AD47" s="233"/>
      <c r="AE47" s="62"/>
      <c r="AF47" s="62"/>
      <c r="AG47" s="62"/>
      <c r="AH47" s="62"/>
      <c r="AI47" s="62"/>
      <c r="AJ47" s="262"/>
      <c r="AK47" s="233"/>
      <c r="AL47" s="73"/>
      <c r="AM47" s="62"/>
      <c r="AN47" s="62"/>
      <c r="AO47" s="62"/>
      <c r="AP47" s="62"/>
      <c r="AQ47" s="262"/>
      <c r="AR47" s="233"/>
      <c r="AS47" s="62"/>
      <c r="AT47" s="62">
        <v>1</v>
      </c>
      <c r="AU47" s="62">
        <v>1</v>
      </c>
      <c r="AV47" s="62"/>
      <c r="AW47" s="62"/>
      <c r="AX47" s="262"/>
      <c r="AY47" s="754"/>
      <c r="AZ47" s="20"/>
    </row>
    <row r="48" spans="2:55" ht="14.5">
      <c r="B48" s="708"/>
      <c r="C48" s="716" t="s">
        <v>123</v>
      </c>
      <c r="D48" s="725">
        <f t="shared" ref="D48:AY48" si="0">15%*SUM(D3:D47)</f>
        <v>0.15</v>
      </c>
      <c r="E48" s="709">
        <f t="shared" si="0"/>
        <v>0.75</v>
      </c>
      <c r="F48" s="709">
        <f t="shared" si="0"/>
        <v>0.89999999999999991</v>
      </c>
      <c r="G48" s="709">
        <f t="shared" si="0"/>
        <v>2.1749999999999998</v>
      </c>
      <c r="H48" s="709">
        <f t="shared" si="0"/>
        <v>0</v>
      </c>
      <c r="I48" s="709">
        <f t="shared" si="0"/>
        <v>0.52500000000000002</v>
      </c>
      <c r="J48" s="709">
        <f t="shared" si="0"/>
        <v>0</v>
      </c>
      <c r="K48" s="709">
        <f t="shared" si="0"/>
        <v>0</v>
      </c>
      <c r="L48" s="709">
        <f t="shared" si="0"/>
        <v>1.125</v>
      </c>
      <c r="M48" s="709">
        <f t="shared" si="0"/>
        <v>0.3</v>
      </c>
      <c r="N48" s="709">
        <f t="shared" si="0"/>
        <v>0</v>
      </c>
      <c r="O48" s="709">
        <f t="shared" si="0"/>
        <v>0</v>
      </c>
      <c r="P48" s="741">
        <f t="shared" si="0"/>
        <v>0</v>
      </c>
      <c r="Q48" s="737">
        <f t="shared" si="0"/>
        <v>1.3499999999999999</v>
      </c>
      <c r="R48" s="709">
        <f t="shared" si="0"/>
        <v>1.95</v>
      </c>
      <c r="S48" s="741">
        <f t="shared" si="0"/>
        <v>0.15</v>
      </c>
      <c r="T48" s="741">
        <f t="shared" si="0"/>
        <v>0.15</v>
      </c>
      <c r="U48" s="737">
        <f t="shared" si="0"/>
        <v>0</v>
      </c>
      <c r="V48" s="741">
        <f t="shared" si="0"/>
        <v>0</v>
      </c>
      <c r="W48" s="737">
        <f t="shared" si="0"/>
        <v>0</v>
      </c>
      <c r="X48" s="709">
        <f t="shared" si="0"/>
        <v>0</v>
      </c>
      <c r="Y48" s="709">
        <f t="shared" si="0"/>
        <v>0</v>
      </c>
      <c r="Z48" s="709">
        <f t="shared" si="0"/>
        <v>0</v>
      </c>
      <c r="AA48" s="709">
        <f t="shared" si="0"/>
        <v>0</v>
      </c>
      <c r="AB48" s="709">
        <f t="shared" si="0"/>
        <v>0</v>
      </c>
      <c r="AC48" s="741">
        <f t="shared" si="0"/>
        <v>0</v>
      </c>
      <c r="AD48" s="737">
        <f t="shared" si="0"/>
        <v>0</v>
      </c>
      <c r="AE48" s="709">
        <f t="shared" si="0"/>
        <v>0</v>
      </c>
      <c r="AF48" s="709">
        <f t="shared" si="0"/>
        <v>0</v>
      </c>
      <c r="AG48" s="709">
        <f t="shared" si="0"/>
        <v>0</v>
      </c>
      <c r="AH48" s="709">
        <f t="shared" si="0"/>
        <v>0</v>
      </c>
      <c r="AI48" s="709">
        <f t="shared" si="0"/>
        <v>0</v>
      </c>
      <c r="AJ48" s="741">
        <f t="shared" si="0"/>
        <v>0</v>
      </c>
      <c r="AK48" s="737">
        <f t="shared" si="0"/>
        <v>0</v>
      </c>
      <c r="AL48" s="709">
        <f t="shared" si="0"/>
        <v>0</v>
      </c>
      <c r="AM48" s="709">
        <f t="shared" si="0"/>
        <v>0</v>
      </c>
      <c r="AN48" s="709">
        <f t="shared" si="0"/>
        <v>0</v>
      </c>
      <c r="AO48" s="709">
        <f t="shared" si="0"/>
        <v>0</v>
      </c>
      <c r="AP48" s="709">
        <f t="shared" si="0"/>
        <v>0</v>
      </c>
      <c r="AQ48" s="741">
        <f t="shared" si="0"/>
        <v>0</v>
      </c>
      <c r="AR48" s="737">
        <f t="shared" si="0"/>
        <v>0</v>
      </c>
      <c r="AS48" s="709">
        <f t="shared" si="0"/>
        <v>0</v>
      </c>
      <c r="AT48" s="709">
        <f t="shared" si="0"/>
        <v>0.44999999999999996</v>
      </c>
      <c r="AU48" s="709">
        <f t="shared" si="0"/>
        <v>2.25</v>
      </c>
      <c r="AV48" s="709">
        <f t="shared" si="0"/>
        <v>0</v>
      </c>
      <c r="AW48" s="709">
        <f t="shared" si="0"/>
        <v>0</v>
      </c>
      <c r="AX48" s="741">
        <f t="shared" si="0"/>
        <v>0</v>
      </c>
      <c r="AY48" s="761">
        <f t="shared" si="0"/>
        <v>0</v>
      </c>
      <c r="AZ48" s="20"/>
    </row>
    <row r="49" spans="2:54" ht="14.5">
      <c r="B49" s="706"/>
      <c r="C49" s="717" t="s">
        <v>26</v>
      </c>
      <c r="D49" s="726">
        <v>5</v>
      </c>
      <c r="E49" s="707">
        <f t="shared" ref="E49:AY49" si="1">SUM(E3:E48)</f>
        <v>5.75</v>
      </c>
      <c r="F49" s="707">
        <f t="shared" si="1"/>
        <v>6.9</v>
      </c>
      <c r="G49" s="707">
        <f t="shared" si="1"/>
        <v>16.675000000000001</v>
      </c>
      <c r="H49" s="707">
        <f t="shared" si="1"/>
        <v>0</v>
      </c>
      <c r="I49" s="707">
        <f t="shared" si="1"/>
        <v>4.0250000000000004</v>
      </c>
      <c r="J49" s="707">
        <f t="shared" si="1"/>
        <v>0</v>
      </c>
      <c r="K49" s="707">
        <f t="shared" si="1"/>
        <v>0</v>
      </c>
      <c r="L49" s="707">
        <f t="shared" si="1"/>
        <v>8.625</v>
      </c>
      <c r="M49" s="707">
        <f t="shared" si="1"/>
        <v>2.2999999999999998</v>
      </c>
      <c r="N49" s="707">
        <f t="shared" si="1"/>
        <v>0</v>
      </c>
      <c r="O49" s="707">
        <f t="shared" si="1"/>
        <v>0</v>
      </c>
      <c r="P49" s="742">
        <f t="shared" si="1"/>
        <v>0</v>
      </c>
      <c r="Q49" s="738">
        <f t="shared" si="1"/>
        <v>10.35</v>
      </c>
      <c r="R49" s="707">
        <f t="shared" si="1"/>
        <v>14.95</v>
      </c>
      <c r="S49" s="742">
        <f t="shared" si="1"/>
        <v>1.1499999999999999</v>
      </c>
      <c r="T49" s="742">
        <f t="shared" si="1"/>
        <v>1.1499999999999999</v>
      </c>
      <c r="U49" s="738">
        <f t="shared" si="1"/>
        <v>0</v>
      </c>
      <c r="V49" s="742">
        <f t="shared" si="1"/>
        <v>0</v>
      </c>
      <c r="W49" s="738">
        <f t="shared" si="1"/>
        <v>0</v>
      </c>
      <c r="X49" s="707">
        <f t="shared" si="1"/>
        <v>0</v>
      </c>
      <c r="Y49" s="707">
        <f t="shared" si="1"/>
        <v>0</v>
      </c>
      <c r="Z49" s="707">
        <f t="shared" si="1"/>
        <v>0</v>
      </c>
      <c r="AA49" s="707">
        <f t="shared" si="1"/>
        <v>0</v>
      </c>
      <c r="AB49" s="707">
        <f t="shared" si="1"/>
        <v>0</v>
      </c>
      <c r="AC49" s="742">
        <f t="shared" si="1"/>
        <v>0</v>
      </c>
      <c r="AD49" s="738">
        <f t="shared" si="1"/>
        <v>0</v>
      </c>
      <c r="AE49" s="707">
        <f t="shared" si="1"/>
        <v>0</v>
      </c>
      <c r="AF49" s="707">
        <f t="shared" si="1"/>
        <v>0</v>
      </c>
      <c r="AG49" s="707">
        <f t="shared" si="1"/>
        <v>0</v>
      </c>
      <c r="AH49" s="707">
        <f t="shared" si="1"/>
        <v>0</v>
      </c>
      <c r="AI49" s="707">
        <f t="shared" si="1"/>
        <v>0</v>
      </c>
      <c r="AJ49" s="742">
        <f t="shared" si="1"/>
        <v>0</v>
      </c>
      <c r="AK49" s="738">
        <f t="shared" si="1"/>
        <v>0</v>
      </c>
      <c r="AL49" s="707">
        <f t="shared" si="1"/>
        <v>0</v>
      </c>
      <c r="AM49" s="707">
        <f t="shared" si="1"/>
        <v>0</v>
      </c>
      <c r="AN49" s="707">
        <f t="shared" si="1"/>
        <v>0</v>
      </c>
      <c r="AO49" s="707">
        <f t="shared" si="1"/>
        <v>0</v>
      </c>
      <c r="AP49" s="707">
        <f t="shared" si="1"/>
        <v>0</v>
      </c>
      <c r="AQ49" s="742">
        <f t="shared" si="1"/>
        <v>0</v>
      </c>
      <c r="AR49" s="738">
        <f t="shared" si="1"/>
        <v>0</v>
      </c>
      <c r="AS49" s="707">
        <f t="shared" si="1"/>
        <v>0</v>
      </c>
      <c r="AT49" s="707">
        <f t="shared" si="1"/>
        <v>3.45</v>
      </c>
      <c r="AU49" s="707">
        <f t="shared" si="1"/>
        <v>17.25</v>
      </c>
      <c r="AV49" s="707">
        <f t="shared" si="1"/>
        <v>0</v>
      </c>
      <c r="AW49" s="707">
        <f t="shared" si="1"/>
        <v>0</v>
      </c>
      <c r="AX49" s="742">
        <f t="shared" si="1"/>
        <v>0</v>
      </c>
      <c r="AY49" s="762">
        <f t="shared" si="1"/>
        <v>0</v>
      </c>
      <c r="AZ49" s="567">
        <f>SUM(D49:AY49)</f>
        <v>97.575000000000017</v>
      </c>
    </row>
    <row r="50" spans="2:54" ht="14.5">
      <c r="B50" s="675"/>
      <c r="C50" s="718" t="s">
        <v>27</v>
      </c>
      <c r="D50" s="727">
        <v>8500</v>
      </c>
      <c r="E50" s="453">
        <v>8500</v>
      </c>
      <c r="F50" s="453">
        <v>14000</v>
      </c>
      <c r="G50" s="453">
        <v>14000</v>
      </c>
      <c r="H50" s="453">
        <v>8500</v>
      </c>
      <c r="I50" s="453">
        <v>8500</v>
      </c>
      <c r="J50" s="453">
        <v>8500</v>
      </c>
      <c r="K50" s="453">
        <v>8500</v>
      </c>
      <c r="L50" s="453">
        <v>8500</v>
      </c>
      <c r="M50" s="453">
        <v>14000</v>
      </c>
      <c r="N50" s="453">
        <v>8500</v>
      </c>
      <c r="O50" s="453">
        <v>8500</v>
      </c>
      <c r="P50" s="743">
        <v>8500</v>
      </c>
      <c r="Q50" s="452">
        <v>14000</v>
      </c>
      <c r="R50" s="453">
        <v>14000</v>
      </c>
      <c r="S50" s="743">
        <v>7500</v>
      </c>
      <c r="T50" s="453">
        <v>14000</v>
      </c>
      <c r="U50" s="452">
        <v>8500</v>
      </c>
      <c r="V50" s="743">
        <v>8500</v>
      </c>
      <c r="W50" s="452">
        <v>14000</v>
      </c>
      <c r="X50" s="453">
        <v>8500</v>
      </c>
      <c r="Y50" s="453">
        <v>14000</v>
      </c>
      <c r="Z50" s="453">
        <v>8500</v>
      </c>
      <c r="AA50" s="453">
        <v>8500</v>
      </c>
      <c r="AB50" s="453">
        <v>8500</v>
      </c>
      <c r="AC50" s="743">
        <v>8500</v>
      </c>
      <c r="AD50" s="452">
        <v>14000</v>
      </c>
      <c r="AE50" s="453">
        <v>8500</v>
      </c>
      <c r="AF50" s="453">
        <v>14000</v>
      </c>
      <c r="AG50" s="453">
        <v>8500</v>
      </c>
      <c r="AH50" s="453">
        <v>8500</v>
      </c>
      <c r="AI50" s="453">
        <v>8500</v>
      </c>
      <c r="AJ50" s="743">
        <v>8500</v>
      </c>
      <c r="AK50" s="452">
        <v>14000</v>
      </c>
      <c r="AL50" s="453">
        <v>8500</v>
      </c>
      <c r="AM50" s="453">
        <v>14000</v>
      </c>
      <c r="AN50" s="453">
        <v>8500</v>
      </c>
      <c r="AO50" s="453">
        <v>8500</v>
      </c>
      <c r="AP50" s="453">
        <v>8500</v>
      </c>
      <c r="AQ50" s="743">
        <v>8500</v>
      </c>
      <c r="AR50" s="452">
        <v>14000</v>
      </c>
      <c r="AS50" s="453">
        <v>8500</v>
      </c>
      <c r="AT50" s="453">
        <v>14000</v>
      </c>
      <c r="AU50" s="453">
        <v>8500</v>
      </c>
      <c r="AV50" s="453">
        <v>8500</v>
      </c>
      <c r="AW50" s="453">
        <v>8500</v>
      </c>
      <c r="AX50" s="743">
        <v>8500</v>
      </c>
      <c r="AY50" s="763">
        <v>8500</v>
      </c>
    </row>
    <row r="51" spans="2:54" ht="14.5">
      <c r="B51" s="677"/>
      <c r="C51" s="719" t="s">
        <v>28</v>
      </c>
      <c r="D51" s="728">
        <f t="shared" ref="D51:AY51" si="2">D49*D50</f>
        <v>42500</v>
      </c>
      <c r="E51" s="459">
        <f t="shared" si="2"/>
        <v>48875</v>
      </c>
      <c r="F51" s="459">
        <f t="shared" si="2"/>
        <v>96600</v>
      </c>
      <c r="G51" s="459">
        <f t="shared" si="2"/>
        <v>233450</v>
      </c>
      <c r="H51" s="459">
        <f t="shared" si="2"/>
        <v>0</v>
      </c>
      <c r="I51" s="459">
        <f t="shared" si="2"/>
        <v>34212.5</v>
      </c>
      <c r="J51" s="459">
        <f t="shared" si="2"/>
        <v>0</v>
      </c>
      <c r="K51" s="459">
        <f t="shared" si="2"/>
        <v>0</v>
      </c>
      <c r="L51" s="459">
        <f t="shared" si="2"/>
        <v>73312.5</v>
      </c>
      <c r="M51" s="459">
        <f t="shared" si="2"/>
        <v>32199.999999999996</v>
      </c>
      <c r="N51" s="459">
        <f t="shared" si="2"/>
        <v>0</v>
      </c>
      <c r="O51" s="459">
        <f t="shared" si="2"/>
        <v>0</v>
      </c>
      <c r="P51" s="744">
        <f t="shared" si="2"/>
        <v>0</v>
      </c>
      <c r="Q51" s="458">
        <f t="shared" si="2"/>
        <v>144900</v>
      </c>
      <c r="R51" s="459">
        <f t="shared" si="2"/>
        <v>209300</v>
      </c>
      <c r="S51" s="744">
        <f t="shared" si="2"/>
        <v>8625</v>
      </c>
      <c r="T51" s="744">
        <f t="shared" si="2"/>
        <v>16099.999999999998</v>
      </c>
      <c r="U51" s="458">
        <f t="shared" si="2"/>
        <v>0</v>
      </c>
      <c r="V51" s="744">
        <f t="shared" si="2"/>
        <v>0</v>
      </c>
      <c r="W51" s="458">
        <f t="shared" si="2"/>
        <v>0</v>
      </c>
      <c r="X51" s="459">
        <f t="shared" si="2"/>
        <v>0</v>
      </c>
      <c r="Y51" s="459">
        <f t="shared" si="2"/>
        <v>0</v>
      </c>
      <c r="Z51" s="459">
        <f t="shared" si="2"/>
        <v>0</v>
      </c>
      <c r="AA51" s="459">
        <f t="shared" si="2"/>
        <v>0</v>
      </c>
      <c r="AB51" s="459">
        <f t="shared" si="2"/>
        <v>0</v>
      </c>
      <c r="AC51" s="744">
        <f t="shared" si="2"/>
        <v>0</v>
      </c>
      <c r="AD51" s="458">
        <f t="shared" si="2"/>
        <v>0</v>
      </c>
      <c r="AE51" s="459">
        <f t="shared" si="2"/>
        <v>0</v>
      </c>
      <c r="AF51" s="459">
        <f t="shared" si="2"/>
        <v>0</v>
      </c>
      <c r="AG51" s="459">
        <f t="shared" si="2"/>
        <v>0</v>
      </c>
      <c r="AH51" s="459">
        <f t="shared" si="2"/>
        <v>0</v>
      </c>
      <c r="AI51" s="459">
        <f t="shared" si="2"/>
        <v>0</v>
      </c>
      <c r="AJ51" s="744">
        <f t="shared" si="2"/>
        <v>0</v>
      </c>
      <c r="AK51" s="458">
        <f t="shared" si="2"/>
        <v>0</v>
      </c>
      <c r="AL51" s="459">
        <f t="shared" si="2"/>
        <v>0</v>
      </c>
      <c r="AM51" s="459">
        <f t="shared" si="2"/>
        <v>0</v>
      </c>
      <c r="AN51" s="459">
        <f t="shared" si="2"/>
        <v>0</v>
      </c>
      <c r="AO51" s="459">
        <f t="shared" si="2"/>
        <v>0</v>
      </c>
      <c r="AP51" s="459">
        <f t="shared" si="2"/>
        <v>0</v>
      </c>
      <c r="AQ51" s="744">
        <f t="shared" si="2"/>
        <v>0</v>
      </c>
      <c r="AR51" s="458">
        <f t="shared" si="2"/>
        <v>0</v>
      </c>
      <c r="AS51" s="459">
        <f t="shared" si="2"/>
        <v>0</v>
      </c>
      <c r="AT51" s="459">
        <f t="shared" si="2"/>
        <v>48300</v>
      </c>
      <c r="AU51" s="459">
        <f t="shared" si="2"/>
        <v>146625</v>
      </c>
      <c r="AV51" s="459">
        <f t="shared" si="2"/>
        <v>0</v>
      </c>
      <c r="AW51" s="459">
        <f t="shared" si="2"/>
        <v>0</v>
      </c>
      <c r="AX51" s="744">
        <f t="shared" si="2"/>
        <v>0</v>
      </c>
      <c r="AY51" s="764">
        <f t="shared" si="2"/>
        <v>0</v>
      </c>
      <c r="AZ51" s="512">
        <f>SUM(D51:AY51)</f>
        <v>1135000</v>
      </c>
      <c r="BA51" s="281"/>
      <c r="BB51" s="281"/>
    </row>
    <row r="52" spans="2:54" ht="13.5" customHeight="1">
      <c r="D52" s="19" t="s">
        <v>124</v>
      </c>
      <c r="E52" s="19" t="s">
        <v>124</v>
      </c>
      <c r="F52" s="19" t="s">
        <v>124</v>
      </c>
      <c r="G52" s="19" t="s">
        <v>124</v>
      </c>
      <c r="I52" s="19" t="s">
        <v>124</v>
      </c>
      <c r="L52" s="19" t="s">
        <v>124</v>
      </c>
      <c r="M52" s="19" t="s">
        <v>124</v>
      </c>
      <c r="O52" s="19" t="s">
        <v>124</v>
      </c>
      <c r="P52" s="19" t="s">
        <v>124</v>
      </c>
      <c r="W52" s="19" t="s">
        <v>124</v>
      </c>
      <c r="X52" s="19" t="s">
        <v>124</v>
      </c>
      <c r="AE52" s="19" t="s">
        <v>124</v>
      </c>
      <c r="AL52" s="19" t="s">
        <v>124</v>
      </c>
      <c r="AM52" s="19" t="s">
        <v>124</v>
      </c>
      <c r="AS52" s="19" t="s">
        <v>124</v>
      </c>
      <c r="AY52" s="19" t="s">
        <v>124</v>
      </c>
      <c r="BB52" s="281"/>
    </row>
    <row r="53" spans="2:54" ht="14.5">
      <c r="C53" s="20" t="s">
        <v>125</v>
      </c>
      <c r="D53" s="19">
        <f t="shared" ref="D53:P53" si="3">D49*8</f>
        <v>40</v>
      </c>
      <c r="E53" s="19">
        <f t="shared" si="3"/>
        <v>46</v>
      </c>
      <c r="F53" s="19">
        <f t="shared" si="3"/>
        <v>55.2</v>
      </c>
      <c r="G53" s="19">
        <f t="shared" si="3"/>
        <v>133.4</v>
      </c>
      <c r="H53" s="19">
        <f t="shared" si="3"/>
        <v>0</v>
      </c>
      <c r="I53" s="19">
        <f t="shared" si="3"/>
        <v>32.200000000000003</v>
      </c>
      <c r="J53" s="19">
        <f t="shared" si="3"/>
        <v>0</v>
      </c>
      <c r="K53" s="19">
        <f t="shared" si="3"/>
        <v>0</v>
      </c>
      <c r="L53" s="19">
        <f t="shared" si="3"/>
        <v>69</v>
      </c>
      <c r="M53" s="19">
        <f t="shared" si="3"/>
        <v>18.399999999999999</v>
      </c>
      <c r="N53" s="19">
        <f t="shared" si="3"/>
        <v>0</v>
      </c>
      <c r="O53" s="19">
        <f t="shared" si="3"/>
        <v>0</v>
      </c>
      <c r="P53" s="19">
        <f t="shared" si="3"/>
        <v>0</v>
      </c>
      <c r="R53" s="19">
        <f>R49*8</f>
        <v>119.6</v>
      </c>
      <c r="S53" s="19">
        <f>S49*8</f>
        <v>9.1999999999999993</v>
      </c>
      <c r="T53" s="19">
        <f>T49*8</f>
        <v>9.1999999999999993</v>
      </c>
      <c r="W53" s="19">
        <f>W49*8</f>
        <v>0</v>
      </c>
      <c r="X53" s="19">
        <f>X49*8</f>
        <v>0</v>
      </c>
      <c r="AC53" s="19">
        <f>AC49*8</f>
        <v>0</v>
      </c>
      <c r="AD53" s="19">
        <f>AD49*8</f>
        <v>0</v>
      </c>
      <c r="AE53" s="19">
        <f>AE49*8</f>
        <v>0</v>
      </c>
      <c r="AJ53" s="19">
        <f>AJ49*8</f>
        <v>0</v>
      </c>
      <c r="AK53" s="19">
        <f>AK49*8</f>
        <v>0</v>
      </c>
      <c r="AL53" s="19">
        <f>AL49*8</f>
        <v>0</v>
      </c>
      <c r="AQ53" s="19">
        <f>AQ49*8</f>
        <v>0</v>
      </c>
      <c r="AR53" s="19">
        <f>AR49*8</f>
        <v>0</v>
      </c>
      <c r="AS53" s="19">
        <f>AS49*8</f>
        <v>0</v>
      </c>
      <c r="AX53" s="19">
        <f>AX49*8</f>
        <v>0</v>
      </c>
      <c r="AY53" s="19">
        <f>AY49*8</f>
        <v>0</v>
      </c>
    </row>
    <row r="55" spans="2:54" ht="61.5">
      <c r="C55" s="228" t="s">
        <v>126</v>
      </c>
      <c r="D55" s="19" t="s">
        <v>127</v>
      </c>
      <c r="E55" s="19" t="s">
        <v>128</v>
      </c>
      <c r="F55" s="19" t="s">
        <v>129</v>
      </c>
      <c r="G55" s="19" t="s">
        <v>130</v>
      </c>
      <c r="H55" s="19" t="s">
        <v>131</v>
      </c>
      <c r="J55" s="693" t="s">
        <v>132</v>
      </c>
      <c r="K55" s="693" t="s">
        <v>133</v>
      </c>
      <c r="L55" s="693" t="s">
        <v>134</v>
      </c>
      <c r="M55" s="693" t="s">
        <v>135</v>
      </c>
      <c r="N55" s="693" t="s">
        <v>136</v>
      </c>
      <c r="P55" s="20"/>
      <c r="Q55" s="693" t="s">
        <v>132</v>
      </c>
      <c r="R55" s="693" t="s">
        <v>133</v>
      </c>
      <c r="S55" s="693" t="s">
        <v>134</v>
      </c>
      <c r="T55" s="693" t="s">
        <v>134</v>
      </c>
      <c r="U55" s="693" t="s">
        <v>135</v>
      </c>
      <c r="V55" s="693" t="s">
        <v>136</v>
      </c>
      <c r="W55" s="20"/>
      <c r="X55" s="693" t="s">
        <v>132</v>
      </c>
      <c r="Y55" s="693" t="s">
        <v>133</v>
      </c>
      <c r="Z55" s="693" t="s">
        <v>134</v>
      </c>
      <c r="AA55" s="693" t="s">
        <v>135</v>
      </c>
      <c r="AB55" s="693" t="s">
        <v>136</v>
      </c>
      <c r="AC55" s="20"/>
      <c r="AD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</row>
    <row r="56" spans="2:54" ht="43">
      <c r="D56" s="19" t="s">
        <v>137</v>
      </c>
      <c r="E56" s="19" t="s">
        <v>138</v>
      </c>
      <c r="F56" s="19">
        <v>20</v>
      </c>
      <c r="G56" s="694">
        <v>8500</v>
      </c>
      <c r="H56" s="694">
        <f t="shared" ref="H56:H73" si="4">F56*G56</f>
        <v>170000</v>
      </c>
      <c r="J56" s="60" t="s">
        <v>139</v>
      </c>
      <c r="K56" s="60" t="s">
        <v>140</v>
      </c>
      <c r="L56" s="692">
        <v>17</v>
      </c>
      <c r="M56" s="694">
        <v>8500</v>
      </c>
      <c r="N56" s="694">
        <f t="shared" ref="N56:N73" si="5">L56*M56</f>
        <v>144500</v>
      </c>
      <c r="P56" s="20"/>
      <c r="Q56" s="60" t="s">
        <v>139</v>
      </c>
      <c r="R56" s="60" t="s">
        <v>140</v>
      </c>
      <c r="S56" s="60">
        <v>17</v>
      </c>
      <c r="T56" s="60">
        <v>17</v>
      </c>
      <c r="U56" s="695">
        <v>8500</v>
      </c>
      <c r="V56" s="695">
        <f t="shared" ref="V56:V72" si="6">T56*U56</f>
        <v>144500</v>
      </c>
      <c r="W56" s="20"/>
      <c r="X56" s="696" t="s">
        <v>139</v>
      </c>
      <c r="Y56" s="696" t="s">
        <v>140</v>
      </c>
      <c r="Z56" s="60">
        <v>17</v>
      </c>
      <c r="AA56" s="695">
        <v>8500</v>
      </c>
      <c r="AB56" s="695">
        <v>144500</v>
      </c>
      <c r="AC56" s="20"/>
      <c r="AD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</row>
    <row r="57" spans="2:54" ht="13.5" customHeight="1">
      <c r="D57" s="19" t="s">
        <v>141</v>
      </c>
      <c r="E57" s="19" t="s">
        <v>142</v>
      </c>
      <c r="F57" s="19">
        <v>37.5</v>
      </c>
      <c r="G57" s="694">
        <v>8500</v>
      </c>
      <c r="H57" s="694">
        <f t="shared" si="4"/>
        <v>318750</v>
      </c>
      <c r="J57" s="60" t="s">
        <v>143</v>
      </c>
      <c r="K57" s="60" t="s">
        <v>144</v>
      </c>
      <c r="L57" s="692">
        <v>29</v>
      </c>
      <c r="M57" s="694">
        <v>8500</v>
      </c>
      <c r="N57" s="694">
        <f t="shared" si="5"/>
        <v>246500</v>
      </c>
      <c r="P57" s="20"/>
      <c r="Q57" s="60" t="s">
        <v>143</v>
      </c>
      <c r="R57" s="60" t="s">
        <v>144</v>
      </c>
      <c r="S57" s="60">
        <v>29</v>
      </c>
      <c r="T57" s="60">
        <v>29</v>
      </c>
      <c r="U57" s="695">
        <v>8500</v>
      </c>
      <c r="V57" s="695">
        <f t="shared" si="6"/>
        <v>246500</v>
      </c>
      <c r="W57" s="20"/>
      <c r="X57" s="696" t="s">
        <v>143</v>
      </c>
      <c r="Y57" s="696" t="s">
        <v>144</v>
      </c>
      <c r="Z57" s="60">
        <v>29</v>
      </c>
      <c r="AA57" s="695">
        <v>8500</v>
      </c>
      <c r="AB57" s="695">
        <v>246500</v>
      </c>
      <c r="AC57" s="20"/>
      <c r="AD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</row>
    <row r="58" spans="2:54" ht="13.5" customHeight="1">
      <c r="D58" s="19" t="s">
        <v>141</v>
      </c>
      <c r="E58" s="19" t="s">
        <v>5</v>
      </c>
      <c r="F58" s="19">
        <v>13.5</v>
      </c>
      <c r="G58" s="694">
        <v>14000</v>
      </c>
      <c r="H58" s="694">
        <f t="shared" si="4"/>
        <v>189000</v>
      </c>
      <c r="J58" s="60" t="s">
        <v>145</v>
      </c>
      <c r="K58" s="60" t="s">
        <v>146</v>
      </c>
      <c r="L58" s="692">
        <v>12</v>
      </c>
      <c r="M58" s="694">
        <v>14000</v>
      </c>
      <c r="N58" s="694">
        <f t="shared" si="5"/>
        <v>168000</v>
      </c>
      <c r="P58" s="20"/>
      <c r="Q58" s="60" t="s">
        <v>145</v>
      </c>
      <c r="R58" s="60" t="s">
        <v>146</v>
      </c>
      <c r="S58" s="60">
        <v>12</v>
      </c>
      <c r="T58" s="60">
        <v>12</v>
      </c>
      <c r="U58" s="695">
        <v>14000</v>
      </c>
      <c r="V58" s="695">
        <f t="shared" si="6"/>
        <v>168000</v>
      </c>
      <c r="W58" s="20"/>
      <c r="X58" s="696" t="s">
        <v>145</v>
      </c>
      <c r="Y58" s="696" t="s">
        <v>146</v>
      </c>
      <c r="Z58" s="60">
        <v>12</v>
      </c>
      <c r="AA58" s="695">
        <v>14000</v>
      </c>
      <c r="AB58" s="695">
        <v>168000</v>
      </c>
      <c r="AC58" s="20"/>
      <c r="AD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</row>
    <row r="59" spans="2:54" ht="13.5" customHeight="1">
      <c r="D59" s="19" t="s">
        <v>141</v>
      </c>
      <c r="E59" s="19" t="s">
        <v>108</v>
      </c>
      <c r="F59" s="19">
        <v>35</v>
      </c>
      <c r="G59" s="694">
        <v>14000</v>
      </c>
      <c r="H59" s="694">
        <f t="shared" si="4"/>
        <v>490000</v>
      </c>
      <c r="J59" s="60" t="s">
        <v>147</v>
      </c>
      <c r="K59" s="60" t="s">
        <v>148</v>
      </c>
      <c r="L59" s="692">
        <v>33</v>
      </c>
      <c r="M59" s="694">
        <v>14000</v>
      </c>
      <c r="N59" s="694">
        <f t="shared" si="5"/>
        <v>462000</v>
      </c>
      <c r="P59" s="20"/>
      <c r="Q59" s="60" t="s">
        <v>147</v>
      </c>
      <c r="R59" s="60" t="s">
        <v>148</v>
      </c>
      <c r="S59" s="60">
        <v>33</v>
      </c>
      <c r="T59" s="60">
        <v>33</v>
      </c>
      <c r="U59" s="695">
        <v>14000</v>
      </c>
      <c r="V59" s="695">
        <f t="shared" si="6"/>
        <v>462000</v>
      </c>
      <c r="W59" s="20"/>
      <c r="X59" s="696" t="s">
        <v>147</v>
      </c>
      <c r="Y59" s="696" t="s">
        <v>148</v>
      </c>
      <c r="Z59" s="60">
        <v>33</v>
      </c>
      <c r="AA59" s="695">
        <v>14000</v>
      </c>
      <c r="AB59" s="695">
        <v>462000</v>
      </c>
      <c r="AC59" s="20"/>
      <c r="AD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</row>
    <row r="60" spans="2:54" ht="13.5" customHeight="1">
      <c r="D60" s="19" t="s">
        <v>141</v>
      </c>
      <c r="E60" s="690" t="s">
        <v>7</v>
      </c>
      <c r="F60" s="19">
        <v>13</v>
      </c>
      <c r="G60" s="694">
        <v>8500</v>
      </c>
      <c r="H60" s="694">
        <f t="shared" si="4"/>
        <v>110500</v>
      </c>
      <c r="J60" s="60" t="s">
        <v>149</v>
      </c>
      <c r="K60" s="60" t="s">
        <v>150</v>
      </c>
      <c r="L60" s="692">
        <v>13</v>
      </c>
      <c r="M60" s="694">
        <v>8500</v>
      </c>
      <c r="N60" s="694">
        <f t="shared" si="5"/>
        <v>110500</v>
      </c>
      <c r="P60" s="20"/>
      <c r="Q60" s="60" t="s">
        <v>149</v>
      </c>
      <c r="R60" s="60" t="s">
        <v>150</v>
      </c>
      <c r="S60" s="60">
        <v>13</v>
      </c>
      <c r="T60" s="60">
        <v>13</v>
      </c>
      <c r="U60" s="695">
        <v>8500</v>
      </c>
      <c r="V60" s="695">
        <f t="shared" si="6"/>
        <v>110500</v>
      </c>
      <c r="W60" s="20"/>
      <c r="X60" s="696" t="s">
        <v>149</v>
      </c>
      <c r="Y60" s="696" t="s">
        <v>150</v>
      </c>
      <c r="Z60" s="60">
        <v>13</v>
      </c>
      <c r="AA60" s="695">
        <v>8500</v>
      </c>
      <c r="AB60" s="695">
        <v>110500</v>
      </c>
      <c r="AC60" s="20"/>
      <c r="AD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</row>
    <row r="61" spans="2:54" ht="13.5" customHeight="1">
      <c r="D61" s="19" t="s">
        <v>60</v>
      </c>
      <c r="E61" s="691" t="s">
        <v>71</v>
      </c>
      <c r="F61" s="19">
        <v>17</v>
      </c>
      <c r="G61" s="694">
        <v>14000</v>
      </c>
      <c r="H61" s="694">
        <f t="shared" si="4"/>
        <v>238000</v>
      </c>
      <c r="J61" s="60" t="s">
        <v>151</v>
      </c>
      <c r="K61" s="60" t="s">
        <v>152</v>
      </c>
      <c r="L61" s="692">
        <v>16</v>
      </c>
      <c r="M61" s="694">
        <v>14000</v>
      </c>
      <c r="N61" s="694">
        <f t="shared" si="5"/>
        <v>224000</v>
      </c>
      <c r="P61" s="20"/>
      <c r="Q61" s="60" t="s">
        <v>182</v>
      </c>
      <c r="R61" s="60" t="s">
        <v>152</v>
      </c>
      <c r="S61" s="60">
        <v>16</v>
      </c>
      <c r="T61" s="60">
        <v>16</v>
      </c>
      <c r="U61" s="695">
        <v>14000</v>
      </c>
      <c r="V61" s="695">
        <f t="shared" si="6"/>
        <v>224000</v>
      </c>
      <c r="W61" s="20"/>
      <c r="X61" s="696" t="s">
        <v>182</v>
      </c>
      <c r="Y61" s="696" t="s">
        <v>152</v>
      </c>
      <c r="Z61" s="60">
        <v>16</v>
      </c>
      <c r="AA61" s="695">
        <v>14000</v>
      </c>
      <c r="AB61" s="695">
        <v>224000</v>
      </c>
      <c r="AC61" s="20"/>
      <c r="AD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</row>
    <row r="62" spans="2:54" ht="13.5" customHeight="1">
      <c r="D62" s="19" t="s">
        <v>60</v>
      </c>
      <c r="E62" s="19" t="s">
        <v>153</v>
      </c>
      <c r="F62" s="19">
        <v>5</v>
      </c>
      <c r="G62" s="694">
        <v>7500</v>
      </c>
      <c r="H62" s="694">
        <f t="shared" si="4"/>
        <v>37500</v>
      </c>
      <c r="J62" s="19" t="s">
        <v>154</v>
      </c>
      <c r="K62" s="19" t="s">
        <v>153</v>
      </c>
      <c r="L62" s="692">
        <v>5</v>
      </c>
      <c r="M62" s="694">
        <v>7500</v>
      </c>
      <c r="N62" s="694">
        <f t="shared" si="5"/>
        <v>37500</v>
      </c>
      <c r="P62" s="20"/>
      <c r="Q62" s="60" t="s">
        <v>154</v>
      </c>
      <c r="R62" s="60" t="s">
        <v>153</v>
      </c>
      <c r="S62" s="60">
        <v>5</v>
      </c>
      <c r="T62" s="60">
        <v>5</v>
      </c>
      <c r="U62" s="695">
        <v>7500</v>
      </c>
      <c r="V62" s="695">
        <f t="shared" si="6"/>
        <v>37500</v>
      </c>
      <c r="W62" s="20"/>
      <c r="X62" s="696" t="s">
        <v>154</v>
      </c>
      <c r="Y62" s="696" t="s">
        <v>153</v>
      </c>
      <c r="Z62" s="60">
        <v>5</v>
      </c>
      <c r="AA62" s="695">
        <v>7500</v>
      </c>
      <c r="AB62" s="695">
        <v>37500</v>
      </c>
      <c r="AC62" s="20"/>
      <c r="AD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</row>
    <row r="63" spans="2:54" ht="13.5" customHeight="1">
      <c r="D63" s="19" t="s">
        <v>155</v>
      </c>
      <c r="E63" s="19" t="s">
        <v>74</v>
      </c>
      <c r="F63" s="19">
        <v>0.5</v>
      </c>
      <c r="G63" s="694">
        <v>14000</v>
      </c>
      <c r="H63" s="694">
        <f t="shared" si="4"/>
        <v>7000</v>
      </c>
      <c r="J63" s="60" t="s">
        <v>156</v>
      </c>
      <c r="K63" s="60" t="s">
        <v>157</v>
      </c>
      <c r="L63" s="692">
        <v>1</v>
      </c>
      <c r="M63" s="694">
        <v>14000</v>
      </c>
      <c r="N63" s="694">
        <f t="shared" si="5"/>
        <v>14000</v>
      </c>
      <c r="P63" s="20"/>
      <c r="Q63" s="60" t="s">
        <v>156</v>
      </c>
      <c r="R63" s="60" t="s">
        <v>157</v>
      </c>
      <c r="S63" s="60">
        <v>1</v>
      </c>
      <c r="T63" s="60">
        <v>1</v>
      </c>
      <c r="U63" s="695">
        <v>14000</v>
      </c>
      <c r="V63" s="695">
        <f t="shared" si="6"/>
        <v>14000</v>
      </c>
      <c r="W63" s="20"/>
      <c r="X63" s="696" t="s">
        <v>156</v>
      </c>
      <c r="Y63" s="696" t="s">
        <v>157</v>
      </c>
      <c r="Z63" s="60">
        <v>1</v>
      </c>
      <c r="AA63" s="695">
        <v>14000</v>
      </c>
      <c r="AB63" s="695">
        <v>14000</v>
      </c>
      <c r="AC63" s="20"/>
      <c r="AD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</row>
    <row r="64" spans="2:54" ht="13.5" customHeight="1">
      <c r="D64" s="19" t="s">
        <v>155</v>
      </c>
      <c r="E64" s="19" t="s">
        <v>142</v>
      </c>
      <c r="F64" s="19">
        <v>0.75</v>
      </c>
      <c r="G64" s="694">
        <v>8500</v>
      </c>
      <c r="H64" s="694">
        <f t="shared" si="4"/>
        <v>6375</v>
      </c>
      <c r="J64" s="60" t="s">
        <v>158</v>
      </c>
      <c r="K64" s="60" t="s">
        <v>150</v>
      </c>
      <c r="L64" s="692">
        <v>1</v>
      </c>
      <c r="M64" s="694">
        <v>8500</v>
      </c>
      <c r="N64" s="694">
        <f t="shared" si="5"/>
        <v>8500</v>
      </c>
      <c r="P64" s="20"/>
      <c r="Q64" s="60" t="s">
        <v>158</v>
      </c>
      <c r="R64" s="60" t="s">
        <v>150</v>
      </c>
      <c r="S64" s="60">
        <v>1</v>
      </c>
      <c r="T64" s="60">
        <v>1</v>
      </c>
      <c r="U64" s="695">
        <v>8500</v>
      </c>
      <c r="V64" s="695">
        <f t="shared" si="6"/>
        <v>8500</v>
      </c>
      <c r="W64" s="20"/>
      <c r="X64" s="696" t="s">
        <v>158</v>
      </c>
      <c r="Y64" s="696" t="s">
        <v>150</v>
      </c>
      <c r="Z64" s="60">
        <v>1</v>
      </c>
      <c r="AA64" s="695">
        <v>8500</v>
      </c>
      <c r="AB64" s="695">
        <v>8500</v>
      </c>
      <c r="AC64" s="20"/>
      <c r="AD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</row>
    <row r="65" spans="4:52" ht="13.5" customHeight="1">
      <c r="D65" s="19" t="s">
        <v>63</v>
      </c>
      <c r="E65" s="19" t="s">
        <v>142</v>
      </c>
      <c r="F65" s="19">
        <v>0.5</v>
      </c>
      <c r="G65" s="694">
        <v>8500</v>
      </c>
      <c r="H65" s="694">
        <f t="shared" si="4"/>
        <v>4250</v>
      </c>
      <c r="J65" s="60" t="s">
        <v>159</v>
      </c>
      <c r="K65" s="60" t="s">
        <v>150</v>
      </c>
      <c r="L65" s="692">
        <v>1</v>
      </c>
      <c r="M65" s="694">
        <v>8500</v>
      </c>
      <c r="N65" s="694">
        <f t="shared" si="5"/>
        <v>8500</v>
      </c>
      <c r="P65" s="20"/>
      <c r="Q65" s="60" t="s">
        <v>159</v>
      </c>
      <c r="R65" s="60" t="s">
        <v>150</v>
      </c>
      <c r="S65" s="60">
        <v>2</v>
      </c>
      <c r="T65" s="60">
        <v>2</v>
      </c>
      <c r="U65" s="695">
        <v>8500</v>
      </c>
      <c r="V65" s="695">
        <f t="shared" si="6"/>
        <v>17000</v>
      </c>
      <c r="W65" s="20"/>
      <c r="X65" s="696" t="s">
        <v>159</v>
      </c>
      <c r="Y65" s="696" t="s">
        <v>150</v>
      </c>
      <c r="Z65" s="60">
        <v>2</v>
      </c>
      <c r="AA65" s="695">
        <v>8500</v>
      </c>
      <c r="AB65" s="695">
        <v>17000</v>
      </c>
      <c r="AC65" s="20"/>
      <c r="AD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</row>
    <row r="66" spans="4:52" ht="13.5" customHeight="1">
      <c r="D66" s="19" t="s">
        <v>64</v>
      </c>
      <c r="E66" s="19" t="s">
        <v>142</v>
      </c>
      <c r="F66" s="19">
        <v>0.75</v>
      </c>
      <c r="G66" s="694">
        <v>8500</v>
      </c>
      <c r="H66" s="694">
        <f t="shared" si="4"/>
        <v>6375</v>
      </c>
      <c r="J66" s="60" t="s">
        <v>159</v>
      </c>
      <c r="K66" s="60" t="s">
        <v>150</v>
      </c>
      <c r="L66" s="692">
        <v>1</v>
      </c>
      <c r="M66" s="694">
        <v>8500</v>
      </c>
      <c r="N66" s="694">
        <f t="shared" si="5"/>
        <v>8500</v>
      </c>
      <c r="P66" s="20"/>
      <c r="Q66" s="60" t="s">
        <v>162</v>
      </c>
      <c r="R66" s="60" t="s">
        <v>163</v>
      </c>
      <c r="S66" s="60">
        <v>1</v>
      </c>
      <c r="T66" s="60">
        <v>1</v>
      </c>
      <c r="U66" s="695">
        <v>8500</v>
      </c>
      <c r="V66" s="695">
        <f t="shared" si="6"/>
        <v>8500</v>
      </c>
      <c r="W66" s="20"/>
      <c r="X66" s="696" t="s">
        <v>162</v>
      </c>
      <c r="Y66" s="696" t="s">
        <v>163</v>
      </c>
      <c r="Z66" s="60">
        <v>1</v>
      </c>
      <c r="AA66" s="695">
        <v>8500</v>
      </c>
      <c r="AB66" s="695">
        <v>8500</v>
      </c>
      <c r="AC66" s="20"/>
      <c r="AD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</row>
    <row r="67" spans="4:52" ht="13.5" customHeight="1">
      <c r="D67" s="19" t="s">
        <v>160</v>
      </c>
      <c r="E67" s="19" t="s">
        <v>161</v>
      </c>
      <c r="F67" s="19">
        <v>0.5</v>
      </c>
      <c r="G67" s="694">
        <v>8500</v>
      </c>
      <c r="H67" s="694">
        <f t="shared" si="4"/>
        <v>4250</v>
      </c>
      <c r="J67" s="60" t="s">
        <v>162</v>
      </c>
      <c r="K67" s="60" t="s">
        <v>163</v>
      </c>
      <c r="L67" s="692">
        <v>1</v>
      </c>
      <c r="M67" s="694">
        <v>8500</v>
      </c>
      <c r="N67" s="694">
        <f t="shared" si="5"/>
        <v>8500</v>
      </c>
      <c r="P67" s="20"/>
      <c r="Q67" s="60" t="s">
        <v>165</v>
      </c>
      <c r="R67" s="60" t="s">
        <v>144</v>
      </c>
      <c r="S67" s="60">
        <v>1</v>
      </c>
      <c r="T67" s="60">
        <v>1</v>
      </c>
      <c r="U67" s="695">
        <v>8500</v>
      </c>
      <c r="V67" s="695">
        <f t="shared" si="6"/>
        <v>8500</v>
      </c>
      <c r="W67" s="20"/>
      <c r="X67" s="696" t="s">
        <v>165</v>
      </c>
      <c r="Y67" s="696" t="s">
        <v>144</v>
      </c>
      <c r="Z67" s="60">
        <v>1</v>
      </c>
      <c r="AA67" s="695">
        <v>8500</v>
      </c>
      <c r="AB67" s="695">
        <v>8500</v>
      </c>
      <c r="AC67" s="20"/>
      <c r="AD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</row>
    <row r="68" spans="4:52" ht="13.5" customHeight="1">
      <c r="D68" s="19" t="s">
        <v>164</v>
      </c>
      <c r="E68" s="19" t="s">
        <v>142</v>
      </c>
      <c r="F68" s="19">
        <v>0.5</v>
      </c>
      <c r="G68" s="694">
        <v>8500</v>
      </c>
      <c r="H68" s="694">
        <f t="shared" si="4"/>
        <v>4250</v>
      </c>
      <c r="J68" s="60" t="s">
        <v>165</v>
      </c>
      <c r="K68" s="60" t="s">
        <v>144</v>
      </c>
      <c r="L68" s="692">
        <v>1</v>
      </c>
      <c r="M68" s="694">
        <v>8500</v>
      </c>
      <c r="N68" s="694">
        <f t="shared" si="5"/>
        <v>8500</v>
      </c>
      <c r="P68" s="20"/>
      <c r="Q68" s="60" t="s">
        <v>167</v>
      </c>
      <c r="R68" s="60" t="s">
        <v>168</v>
      </c>
      <c r="S68" s="60">
        <v>5</v>
      </c>
      <c r="T68" s="60">
        <v>5</v>
      </c>
      <c r="U68" s="695">
        <v>8500</v>
      </c>
      <c r="V68" s="695">
        <f t="shared" si="6"/>
        <v>42500</v>
      </c>
      <c r="W68" s="20"/>
      <c r="X68" s="696" t="s">
        <v>167</v>
      </c>
      <c r="Y68" s="696" t="s">
        <v>168</v>
      </c>
      <c r="Z68" s="60">
        <v>5</v>
      </c>
      <c r="AA68" s="695">
        <v>8500</v>
      </c>
      <c r="AB68" s="695">
        <v>42500</v>
      </c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</row>
    <row r="69" spans="4:52" ht="13.5" customHeight="1">
      <c r="D69" s="19" t="s">
        <v>137</v>
      </c>
      <c r="E69" s="19" t="s">
        <v>166</v>
      </c>
      <c r="F69" s="19">
        <v>6</v>
      </c>
      <c r="G69" s="694">
        <v>8500</v>
      </c>
      <c r="H69" s="694">
        <f t="shared" si="4"/>
        <v>51000</v>
      </c>
      <c r="J69" s="60" t="s">
        <v>167</v>
      </c>
      <c r="K69" s="60" t="s">
        <v>168</v>
      </c>
      <c r="L69" s="692">
        <v>5</v>
      </c>
      <c r="M69" s="694">
        <v>8500</v>
      </c>
      <c r="N69" s="694">
        <f t="shared" si="5"/>
        <v>42500</v>
      </c>
      <c r="P69" s="20"/>
      <c r="Q69" s="60" t="s">
        <v>170</v>
      </c>
      <c r="R69" s="60" t="s">
        <v>171</v>
      </c>
      <c r="S69" s="60">
        <v>1</v>
      </c>
      <c r="T69" s="60">
        <v>1</v>
      </c>
      <c r="U69" s="695">
        <v>14000</v>
      </c>
      <c r="V69" s="695">
        <f t="shared" si="6"/>
        <v>14000</v>
      </c>
      <c r="W69" s="20"/>
      <c r="X69" s="696" t="s">
        <v>170</v>
      </c>
      <c r="Y69" s="696" t="s">
        <v>171</v>
      </c>
      <c r="Z69" s="60">
        <v>1</v>
      </c>
      <c r="AA69" s="695">
        <v>14000</v>
      </c>
      <c r="AB69" s="695">
        <v>14000</v>
      </c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</row>
    <row r="70" spans="4:52" ht="13.5" customHeight="1">
      <c r="D70" s="19" t="s">
        <v>137</v>
      </c>
      <c r="E70" s="19" t="s">
        <v>169</v>
      </c>
      <c r="F70" s="19">
        <v>0.5</v>
      </c>
      <c r="G70" s="694">
        <v>14000</v>
      </c>
      <c r="H70" s="694">
        <f t="shared" si="4"/>
        <v>7000</v>
      </c>
      <c r="J70" s="60" t="s">
        <v>170</v>
      </c>
      <c r="K70" s="60" t="s">
        <v>171</v>
      </c>
      <c r="L70" s="692">
        <v>1</v>
      </c>
      <c r="M70" s="694">
        <v>14000</v>
      </c>
      <c r="N70" s="694">
        <f t="shared" si="5"/>
        <v>14000</v>
      </c>
      <c r="P70" s="20"/>
      <c r="Q70" s="60" t="s">
        <v>173</v>
      </c>
      <c r="R70" s="60" t="s">
        <v>174</v>
      </c>
      <c r="S70" s="60">
        <v>3</v>
      </c>
      <c r="T70" s="60">
        <v>3</v>
      </c>
      <c r="U70" s="695">
        <v>8500</v>
      </c>
      <c r="V70" s="695">
        <f t="shared" si="6"/>
        <v>25500</v>
      </c>
      <c r="W70" s="20"/>
      <c r="X70" s="696" t="s">
        <v>173</v>
      </c>
      <c r="Y70" s="696" t="s">
        <v>174</v>
      </c>
      <c r="Z70" s="60">
        <v>3</v>
      </c>
      <c r="AA70" s="695">
        <v>8500</v>
      </c>
      <c r="AB70" s="695">
        <v>25500</v>
      </c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</row>
    <row r="71" spans="4:52" ht="13.5" customHeight="1">
      <c r="D71" s="19" t="s">
        <v>137</v>
      </c>
      <c r="E71" s="19" t="s">
        <v>172</v>
      </c>
      <c r="F71" s="19">
        <v>3</v>
      </c>
      <c r="G71" s="694">
        <v>8500</v>
      </c>
      <c r="H71" s="694">
        <f t="shared" si="4"/>
        <v>25500</v>
      </c>
      <c r="J71" s="19" t="s">
        <v>173</v>
      </c>
      <c r="K71" s="19" t="s">
        <v>174</v>
      </c>
      <c r="L71" s="692">
        <v>3</v>
      </c>
      <c r="M71" s="694">
        <v>8500</v>
      </c>
      <c r="N71" s="694">
        <f t="shared" si="5"/>
        <v>25500</v>
      </c>
      <c r="P71" s="20"/>
      <c r="Q71" s="60" t="s">
        <v>175</v>
      </c>
      <c r="R71" s="60" t="s">
        <v>176</v>
      </c>
      <c r="S71" s="60">
        <v>2</v>
      </c>
      <c r="T71" s="60">
        <v>2</v>
      </c>
      <c r="U71" s="695">
        <v>8500</v>
      </c>
      <c r="V71" s="695">
        <f t="shared" si="6"/>
        <v>17000</v>
      </c>
      <c r="W71" s="20"/>
      <c r="X71" s="696" t="s">
        <v>175</v>
      </c>
      <c r="Y71" s="696" t="s">
        <v>176</v>
      </c>
      <c r="Z71" s="60">
        <v>2</v>
      </c>
      <c r="AA71" s="695">
        <v>8500</v>
      </c>
      <c r="AB71" s="695">
        <v>17000</v>
      </c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</row>
    <row r="72" spans="4:52" ht="13.5" customHeight="1">
      <c r="D72" s="19" t="s">
        <v>137</v>
      </c>
      <c r="E72" s="19" t="s">
        <v>35</v>
      </c>
      <c r="F72" s="19">
        <v>2</v>
      </c>
      <c r="G72" s="694">
        <v>8500</v>
      </c>
      <c r="H72" s="694">
        <f t="shared" si="4"/>
        <v>17000</v>
      </c>
      <c r="J72" s="697" t="s">
        <v>175</v>
      </c>
      <c r="K72" s="697" t="s">
        <v>176</v>
      </c>
      <c r="L72" s="692">
        <v>2</v>
      </c>
      <c r="M72" s="694">
        <v>8500</v>
      </c>
      <c r="N72" s="694">
        <f t="shared" si="5"/>
        <v>17000</v>
      </c>
      <c r="P72" s="20"/>
      <c r="Q72" s="60" t="s">
        <v>183</v>
      </c>
      <c r="R72" s="60" t="s">
        <v>178</v>
      </c>
      <c r="S72" s="60">
        <v>3</v>
      </c>
      <c r="T72" s="60">
        <v>3</v>
      </c>
      <c r="U72" s="695">
        <v>8500</v>
      </c>
      <c r="V72" s="695">
        <f t="shared" si="6"/>
        <v>25500</v>
      </c>
      <c r="W72" s="20"/>
      <c r="X72" s="696" t="s">
        <v>183</v>
      </c>
      <c r="Y72" s="696" t="s">
        <v>178</v>
      </c>
      <c r="Z72" s="60">
        <v>3</v>
      </c>
      <c r="AA72" s="695">
        <v>8500</v>
      </c>
      <c r="AB72" s="695">
        <v>25500</v>
      </c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</row>
    <row r="73" spans="4:52" ht="21.65" customHeight="1">
      <c r="D73" s="19" t="s">
        <v>137</v>
      </c>
      <c r="E73" s="19" t="s">
        <v>11</v>
      </c>
      <c r="F73" s="19">
        <v>3</v>
      </c>
      <c r="G73" s="694">
        <v>8500</v>
      </c>
      <c r="H73" s="694">
        <f t="shared" si="4"/>
        <v>25500</v>
      </c>
      <c r="J73" s="697" t="s">
        <v>177</v>
      </c>
      <c r="K73" s="60" t="s">
        <v>178</v>
      </c>
      <c r="L73" s="692">
        <v>3</v>
      </c>
      <c r="M73" s="694">
        <v>8500</v>
      </c>
      <c r="N73" s="694">
        <f t="shared" si="5"/>
        <v>25500</v>
      </c>
      <c r="P73" s="20"/>
      <c r="Q73" s="1073" t="s">
        <v>184</v>
      </c>
      <c r="R73" s="1073"/>
      <c r="S73" s="60">
        <v>145</v>
      </c>
      <c r="T73" s="60">
        <v>145</v>
      </c>
      <c r="U73" s="698"/>
      <c r="V73" s="695">
        <f>SUM(V56:V72)</f>
        <v>1574000</v>
      </c>
      <c r="W73" s="20"/>
      <c r="X73" s="1073" t="s">
        <v>184</v>
      </c>
      <c r="Y73" s="1073"/>
      <c r="Z73" s="60">
        <v>145</v>
      </c>
      <c r="AA73" s="698"/>
      <c r="AB73" s="695">
        <v>1574000</v>
      </c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</row>
    <row r="74" spans="4:52" ht="13.5" customHeight="1">
      <c r="F74" s="507">
        <f>SUM(F56:F73)</f>
        <v>159</v>
      </c>
      <c r="G74" s="694"/>
      <c r="H74" s="699">
        <f>SUM(H56:H73)</f>
        <v>1712250</v>
      </c>
      <c r="L74" s="568">
        <f>SUM(L56:L73)</f>
        <v>145</v>
      </c>
      <c r="M74" s="694"/>
      <c r="N74" s="699">
        <f>SUM(N56:N73)</f>
        <v>1574000</v>
      </c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</row>
    <row r="75" spans="4:52" ht="13.5" customHeight="1">
      <c r="H75" s="512">
        <f>H74-AZ51</f>
        <v>577250</v>
      </c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</row>
    <row r="76" spans="4:52" ht="19" customHeight="1"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</row>
    <row r="77" spans="4:52" ht="13.5" customHeight="1">
      <c r="N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</row>
    <row r="78" spans="4:52" ht="13.5" customHeight="1">
      <c r="N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</row>
    <row r="79" spans="4:52" ht="13.5" customHeight="1">
      <c r="N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</row>
    <row r="80" spans="4:52" ht="13.5" customHeight="1">
      <c r="N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</row>
    <row r="81" spans="13:52" ht="13.5" customHeight="1">
      <c r="N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</row>
    <row r="82" spans="13:52" ht="13.5" customHeight="1">
      <c r="N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</row>
    <row r="83" spans="13:52" ht="13.5" customHeight="1"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</row>
    <row r="84" spans="13:52" ht="13.5" customHeight="1"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</row>
    <row r="85" spans="13:52" ht="13.5" customHeight="1"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</row>
    <row r="86" spans="13:52" ht="13.5" customHeight="1"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</row>
    <row r="87" spans="13:52" ht="13.5" customHeight="1"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</row>
    <row r="88" spans="13:52" ht="13.5" customHeight="1"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</row>
    <row r="89" spans="13:52" ht="13.5" customHeight="1"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</row>
    <row r="90" spans="13:52" ht="13.5" customHeight="1"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</row>
    <row r="91" spans="13:52" ht="13.5" customHeight="1">
      <c r="M91" s="513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</row>
    <row r="92" spans="13:52" ht="13.5" customHeight="1"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</row>
    <row r="93" spans="13:52" ht="13.5" customHeight="1"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</row>
    <row r="94" spans="13:52" ht="13.5" customHeight="1"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</row>
    <row r="95" spans="13:52" ht="13.5" customHeight="1"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</row>
    <row r="96" spans="13:52" ht="13.5" customHeight="1"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</row>
    <row r="97" spans="12:52" ht="13.5" customHeight="1"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</row>
    <row r="98" spans="12:52" ht="13.5" customHeight="1"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</row>
    <row r="99" spans="12:52" ht="13.5" customHeight="1"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</row>
    <row r="100" spans="12:52" ht="13.5" customHeight="1"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</row>
    <row r="101" spans="12:52" ht="13.5" customHeight="1"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</row>
    <row r="102" spans="12:52" ht="13.5" customHeight="1"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</row>
    <row r="103" spans="12:52" ht="13.5" customHeight="1"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</row>
    <row r="104" spans="12:52" ht="13.5" customHeight="1"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</row>
    <row r="105" spans="12:52" ht="13.5" customHeight="1"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</row>
    <row r="106" spans="12:52" ht="13.5" customHeight="1"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</row>
    <row r="107" spans="12:52" ht="13.5" customHeight="1">
      <c r="L107" s="513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</row>
    <row r="108" spans="12:52" ht="13.5" customHeight="1"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</row>
    <row r="109" spans="12:52" ht="13.5" customHeight="1"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</row>
    <row r="110" spans="12:52" ht="13.5" customHeight="1"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</row>
    <row r="111" spans="12:52" ht="13.5" customHeight="1"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</row>
    <row r="112" spans="12:52" ht="13.5" customHeight="1"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</row>
    <row r="113" spans="14:52" ht="13.5" customHeight="1"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</row>
    <row r="114" spans="14:52" ht="13.5" customHeight="1"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</row>
    <row r="115" spans="14:52" ht="13.5" customHeight="1"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</row>
    <row r="116" spans="14:52" ht="13.5" customHeight="1"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</row>
    <row r="117" spans="14:52" ht="13.5" customHeight="1"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</row>
    <row r="118" spans="14:52" ht="13.5" customHeight="1"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</row>
    <row r="119" spans="14:52" ht="13.5" customHeight="1"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</row>
    <row r="120" spans="14:52" ht="13.5" customHeight="1"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</row>
    <row r="121" spans="14:52" ht="13.5" customHeight="1"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</row>
    <row r="122" spans="14:52" ht="13.5" customHeight="1"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</row>
    <row r="123" spans="14:52" ht="13.5" customHeight="1"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</row>
    <row r="124" spans="14:52" ht="13.5" customHeight="1"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</row>
    <row r="125" spans="14:52" ht="13.5" customHeight="1"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</row>
    <row r="126" spans="14:52" ht="13.5" customHeight="1"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</row>
    <row r="127" spans="14:52" ht="13.5" customHeight="1"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</row>
    <row r="128" spans="14:52" ht="13.5" customHeight="1"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</row>
    <row r="129" spans="14:52" ht="13.5" customHeight="1"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</row>
    <row r="130" spans="14:52" ht="13.5" customHeight="1"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</row>
    <row r="131" spans="14:52" ht="13.5" customHeight="1"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</row>
    <row r="132" spans="14:52" ht="13.5" customHeight="1"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</row>
    <row r="133" spans="14:52" ht="13.5" customHeight="1"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</row>
    <row r="134" spans="14:52" ht="13.5" customHeight="1"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</row>
    <row r="135" spans="14:52" ht="13.5" customHeight="1"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</row>
  </sheetData>
  <mergeCells count="24">
    <mergeCell ref="X73:Y73"/>
    <mergeCell ref="D25:D29"/>
    <mergeCell ref="E28:E29"/>
    <mergeCell ref="F28:F29"/>
    <mergeCell ref="G28:G29"/>
    <mergeCell ref="I28:I29"/>
    <mergeCell ref="D32:D34"/>
    <mergeCell ref="F35:F40"/>
    <mergeCell ref="I35:I40"/>
    <mergeCell ref="L35:L40"/>
    <mergeCell ref="M35:M40"/>
    <mergeCell ref="Q73:R73"/>
    <mergeCell ref="D8:D18"/>
    <mergeCell ref="D20:D23"/>
    <mergeCell ref="E20:E23"/>
    <mergeCell ref="F20:F23"/>
    <mergeCell ref="G20:G23"/>
    <mergeCell ref="AK1:AQ1"/>
    <mergeCell ref="AR1:AX1"/>
    <mergeCell ref="L20:L22"/>
    <mergeCell ref="Q1:T1"/>
    <mergeCell ref="U1:V1"/>
    <mergeCell ref="W1:AC1"/>
    <mergeCell ref="AD1:AJ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09389-0B61-4206-8FDB-1A76AE086DD2}">
  <sheetPr>
    <tabColor rgb="FFFFFF00"/>
  </sheetPr>
  <dimension ref="A1:DY134"/>
  <sheetViews>
    <sheetView zoomScale="70" zoomScaleNormal="70" workbookViewId="0">
      <pane xSplit="3" ySplit="2" topLeftCell="D43" activePane="bottomRight" state="frozen"/>
      <selection pane="topRight" activeCell="D1" sqref="D1"/>
      <selection pane="bottomLeft" activeCell="A3" sqref="A3"/>
      <selection pane="bottomRight"/>
    </sheetView>
  </sheetViews>
  <sheetFormatPr defaultColWidth="8.6328125" defaultRowHeight="13.5" customHeight="1"/>
  <cols>
    <col min="1" max="1" width="4.36328125" style="20" customWidth="1"/>
    <col min="2" max="2" width="5.08984375" style="87" customWidth="1"/>
    <col min="3" max="3" width="61.36328125" style="20" customWidth="1"/>
    <col min="4" max="4" width="27.36328125" style="19" bestFit="1" customWidth="1"/>
    <col min="5" max="5" width="12" style="19" customWidth="1"/>
    <col min="6" max="6" width="12.6328125" style="19" customWidth="1"/>
    <col min="7" max="7" width="14.90625" style="19" customWidth="1"/>
    <col min="8" max="8" width="16.6328125" style="19" hidden="1" customWidth="1"/>
    <col min="9" max="10" width="11.6328125" style="19" customWidth="1"/>
    <col min="11" max="11" width="12.6328125" style="19" customWidth="1"/>
    <col min="12" max="12" width="11.90625" style="19" customWidth="1"/>
    <col min="13" max="13" width="11.36328125" style="19" customWidth="1"/>
    <col min="14" max="14" width="12.36328125" style="19" customWidth="1"/>
    <col min="15" max="15" width="11.36328125" style="19" customWidth="1"/>
    <col min="16" max="18" width="12.6328125" style="19" customWidth="1"/>
    <col min="19" max="43" width="13.08984375" style="19" customWidth="1"/>
    <col min="44" max="51" width="20.90625" style="19" customWidth="1"/>
    <col min="52" max="52" width="52.36328125" style="19" customWidth="1"/>
    <col min="53" max="53" width="11.08984375" style="20" bestFit="1" customWidth="1"/>
    <col min="54" max="54" width="15.36328125" style="20" bestFit="1" customWidth="1"/>
    <col min="55" max="16384" width="8.6328125" style="20"/>
  </cols>
  <sheetData>
    <row r="1" spans="1:129" ht="15" customHeight="1">
      <c r="Q1" s="1037" t="s">
        <v>60</v>
      </c>
      <c r="R1" s="1038"/>
      <c r="S1" s="1038"/>
      <c r="T1" s="1038"/>
      <c r="U1" s="1037" t="s">
        <v>61</v>
      </c>
      <c r="V1" s="1038"/>
      <c r="W1" s="1037" t="s">
        <v>62</v>
      </c>
      <c r="X1" s="1038"/>
      <c r="Y1" s="1038"/>
      <c r="Z1" s="1038"/>
      <c r="AA1" s="1038"/>
      <c r="AB1" s="1038"/>
      <c r="AC1" s="1038"/>
      <c r="AD1" s="1037" t="s">
        <v>63</v>
      </c>
      <c r="AE1" s="1038"/>
      <c r="AF1" s="1038"/>
      <c r="AG1" s="1038"/>
      <c r="AH1" s="1038"/>
      <c r="AI1" s="1038"/>
      <c r="AJ1" s="1038"/>
      <c r="AK1" s="1037" t="s">
        <v>64</v>
      </c>
      <c r="AL1" s="1038"/>
      <c r="AM1" s="1038"/>
      <c r="AN1" s="1038"/>
      <c r="AO1" s="1038"/>
      <c r="AP1" s="1038"/>
      <c r="AQ1" s="1038"/>
      <c r="AR1" s="1037" t="s">
        <v>65</v>
      </c>
      <c r="AS1" s="1038"/>
      <c r="AT1" s="1038"/>
      <c r="AU1" s="1038"/>
      <c r="AV1" s="1038"/>
      <c r="AW1" s="1038"/>
      <c r="AX1" s="1038"/>
      <c r="AY1" s="731" t="s">
        <v>114</v>
      </c>
      <c r="AZ1" s="20"/>
    </row>
    <row r="2" spans="1:129" ht="29">
      <c r="B2" s="700" t="s">
        <v>29</v>
      </c>
      <c r="C2" s="710" t="s">
        <v>30</v>
      </c>
      <c r="D2" s="720" t="s">
        <v>3</v>
      </c>
      <c r="E2" s="315" t="s">
        <v>31</v>
      </c>
      <c r="F2" s="315" t="s">
        <v>5</v>
      </c>
      <c r="G2" s="315" t="s">
        <v>108</v>
      </c>
      <c r="H2" s="315" t="s">
        <v>32</v>
      </c>
      <c r="I2" s="315" t="s">
        <v>7</v>
      </c>
      <c r="J2" s="315" t="s">
        <v>68</v>
      </c>
      <c r="K2" s="315" t="s">
        <v>69</v>
      </c>
      <c r="L2" s="315" t="s">
        <v>8</v>
      </c>
      <c r="M2" s="315" t="s">
        <v>9</v>
      </c>
      <c r="N2" s="315" t="s">
        <v>10</v>
      </c>
      <c r="O2" s="315" t="s">
        <v>35</v>
      </c>
      <c r="P2" s="739" t="s">
        <v>11</v>
      </c>
      <c r="Q2" s="732" t="s">
        <v>70</v>
      </c>
      <c r="R2" s="729" t="s">
        <v>71</v>
      </c>
      <c r="S2" s="747" t="s">
        <v>34</v>
      </c>
      <c r="T2" s="747" t="s">
        <v>230</v>
      </c>
      <c r="U2" s="745" t="s">
        <v>72</v>
      </c>
      <c r="V2" s="749" t="s">
        <v>73</v>
      </c>
      <c r="W2" s="748" t="s">
        <v>74</v>
      </c>
      <c r="X2" s="730" t="s">
        <v>31</v>
      </c>
      <c r="Y2" s="730" t="s">
        <v>6</v>
      </c>
      <c r="Z2" s="730" t="s">
        <v>75</v>
      </c>
      <c r="AA2" s="730" t="s">
        <v>7</v>
      </c>
      <c r="AB2" s="730" t="s">
        <v>76</v>
      </c>
      <c r="AC2" s="750" t="s">
        <v>77</v>
      </c>
      <c r="AD2" s="748" t="s">
        <v>74</v>
      </c>
      <c r="AE2" s="730" t="s">
        <v>31</v>
      </c>
      <c r="AF2" s="730" t="s">
        <v>6</v>
      </c>
      <c r="AG2" s="730" t="s">
        <v>190</v>
      </c>
      <c r="AH2" s="730" t="s">
        <v>7</v>
      </c>
      <c r="AI2" s="730" t="s">
        <v>76</v>
      </c>
      <c r="AJ2" s="750" t="s">
        <v>77</v>
      </c>
      <c r="AK2" s="748" t="s">
        <v>74</v>
      </c>
      <c r="AL2" s="730" t="s">
        <v>31</v>
      </c>
      <c r="AM2" s="730" t="s">
        <v>6</v>
      </c>
      <c r="AN2" s="730" t="s">
        <v>190</v>
      </c>
      <c r="AO2" s="730" t="s">
        <v>7</v>
      </c>
      <c r="AP2" s="730" t="s">
        <v>76</v>
      </c>
      <c r="AQ2" s="750" t="s">
        <v>77</v>
      </c>
      <c r="AR2" s="748" t="s">
        <v>74</v>
      </c>
      <c r="AS2" s="730" t="s">
        <v>31</v>
      </c>
      <c r="AT2" s="730" t="s">
        <v>6</v>
      </c>
      <c r="AU2" s="730" t="s">
        <v>75</v>
      </c>
      <c r="AV2" s="730" t="s">
        <v>7</v>
      </c>
      <c r="AW2" s="730" t="s">
        <v>76</v>
      </c>
      <c r="AX2" s="750" t="s">
        <v>77</v>
      </c>
      <c r="AY2" s="751" t="s">
        <v>78</v>
      </c>
      <c r="AZ2" s="20"/>
    </row>
    <row r="3" spans="1:129" ht="14.5">
      <c r="B3" s="675">
        <v>1</v>
      </c>
      <c r="C3" s="676" t="s">
        <v>36</v>
      </c>
      <c r="D3" s="271">
        <v>2</v>
      </c>
      <c r="E3" s="62">
        <v>2</v>
      </c>
      <c r="F3" s="322"/>
      <c r="G3" s="322"/>
      <c r="H3" s="322"/>
      <c r="I3" s="322"/>
      <c r="J3" s="322"/>
      <c r="K3" s="322"/>
      <c r="L3" s="322"/>
      <c r="M3" s="322"/>
      <c r="N3" s="322"/>
      <c r="O3" s="322"/>
      <c r="P3" s="344"/>
      <c r="Q3" s="657"/>
      <c r="R3" s="322"/>
      <c r="S3" s="344"/>
      <c r="T3" s="344"/>
      <c r="U3" s="657"/>
      <c r="V3" s="344"/>
      <c r="W3" s="657"/>
      <c r="X3" s="322"/>
      <c r="Y3" s="322"/>
      <c r="Z3" s="322"/>
      <c r="AA3" s="322"/>
      <c r="AB3" s="322"/>
      <c r="AC3" s="344"/>
      <c r="AD3" s="657"/>
      <c r="AE3" s="322"/>
      <c r="AF3" s="322"/>
      <c r="AG3" s="322"/>
      <c r="AH3" s="322"/>
      <c r="AI3" s="322"/>
      <c r="AJ3" s="344"/>
      <c r="AK3" s="657"/>
      <c r="AL3" s="322"/>
      <c r="AM3" s="322"/>
      <c r="AN3" s="322"/>
      <c r="AO3" s="322"/>
      <c r="AP3" s="322"/>
      <c r="AQ3" s="344"/>
      <c r="AR3" s="657"/>
      <c r="AS3" s="322"/>
      <c r="AT3" s="322"/>
      <c r="AU3" s="322"/>
      <c r="AV3" s="322"/>
      <c r="AW3" s="322"/>
      <c r="AX3" s="344"/>
      <c r="AY3" s="752"/>
      <c r="AZ3" s="20"/>
    </row>
    <row r="4" spans="1:129" s="108" customFormat="1" ht="14.5">
      <c r="A4" s="20"/>
      <c r="B4" s="701">
        <v>2</v>
      </c>
      <c r="C4" s="711" t="s">
        <v>79</v>
      </c>
      <c r="D4" s="721">
        <v>1</v>
      </c>
      <c r="E4" s="230">
        <v>0.5</v>
      </c>
      <c r="F4" s="334"/>
      <c r="G4" s="334"/>
      <c r="H4" s="334"/>
      <c r="I4" s="334"/>
      <c r="J4" s="231"/>
      <c r="K4" s="231"/>
      <c r="L4" s="231"/>
      <c r="M4" s="231"/>
      <c r="N4" s="231"/>
      <c r="O4" s="231"/>
      <c r="P4" s="646"/>
      <c r="Q4" s="656"/>
      <c r="R4" s="334"/>
      <c r="S4" s="336"/>
      <c r="T4" s="336"/>
      <c r="U4" s="656"/>
      <c r="V4" s="336"/>
      <c r="W4" s="656"/>
      <c r="X4" s="334"/>
      <c r="Y4" s="334"/>
      <c r="Z4" s="334"/>
      <c r="AA4" s="334"/>
      <c r="AB4" s="334"/>
      <c r="AC4" s="336"/>
      <c r="AD4" s="656"/>
      <c r="AE4" s="334"/>
      <c r="AF4" s="334"/>
      <c r="AG4" s="334"/>
      <c r="AH4" s="334"/>
      <c r="AI4" s="334"/>
      <c r="AJ4" s="336"/>
      <c r="AK4" s="656"/>
      <c r="AL4" s="334"/>
      <c r="AM4" s="334"/>
      <c r="AN4" s="334"/>
      <c r="AO4" s="334"/>
      <c r="AP4" s="334"/>
      <c r="AQ4" s="336"/>
      <c r="AR4" s="656"/>
      <c r="AS4" s="334"/>
      <c r="AT4" s="334"/>
      <c r="AU4" s="334"/>
      <c r="AV4" s="334"/>
      <c r="AW4" s="334"/>
      <c r="AX4" s="336"/>
      <c r="AY4" s="753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</row>
    <row r="5" spans="1:129" s="108" customFormat="1" ht="14.5">
      <c r="A5" s="20"/>
      <c r="B5" s="701">
        <v>2</v>
      </c>
      <c r="C5" s="711" t="s">
        <v>80</v>
      </c>
      <c r="D5" s="721">
        <v>5</v>
      </c>
      <c r="E5" s="230">
        <v>2</v>
      </c>
      <c r="F5" s="334"/>
      <c r="G5" s="334"/>
      <c r="H5" s="334"/>
      <c r="I5" s="334"/>
      <c r="J5" s="334"/>
      <c r="K5" s="334"/>
      <c r="L5" s="334"/>
      <c r="M5" s="334"/>
      <c r="N5" s="334"/>
      <c r="O5" s="334"/>
      <c r="P5" s="336"/>
      <c r="Q5" s="656"/>
      <c r="R5" s="334"/>
      <c r="S5" s="336"/>
      <c r="T5" s="336"/>
      <c r="U5" s="656"/>
      <c r="V5" s="336"/>
      <c r="W5" s="656"/>
      <c r="X5" s="334"/>
      <c r="Y5" s="334"/>
      <c r="Z5" s="334"/>
      <c r="AA5" s="334"/>
      <c r="AB5" s="334"/>
      <c r="AC5" s="336"/>
      <c r="AD5" s="656"/>
      <c r="AE5" s="334"/>
      <c r="AF5" s="334"/>
      <c r="AG5" s="334"/>
      <c r="AH5" s="334"/>
      <c r="AI5" s="334"/>
      <c r="AJ5" s="336"/>
      <c r="AK5" s="656"/>
      <c r="AL5" s="334"/>
      <c r="AM5" s="334"/>
      <c r="AN5" s="334"/>
      <c r="AO5" s="334"/>
      <c r="AP5" s="334"/>
      <c r="AQ5" s="336"/>
      <c r="AR5" s="656"/>
      <c r="AS5" s="334"/>
      <c r="AT5" s="334"/>
      <c r="AU5" s="334"/>
      <c r="AV5" s="334"/>
      <c r="AW5" s="334"/>
      <c r="AX5" s="336"/>
      <c r="AY5" s="753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</row>
    <row r="6" spans="1:129" ht="14.5">
      <c r="B6" s="675">
        <v>3</v>
      </c>
      <c r="C6" s="676" t="s">
        <v>38</v>
      </c>
      <c r="D6" s="271">
        <v>1</v>
      </c>
      <c r="E6" s="518">
        <v>5</v>
      </c>
      <c r="F6" s="322">
        <v>1</v>
      </c>
      <c r="G6" s="322"/>
      <c r="H6" s="322"/>
      <c r="I6" s="322">
        <v>1</v>
      </c>
      <c r="J6" s="322"/>
      <c r="K6" s="322"/>
      <c r="L6" s="322"/>
      <c r="M6" s="322"/>
      <c r="N6" s="322"/>
      <c r="O6" s="322"/>
      <c r="P6" s="344"/>
      <c r="Q6" s="657"/>
      <c r="R6" s="322">
        <v>1</v>
      </c>
      <c r="S6" s="344"/>
      <c r="T6" s="344"/>
      <c r="U6" s="657"/>
      <c r="V6" s="344"/>
      <c r="W6" s="233"/>
      <c r="X6" s="62"/>
      <c r="Y6" s="62"/>
      <c r="Z6" s="62"/>
      <c r="AA6" s="62"/>
      <c r="AB6" s="62"/>
      <c r="AC6" s="262"/>
      <c r="AD6" s="233"/>
      <c r="AE6" s="62"/>
      <c r="AF6" s="62"/>
      <c r="AG6" s="62"/>
      <c r="AH6" s="62"/>
      <c r="AI6" s="62"/>
      <c r="AJ6" s="262"/>
      <c r="AK6" s="233"/>
      <c r="AL6" s="62"/>
      <c r="AM6" s="62"/>
      <c r="AN6" s="62"/>
      <c r="AO6" s="62"/>
      <c r="AP6" s="62"/>
      <c r="AQ6" s="262"/>
      <c r="AR6" s="233"/>
      <c r="AS6" s="62"/>
      <c r="AT6" s="62"/>
      <c r="AU6" s="62"/>
      <c r="AV6" s="62"/>
      <c r="AW6" s="62"/>
      <c r="AX6" s="262"/>
      <c r="AY6" s="754"/>
      <c r="AZ6" s="20"/>
    </row>
    <row r="7" spans="1:129" ht="14.5">
      <c r="B7" s="675">
        <v>4</v>
      </c>
      <c r="C7" s="676" t="s">
        <v>81</v>
      </c>
      <c r="D7" s="271">
        <v>1</v>
      </c>
      <c r="E7" s="62">
        <v>2</v>
      </c>
      <c r="F7" s="322"/>
      <c r="G7" s="322"/>
      <c r="H7" s="322"/>
      <c r="I7" s="322"/>
      <c r="J7" s="322"/>
      <c r="K7" s="322"/>
      <c r="L7" s="322"/>
      <c r="M7" s="322"/>
      <c r="N7" s="322"/>
      <c r="O7" s="322"/>
      <c r="P7" s="344"/>
      <c r="Q7" s="657"/>
      <c r="R7" s="322"/>
      <c r="S7" s="344"/>
      <c r="T7" s="344"/>
      <c r="U7" s="657"/>
      <c r="V7" s="344"/>
      <c r="W7" s="233"/>
      <c r="X7" s="322"/>
      <c r="Y7" s="322"/>
      <c r="Z7" s="322"/>
      <c r="AA7" s="322"/>
      <c r="AB7" s="322"/>
      <c r="AC7" s="344"/>
      <c r="AD7" s="233"/>
      <c r="AE7" s="322"/>
      <c r="AF7" s="322"/>
      <c r="AG7" s="322"/>
      <c r="AH7" s="322"/>
      <c r="AI7" s="322"/>
      <c r="AJ7" s="344"/>
      <c r="AK7" s="233"/>
      <c r="AL7" s="322"/>
      <c r="AM7" s="322"/>
      <c r="AN7" s="322"/>
      <c r="AO7" s="322"/>
      <c r="AP7" s="322"/>
      <c r="AQ7" s="344"/>
      <c r="AR7" s="233"/>
      <c r="AS7" s="322"/>
      <c r="AT7" s="322"/>
      <c r="AU7" s="322"/>
      <c r="AV7" s="322"/>
      <c r="AW7" s="322"/>
      <c r="AX7" s="344"/>
      <c r="AY7" s="754"/>
      <c r="AZ7" s="20"/>
    </row>
    <row r="8" spans="1:129" s="135" customFormat="1" ht="14.5">
      <c r="A8" s="20"/>
      <c r="B8" s="702">
        <v>5</v>
      </c>
      <c r="C8" s="712" t="s">
        <v>83</v>
      </c>
      <c r="D8" s="1065">
        <v>2</v>
      </c>
      <c r="E8" s="366"/>
      <c r="F8" s="366"/>
      <c r="G8" s="366"/>
      <c r="H8" s="366"/>
      <c r="I8" s="366"/>
      <c r="J8" s="366"/>
      <c r="K8" s="366"/>
      <c r="L8" s="366"/>
      <c r="M8" s="366"/>
      <c r="N8" s="366"/>
      <c r="O8" s="366"/>
      <c r="P8" s="369"/>
      <c r="Q8" s="365"/>
      <c r="R8" s="366"/>
      <c r="S8" s="369"/>
      <c r="T8" s="369"/>
      <c r="U8" s="365"/>
      <c r="V8" s="369"/>
      <c r="W8" s="365"/>
      <c r="X8" s="366"/>
      <c r="Y8" s="366"/>
      <c r="Z8" s="366"/>
      <c r="AA8" s="366"/>
      <c r="AB8" s="366"/>
      <c r="AC8" s="369"/>
      <c r="AD8" s="365"/>
      <c r="AE8" s="366"/>
      <c r="AF8" s="366"/>
      <c r="AG8" s="366"/>
      <c r="AH8" s="366"/>
      <c r="AI8" s="366"/>
      <c r="AJ8" s="369"/>
      <c r="AK8" s="365"/>
      <c r="AL8" s="366"/>
      <c r="AM8" s="366"/>
      <c r="AN8" s="366"/>
      <c r="AO8" s="366"/>
      <c r="AP8" s="366"/>
      <c r="AQ8" s="369"/>
      <c r="AR8" s="365"/>
      <c r="AS8" s="366"/>
      <c r="AT8" s="366"/>
      <c r="AU8" s="366"/>
      <c r="AV8" s="366"/>
      <c r="AW8" s="366"/>
      <c r="AX8" s="369"/>
      <c r="AY8" s="755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</row>
    <row r="9" spans="1:129" ht="18.75" customHeight="1">
      <c r="B9" s="703">
        <v>5.0999999999999996</v>
      </c>
      <c r="C9" s="713" t="s">
        <v>84</v>
      </c>
      <c r="D9" s="1065"/>
      <c r="E9" s="376"/>
      <c r="F9" s="376"/>
      <c r="G9" s="376"/>
      <c r="H9" s="376"/>
      <c r="I9" s="376"/>
      <c r="J9" s="377"/>
      <c r="K9" s="377"/>
      <c r="L9" s="376"/>
      <c r="M9" s="376"/>
      <c r="N9" s="376"/>
      <c r="O9" s="377"/>
      <c r="P9" s="740"/>
      <c r="Q9" s="384"/>
      <c r="R9" s="376"/>
      <c r="S9" s="380"/>
      <c r="T9" s="380"/>
      <c r="U9" s="384"/>
      <c r="V9" s="380"/>
      <c r="W9" s="384"/>
      <c r="X9" s="376"/>
      <c r="Y9" s="376"/>
      <c r="Z9" s="376"/>
      <c r="AA9" s="376"/>
      <c r="AB9" s="376"/>
      <c r="AC9" s="380"/>
      <c r="AD9" s="384"/>
      <c r="AE9" s="376"/>
      <c r="AF9" s="376"/>
      <c r="AG9" s="376"/>
      <c r="AH9" s="376"/>
      <c r="AI9" s="376"/>
      <c r="AJ9" s="380"/>
      <c r="AK9" s="384"/>
      <c r="AL9" s="376"/>
      <c r="AM9" s="376"/>
      <c r="AN9" s="376"/>
      <c r="AO9" s="376"/>
      <c r="AP9" s="376"/>
      <c r="AQ9" s="380"/>
      <c r="AR9" s="384"/>
      <c r="AS9" s="376"/>
      <c r="AT9" s="376"/>
      <c r="AU9" s="376"/>
      <c r="AV9" s="376"/>
      <c r="AW9" s="376"/>
      <c r="AX9" s="380"/>
      <c r="AY9" s="756"/>
      <c r="AZ9" s="20"/>
    </row>
    <row r="10" spans="1:129" ht="87" customHeight="1">
      <c r="B10" s="703"/>
      <c r="C10" s="713" t="s">
        <v>115</v>
      </c>
      <c r="D10" s="1065"/>
      <c r="E10" s="376"/>
      <c r="F10" s="376"/>
      <c r="G10" s="376"/>
      <c r="H10" s="376"/>
      <c r="I10" s="376"/>
      <c r="J10" s="377"/>
      <c r="K10" s="377"/>
      <c r="L10" s="376">
        <v>3</v>
      </c>
      <c r="M10" s="376">
        <v>0.5</v>
      </c>
      <c r="N10" s="376"/>
      <c r="O10" s="377"/>
      <c r="P10" s="740"/>
      <c r="Q10" s="384"/>
      <c r="R10" s="376">
        <v>6</v>
      </c>
      <c r="S10" s="380">
        <v>4</v>
      </c>
      <c r="T10" s="380">
        <v>1</v>
      </c>
      <c r="U10" s="384"/>
      <c r="V10" s="380"/>
      <c r="W10" s="384"/>
      <c r="X10" s="376"/>
      <c r="Y10" s="376"/>
      <c r="Z10" s="376"/>
      <c r="AA10" s="376"/>
      <c r="AB10" s="376"/>
      <c r="AC10" s="380"/>
      <c r="AD10" s="384"/>
      <c r="AE10" s="376"/>
      <c r="AF10" s="376"/>
      <c r="AG10" s="376"/>
      <c r="AH10" s="376"/>
      <c r="AI10" s="376"/>
      <c r="AJ10" s="380"/>
      <c r="AK10" s="384"/>
      <c r="AL10" s="376"/>
      <c r="AM10" s="376"/>
      <c r="AN10" s="376"/>
      <c r="AO10" s="376"/>
      <c r="AP10" s="376"/>
      <c r="AQ10" s="380"/>
      <c r="AR10" s="384"/>
      <c r="AS10" s="376"/>
      <c r="AT10" s="376"/>
      <c r="AU10" s="376"/>
      <c r="AV10" s="376"/>
      <c r="AW10" s="376"/>
      <c r="AX10" s="380"/>
      <c r="AY10" s="756"/>
      <c r="AZ10" s="20"/>
    </row>
    <row r="11" spans="1:129" ht="18.5">
      <c r="B11" s="703"/>
      <c r="C11" s="713" t="s">
        <v>116</v>
      </c>
      <c r="D11" s="1065"/>
      <c r="E11" s="376"/>
      <c r="F11" s="376"/>
      <c r="G11" s="376"/>
      <c r="H11" s="376"/>
      <c r="I11" s="376"/>
      <c r="J11" s="377"/>
      <c r="K11" s="377"/>
      <c r="L11" s="376"/>
      <c r="M11" s="376"/>
      <c r="N11" s="376"/>
      <c r="O11" s="377"/>
      <c r="P11" s="740"/>
      <c r="Q11" s="384"/>
      <c r="R11" s="376"/>
      <c r="S11" s="380"/>
      <c r="T11" s="380"/>
      <c r="U11" s="384"/>
      <c r="V11" s="380"/>
      <c r="W11" s="384"/>
      <c r="X11" s="376"/>
      <c r="Y11" s="376"/>
      <c r="Z11" s="376"/>
      <c r="AA11" s="376"/>
      <c r="AB11" s="376"/>
      <c r="AC11" s="380"/>
      <c r="AD11" s="384"/>
      <c r="AE11" s="376"/>
      <c r="AF11" s="376"/>
      <c r="AG11" s="376"/>
      <c r="AH11" s="376"/>
      <c r="AI11" s="376"/>
      <c r="AJ11" s="380"/>
      <c r="AK11" s="384"/>
      <c r="AL11" s="376"/>
      <c r="AM11" s="376"/>
      <c r="AN11" s="376"/>
      <c r="AO11" s="376"/>
      <c r="AP11" s="376"/>
      <c r="AQ11" s="380"/>
      <c r="AR11" s="384"/>
      <c r="AS11" s="376"/>
      <c r="AT11" s="376"/>
      <c r="AU11" s="376"/>
      <c r="AV11" s="376"/>
      <c r="AW11" s="376"/>
      <c r="AX11" s="380"/>
      <c r="AY11" s="756"/>
      <c r="AZ11" s="20"/>
    </row>
    <row r="12" spans="1:129" ht="18.5">
      <c r="B12" s="703"/>
      <c r="C12" s="713" t="s">
        <v>117</v>
      </c>
      <c r="D12" s="1065"/>
      <c r="E12" s="376"/>
      <c r="F12" s="376"/>
      <c r="G12" s="376"/>
      <c r="H12" s="376"/>
      <c r="I12" s="376"/>
      <c r="J12" s="377"/>
      <c r="K12" s="377"/>
      <c r="L12" s="376"/>
      <c r="M12" s="376"/>
      <c r="N12" s="376"/>
      <c r="O12" s="377"/>
      <c r="P12" s="740"/>
      <c r="Q12" s="384"/>
      <c r="R12" s="376"/>
      <c r="S12" s="380"/>
      <c r="T12" s="380"/>
      <c r="U12" s="384"/>
      <c r="V12" s="380"/>
      <c r="W12" s="384"/>
      <c r="X12" s="376"/>
      <c r="Y12" s="376"/>
      <c r="Z12" s="376"/>
      <c r="AA12" s="376"/>
      <c r="AB12" s="376"/>
      <c r="AC12" s="380"/>
      <c r="AD12" s="384"/>
      <c r="AE12" s="376"/>
      <c r="AF12" s="376"/>
      <c r="AG12" s="376"/>
      <c r="AH12" s="376"/>
      <c r="AI12" s="376"/>
      <c r="AJ12" s="380"/>
      <c r="AK12" s="384"/>
      <c r="AL12" s="376"/>
      <c r="AM12" s="376"/>
      <c r="AN12" s="376"/>
      <c r="AO12" s="376"/>
      <c r="AP12" s="376"/>
      <c r="AQ12" s="380"/>
      <c r="AR12" s="384"/>
      <c r="AS12" s="376"/>
      <c r="AT12" s="376"/>
      <c r="AU12" s="376"/>
      <c r="AV12" s="376"/>
      <c r="AW12" s="376"/>
      <c r="AX12" s="380"/>
      <c r="AY12" s="756"/>
      <c r="AZ12" s="20"/>
    </row>
    <row r="13" spans="1:129" ht="18.5">
      <c r="B13" s="703"/>
      <c r="C13" s="713" t="s">
        <v>118</v>
      </c>
      <c r="D13" s="1065"/>
      <c r="E13" s="376"/>
      <c r="F13" s="376"/>
      <c r="G13" s="376"/>
      <c r="H13" s="376"/>
      <c r="I13" s="376"/>
      <c r="J13" s="377"/>
      <c r="K13" s="377"/>
      <c r="L13" s="376"/>
      <c r="M13" s="376"/>
      <c r="N13" s="376"/>
      <c r="O13" s="377"/>
      <c r="P13" s="740"/>
      <c r="Q13" s="384"/>
      <c r="R13" s="376"/>
      <c r="S13" s="380"/>
      <c r="T13" s="380"/>
      <c r="U13" s="384"/>
      <c r="V13" s="380"/>
      <c r="W13" s="384"/>
      <c r="X13" s="376"/>
      <c r="Y13" s="376"/>
      <c r="Z13" s="376"/>
      <c r="AA13" s="376"/>
      <c r="AB13" s="376"/>
      <c r="AC13" s="380"/>
      <c r="AD13" s="384"/>
      <c r="AE13" s="376"/>
      <c r="AF13" s="376"/>
      <c r="AG13" s="376"/>
      <c r="AH13" s="376"/>
      <c r="AI13" s="376"/>
      <c r="AJ13" s="380"/>
      <c r="AK13" s="384"/>
      <c r="AL13" s="376"/>
      <c r="AM13" s="376"/>
      <c r="AN13" s="376"/>
      <c r="AO13" s="376"/>
      <c r="AP13" s="376"/>
      <c r="AQ13" s="380"/>
      <c r="AR13" s="384"/>
      <c r="AS13" s="376"/>
      <c r="AT13" s="376"/>
      <c r="AU13" s="376"/>
      <c r="AV13" s="376"/>
      <c r="AW13" s="376"/>
      <c r="AX13" s="380"/>
      <c r="AY13" s="756"/>
      <c r="AZ13" s="20"/>
    </row>
    <row r="14" spans="1:129" ht="18.5">
      <c r="B14" s="703">
        <v>5.2</v>
      </c>
      <c r="C14" s="713" t="s">
        <v>86</v>
      </c>
      <c r="D14" s="1065"/>
      <c r="E14" s="376"/>
      <c r="F14" s="376"/>
      <c r="G14" s="376"/>
      <c r="H14" s="376"/>
      <c r="I14" s="376"/>
      <c r="J14" s="377"/>
      <c r="K14" s="377"/>
      <c r="L14" s="376"/>
      <c r="M14" s="376"/>
      <c r="N14" s="376"/>
      <c r="O14" s="377"/>
      <c r="P14" s="740"/>
      <c r="Q14" s="384"/>
      <c r="R14" s="376"/>
      <c r="S14" s="380"/>
      <c r="T14" s="380"/>
      <c r="U14" s="384"/>
      <c r="V14" s="380"/>
      <c r="W14" s="384"/>
      <c r="X14" s="376"/>
      <c r="Y14" s="376"/>
      <c r="Z14" s="376"/>
      <c r="AA14" s="376"/>
      <c r="AB14" s="376"/>
      <c r="AC14" s="380"/>
      <c r="AD14" s="384"/>
      <c r="AE14" s="376"/>
      <c r="AF14" s="376"/>
      <c r="AG14" s="376"/>
      <c r="AH14" s="376"/>
      <c r="AI14" s="376"/>
      <c r="AJ14" s="380"/>
      <c r="AK14" s="384"/>
      <c r="AL14" s="376"/>
      <c r="AM14" s="376"/>
      <c r="AN14" s="376"/>
      <c r="AO14" s="376"/>
      <c r="AP14" s="376"/>
      <c r="AQ14" s="380"/>
      <c r="AR14" s="384"/>
      <c r="AS14" s="376"/>
      <c r="AT14" s="376"/>
      <c r="AU14" s="376"/>
      <c r="AV14" s="376"/>
      <c r="AW14" s="376"/>
      <c r="AX14" s="380"/>
      <c r="AY14" s="756"/>
      <c r="AZ14" s="20"/>
    </row>
    <row r="15" spans="1:129" ht="18.5">
      <c r="B15" s="703"/>
      <c r="C15" s="713" t="s">
        <v>87</v>
      </c>
      <c r="D15" s="1065"/>
      <c r="E15" s="428">
        <v>0.5</v>
      </c>
      <c r="F15" s="376">
        <v>3</v>
      </c>
      <c r="G15" s="376">
        <v>7</v>
      </c>
      <c r="H15" s="376"/>
      <c r="I15" s="376">
        <v>3</v>
      </c>
      <c r="J15" s="377"/>
      <c r="K15" s="377"/>
      <c r="L15" s="376"/>
      <c r="M15" s="376"/>
      <c r="N15" s="376"/>
      <c r="O15" s="377"/>
      <c r="P15" s="740"/>
      <c r="Q15" s="384"/>
      <c r="R15" s="376"/>
      <c r="S15" s="380"/>
      <c r="T15" s="380"/>
      <c r="U15" s="384"/>
      <c r="V15" s="380"/>
      <c r="W15" s="384"/>
      <c r="X15" s="376"/>
      <c r="Y15" s="376"/>
      <c r="Z15" s="376"/>
      <c r="AA15" s="376"/>
      <c r="AB15" s="376"/>
      <c r="AC15" s="380"/>
      <c r="AD15" s="384"/>
      <c r="AE15" s="376"/>
      <c r="AF15" s="376"/>
      <c r="AG15" s="376"/>
      <c r="AH15" s="376"/>
      <c r="AI15" s="376"/>
      <c r="AJ15" s="380"/>
      <c r="AK15" s="384"/>
      <c r="AL15" s="376"/>
      <c r="AM15" s="376"/>
      <c r="AN15" s="376"/>
      <c r="AO15" s="376"/>
      <c r="AP15" s="376"/>
      <c r="AQ15" s="380"/>
      <c r="AR15" s="384"/>
      <c r="AS15" s="376"/>
      <c r="AT15" s="376"/>
      <c r="AU15" s="376"/>
      <c r="AV15" s="376"/>
      <c r="AW15" s="376"/>
      <c r="AX15" s="380"/>
      <c r="AY15" s="756"/>
      <c r="AZ15" s="20"/>
    </row>
    <row r="16" spans="1:129" ht="18.5">
      <c r="B16" s="703"/>
      <c r="C16" s="713" t="s">
        <v>179</v>
      </c>
      <c r="D16" s="1065"/>
      <c r="E16" s="428">
        <v>0.5</v>
      </c>
      <c r="F16" s="376">
        <v>1</v>
      </c>
      <c r="G16" s="376">
        <v>3</v>
      </c>
      <c r="H16" s="376"/>
      <c r="I16" s="376">
        <v>2</v>
      </c>
      <c r="J16" s="377"/>
      <c r="K16" s="377"/>
      <c r="L16" s="376"/>
      <c r="M16" s="376"/>
      <c r="N16" s="376"/>
      <c r="O16" s="377"/>
      <c r="P16" s="740"/>
      <c r="Q16" s="384"/>
      <c r="R16" s="376"/>
      <c r="S16" s="380"/>
      <c r="T16" s="380"/>
      <c r="U16" s="384"/>
      <c r="V16" s="380"/>
      <c r="W16" s="384"/>
      <c r="X16" s="376"/>
      <c r="Y16" s="376"/>
      <c r="Z16" s="376"/>
      <c r="AA16" s="376"/>
      <c r="AB16" s="376"/>
      <c r="AC16" s="380"/>
      <c r="AD16" s="384"/>
      <c r="AE16" s="376"/>
      <c r="AF16" s="376"/>
      <c r="AG16" s="376"/>
      <c r="AH16" s="376"/>
      <c r="AI16" s="376"/>
      <c r="AJ16" s="380"/>
      <c r="AK16" s="384"/>
      <c r="AL16" s="376"/>
      <c r="AM16" s="376"/>
      <c r="AN16" s="376"/>
      <c r="AO16" s="376"/>
      <c r="AP16" s="376"/>
      <c r="AQ16" s="380"/>
      <c r="AR16" s="384"/>
      <c r="AS16" s="376"/>
      <c r="AT16" s="376"/>
      <c r="AU16" s="376"/>
      <c r="AV16" s="376"/>
      <c r="AW16" s="376"/>
      <c r="AX16" s="380"/>
      <c r="AY16" s="756">
        <v>1</v>
      </c>
      <c r="AZ16" s="20"/>
    </row>
    <row r="17" spans="2:55" ht="18.5">
      <c r="B17" s="703"/>
      <c r="C17" s="713" t="s">
        <v>180</v>
      </c>
      <c r="D17" s="1065"/>
      <c r="E17" s="428">
        <v>0.5</v>
      </c>
      <c r="F17" s="376">
        <v>2</v>
      </c>
      <c r="G17" s="376">
        <v>6</v>
      </c>
      <c r="H17" s="376"/>
      <c r="I17" s="376">
        <v>2</v>
      </c>
      <c r="J17" s="377"/>
      <c r="K17" s="377"/>
      <c r="L17" s="376"/>
      <c r="M17" s="376"/>
      <c r="N17" s="376"/>
      <c r="O17" s="377"/>
      <c r="P17" s="740"/>
      <c r="Q17" s="384"/>
      <c r="R17" s="376"/>
      <c r="S17" s="380"/>
      <c r="T17" s="380"/>
      <c r="U17" s="384"/>
      <c r="V17" s="380"/>
      <c r="W17" s="384"/>
      <c r="X17" s="376"/>
      <c r="Y17" s="376"/>
      <c r="Z17" s="376"/>
      <c r="AA17" s="376"/>
      <c r="AB17" s="376"/>
      <c r="AC17" s="380"/>
      <c r="AD17" s="384"/>
      <c r="AE17" s="376"/>
      <c r="AF17" s="376"/>
      <c r="AG17" s="376"/>
      <c r="AH17" s="376"/>
      <c r="AI17" s="376"/>
      <c r="AJ17" s="380"/>
      <c r="AK17" s="384"/>
      <c r="AL17" s="376"/>
      <c r="AM17" s="376"/>
      <c r="AN17" s="376"/>
      <c r="AO17" s="376"/>
      <c r="AP17" s="376"/>
      <c r="AQ17" s="380"/>
      <c r="AR17" s="384"/>
      <c r="AS17" s="376"/>
      <c r="AT17" s="376"/>
      <c r="AU17" s="376"/>
      <c r="AV17" s="376"/>
      <c r="AW17" s="376"/>
      <c r="AX17" s="380"/>
      <c r="AY17" s="756">
        <v>1</v>
      </c>
      <c r="AZ17" s="20"/>
    </row>
    <row r="18" spans="2:55" ht="18.5">
      <c r="B18" s="703"/>
      <c r="C18" s="713" t="s">
        <v>181</v>
      </c>
      <c r="D18" s="1065"/>
      <c r="E18" s="428">
        <v>0.5</v>
      </c>
      <c r="F18" s="376">
        <v>1</v>
      </c>
      <c r="G18" s="376">
        <v>3</v>
      </c>
      <c r="H18" s="376"/>
      <c r="I18" s="376">
        <v>1</v>
      </c>
      <c r="J18" s="377"/>
      <c r="K18" s="377"/>
      <c r="L18" s="376"/>
      <c r="M18" s="376"/>
      <c r="N18" s="376"/>
      <c r="O18" s="377"/>
      <c r="P18" s="740"/>
      <c r="Q18" s="384"/>
      <c r="R18" s="376"/>
      <c r="S18" s="380"/>
      <c r="T18" s="380"/>
      <c r="U18" s="384"/>
      <c r="V18" s="380"/>
      <c r="W18" s="384"/>
      <c r="X18" s="376"/>
      <c r="Y18" s="376"/>
      <c r="Z18" s="376"/>
      <c r="AA18" s="376"/>
      <c r="AB18" s="376"/>
      <c r="AC18" s="380"/>
      <c r="AD18" s="384"/>
      <c r="AE18" s="376"/>
      <c r="AF18" s="376"/>
      <c r="AG18" s="376"/>
      <c r="AH18" s="376"/>
      <c r="AI18" s="376"/>
      <c r="AJ18" s="380"/>
      <c r="AK18" s="384"/>
      <c r="AL18" s="376"/>
      <c r="AM18" s="376"/>
      <c r="AN18" s="376"/>
      <c r="AO18" s="376"/>
      <c r="AP18" s="376"/>
      <c r="AQ18" s="380"/>
      <c r="AR18" s="384"/>
      <c r="AS18" s="376"/>
      <c r="AT18" s="376"/>
      <c r="AU18" s="376"/>
      <c r="AV18" s="376"/>
      <c r="AW18" s="376"/>
      <c r="AX18" s="380"/>
      <c r="AY18" s="756"/>
      <c r="AZ18" s="20"/>
    </row>
    <row r="19" spans="2:55" ht="18.75" customHeight="1">
      <c r="B19" s="780">
        <v>6</v>
      </c>
      <c r="C19" s="779" t="s">
        <v>122</v>
      </c>
      <c r="D19" s="722"/>
      <c r="E19" s="254"/>
      <c r="F19" s="254"/>
      <c r="G19" s="254"/>
      <c r="H19" s="254"/>
      <c r="I19" s="254"/>
      <c r="J19" s="255"/>
      <c r="K19" s="255"/>
      <c r="L19" s="254"/>
      <c r="M19" s="254"/>
      <c r="N19" s="254"/>
      <c r="O19" s="254"/>
      <c r="P19" s="267"/>
      <c r="Q19" s="733"/>
      <c r="R19" s="254"/>
      <c r="S19" s="267"/>
      <c r="T19" s="267"/>
      <c r="U19" s="348"/>
      <c r="V19" s="267"/>
      <c r="W19" s="348"/>
      <c r="X19" s="254"/>
      <c r="Y19" s="254"/>
      <c r="Z19" s="254"/>
      <c r="AA19" s="254"/>
      <c r="AB19" s="254"/>
      <c r="AC19" s="267"/>
      <c r="AD19" s="348"/>
      <c r="AE19" s="254"/>
      <c r="AF19" s="254"/>
      <c r="AG19" s="254"/>
      <c r="AH19" s="254"/>
      <c r="AI19" s="254"/>
      <c r="AJ19" s="267"/>
      <c r="AK19" s="348"/>
      <c r="AL19" s="254"/>
      <c r="AM19" s="254"/>
      <c r="AN19" s="254"/>
      <c r="AO19" s="254"/>
      <c r="AP19" s="254"/>
      <c r="AQ19" s="267"/>
      <c r="AR19" s="348"/>
      <c r="AS19" s="254"/>
      <c r="AT19" s="254"/>
      <c r="AU19" s="254"/>
      <c r="AV19" s="254"/>
      <c r="AW19" s="254"/>
      <c r="AX19" s="267"/>
      <c r="AY19" s="757"/>
      <c r="AZ19" s="141"/>
      <c r="BA19" s="141"/>
      <c r="BB19" s="141"/>
      <c r="BC19" s="141"/>
    </row>
    <row r="20" spans="2:55" ht="18.75" customHeight="1">
      <c r="B20" s="780"/>
      <c r="C20" s="779" t="s">
        <v>95</v>
      </c>
      <c r="D20" s="1066">
        <v>0.5</v>
      </c>
      <c r="E20" s="1044">
        <v>1</v>
      </c>
      <c r="F20" s="1044">
        <v>0.5</v>
      </c>
      <c r="G20" s="1044">
        <v>1</v>
      </c>
      <c r="H20" s="246"/>
      <c r="I20" s="246"/>
      <c r="J20" s="247"/>
      <c r="K20" s="247"/>
      <c r="L20" s="1044">
        <v>1</v>
      </c>
      <c r="M20" s="492"/>
      <c r="N20" s="246"/>
      <c r="O20" s="246"/>
      <c r="P20" s="268"/>
      <c r="Q20" s="734"/>
      <c r="R20" s="246"/>
      <c r="S20" s="268"/>
      <c r="T20" s="268"/>
      <c r="U20" s="266"/>
      <c r="V20" s="268"/>
      <c r="W20" s="266"/>
      <c r="X20" s="246"/>
      <c r="Y20" s="246"/>
      <c r="Z20" s="246"/>
      <c r="AA20" s="246"/>
      <c r="AB20" s="246"/>
      <c r="AC20" s="268"/>
      <c r="AD20" s="266"/>
      <c r="AE20" s="246"/>
      <c r="AF20" s="246"/>
      <c r="AG20" s="246"/>
      <c r="AH20" s="246"/>
      <c r="AI20" s="246"/>
      <c r="AJ20" s="268"/>
      <c r="AK20" s="266"/>
      <c r="AL20" s="246"/>
      <c r="AM20" s="246"/>
      <c r="AN20" s="246"/>
      <c r="AO20" s="246"/>
      <c r="AP20" s="246"/>
      <c r="AQ20" s="268"/>
      <c r="AR20" s="266"/>
      <c r="AS20" s="246"/>
      <c r="AT20" s="246"/>
      <c r="AU20" s="246"/>
      <c r="AV20" s="246"/>
      <c r="AW20" s="246"/>
      <c r="AX20" s="268"/>
      <c r="AY20" s="289"/>
      <c r="AZ20" s="141"/>
      <c r="BA20" s="141"/>
      <c r="BB20" s="141"/>
      <c r="BC20" s="141"/>
    </row>
    <row r="21" spans="2:55" ht="18.75" customHeight="1">
      <c r="B21" s="780"/>
      <c r="C21" s="779" t="s">
        <v>96</v>
      </c>
      <c r="D21" s="1066"/>
      <c r="E21" s="1044"/>
      <c r="F21" s="1044"/>
      <c r="G21" s="1044"/>
      <c r="H21" s="246"/>
      <c r="I21" s="246"/>
      <c r="J21" s="247"/>
      <c r="K21" s="247"/>
      <c r="L21" s="1044"/>
      <c r="M21" s="492"/>
      <c r="N21" s="246"/>
      <c r="O21" s="246"/>
      <c r="P21" s="268"/>
      <c r="Q21" s="734"/>
      <c r="R21" s="246"/>
      <c r="S21" s="268"/>
      <c r="T21" s="268"/>
      <c r="U21" s="266"/>
      <c r="V21" s="268"/>
      <c r="W21" s="266"/>
      <c r="X21" s="246"/>
      <c r="Y21" s="246"/>
      <c r="Z21" s="246"/>
      <c r="AA21" s="246"/>
      <c r="AB21" s="246"/>
      <c r="AC21" s="268"/>
      <c r="AD21" s="266"/>
      <c r="AE21" s="246"/>
      <c r="AF21" s="246"/>
      <c r="AG21" s="246"/>
      <c r="AH21" s="246"/>
      <c r="AI21" s="246"/>
      <c r="AJ21" s="268"/>
      <c r="AK21" s="266"/>
      <c r="AL21" s="246"/>
      <c r="AM21" s="246"/>
      <c r="AN21" s="246"/>
      <c r="AO21" s="246"/>
      <c r="AP21" s="246"/>
      <c r="AQ21" s="268"/>
      <c r="AR21" s="266"/>
      <c r="AS21" s="246"/>
      <c r="AT21" s="246"/>
      <c r="AU21" s="246"/>
      <c r="AV21" s="246"/>
      <c r="AW21" s="246"/>
      <c r="AX21" s="268"/>
      <c r="AY21" s="289"/>
      <c r="AZ21" s="141"/>
      <c r="BA21" s="141"/>
      <c r="BB21" s="141"/>
      <c r="BC21" s="141"/>
    </row>
    <row r="22" spans="2:55" ht="18.75" customHeight="1">
      <c r="B22" s="780"/>
      <c r="C22" s="779" t="s">
        <v>97</v>
      </c>
      <c r="D22" s="1066"/>
      <c r="E22" s="1044"/>
      <c r="F22" s="1044"/>
      <c r="G22" s="1044"/>
      <c r="H22" s="246"/>
      <c r="I22" s="246"/>
      <c r="J22" s="247"/>
      <c r="K22" s="247"/>
      <c r="L22" s="1044"/>
      <c r="M22" s="492"/>
      <c r="N22" s="246"/>
      <c r="O22" s="246"/>
      <c r="P22" s="268"/>
      <c r="Q22" s="734"/>
      <c r="R22" s="246"/>
      <c r="S22" s="268"/>
      <c r="T22" s="268"/>
      <c r="U22" s="266"/>
      <c r="V22" s="268"/>
      <c r="W22" s="266"/>
      <c r="X22" s="246"/>
      <c r="Y22" s="246"/>
      <c r="Z22" s="246"/>
      <c r="AA22" s="246"/>
      <c r="AB22" s="246"/>
      <c r="AC22" s="268"/>
      <c r="AD22" s="266"/>
      <c r="AE22" s="246"/>
      <c r="AF22" s="246"/>
      <c r="AG22" s="246"/>
      <c r="AH22" s="246"/>
      <c r="AI22" s="246"/>
      <c r="AJ22" s="268"/>
      <c r="AK22" s="266"/>
      <c r="AL22" s="246"/>
      <c r="AM22" s="246"/>
      <c r="AN22" s="246"/>
      <c r="AO22" s="246"/>
      <c r="AP22" s="246"/>
      <c r="AQ22" s="268"/>
      <c r="AR22" s="266"/>
      <c r="AS22" s="246"/>
      <c r="AT22" s="246"/>
      <c r="AU22" s="246"/>
      <c r="AV22" s="246"/>
      <c r="AW22" s="246"/>
      <c r="AX22" s="268"/>
      <c r="AY22" s="289"/>
      <c r="AZ22" s="141"/>
      <c r="BA22" s="141"/>
      <c r="BB22" s="141"/>
      <c r="BC22" s="141"/>
    </row>
    <row r="23" spans="2:55" ht="18.75" customHeight="1">
      <c r="B23" s="780"/>
      <c r="C23" s="779" t="s">
        <v>98</v>
      </c>
      <c r="D23" s="1066"/>
      <c r="E23" s="1044"/>
      <c r="F23" s="1044"/>
      <c r="G23" s="1044"/>
      <c r="H23" s="246"/>
      <c r="I23" s="246"/>
      <c r="J23" s="247"/>
      <c r="K23" s="247"/>
      <c r="L23" s="246"/>
      <c r="M23" s="246"/>
      <c r="N23" s="246"/>
      <c r="O23" s="246"/>
      <c r="P23" s="268"/>
      <c r="Q23" s="734"/>
      <c r="R23" s="246"/>
      <c r="S23" s="268"/>
      <c r="T23" s="268"/>
      <c r="U23" s="266"/>
      <c r="V23" s="268"/>
      <c r="W23" s="266"/>
      <c r="X23" s="246"/>
      <c r="Y23" s="246"/>
      <c r="Z23" s="246"/>
      <c r="AA23" s="246"/>
      <c r="AB23" s="246"/>
      <c r="AC23" s="268"/>
      <c r="AD23" s="266"/>
      <c r="AE23" s="246"/>
      <c r="AF23" s="246"/>
      <c r="AG23" s="246"/>
      <c r="AH23" s="246"/>
      <c r="AI23" s="246"/>
      <c r="AJ23" s="268"/>
      <c r="AK23" s="266"/>
      <c r="AL23" s="246"/>
      <c r="AM23" s="246"/>
      <c r="AN23" s="246"/>
      <c r="AO23" s="246"/>
      <c r="AP23" s="246"/>
      <c r="AQ23" s="268"/>
      <c r="AR23" s="266"/>
      <c r="AS23" s="246"/>
      <c r="AT23" s="246"/>
      <c r="AU23" s="246"/>
      <c r="AV23" s="246"/>
      <c r="AW23" s="246"/>
      <c r="AX23" s="268"/>
      <c r="AY23" s="289">
        <v>1</v>
      </c>
      <c r="AZ23" s="141"/>
      <c r="BA23" s="141"/>
      <c r="BB23" s="141"/>
      <c r="BC23" s="141"/>
    </row>
    <row r="24" spans="2:55" ht="18.75" customHeight="1">
      <c r="B24" s="704">
        <v>7</v>
      </c>
      <c r="C24" s="714" t="s">
        <v>192</v>
      </c>
      <c r="D24" s="723"/>
      <c r="E24" s="412"/>
      <c r="F24" s="412"/>
      <c r="G24" s="412"/>
      <c r="H24" s="412"/>
      <c r="I24" s="412"/>
      <c r="J24" s="413"/>
      <c r="K24" s="413"/>
      <c r="L24" s="412"/>
      <c r="M24" s="412"/>
      <c r="N24" s="412"/>
      <c r="O24" s="412"/>
      <c r="P24" s="416"/>
      <c r="Q24" s="735"/>
      <c r="R24" s="412"/>
      <c r="S24" s="416"/>
      <c r="T24" s="416"/>
      <c r="U24" s="420"/>
      <c r="V24" s="416"/>
      <c r="W24" s="420"/>
      <c r="X24" s="412"/>
      <c r="Y24" s="412"/>
      <c r="Z24" s="412"/>
      <c r="AA24" s="412"/>
      <c r="AB24" s="412"/>
      <c r="AC24" s="416"/>
      <c r="AD24" s="420"/>
      <c r="AE24" s="412"/>
      <c r="AF24" s="412"/>
      <c r="AG24" s="412"/>
      <c r="AH24" s="412"/>
      <c r="AI24" s="412"/>
      <c r="AJ24" s="416"/>
      <c r="AK24" s="420"/>
      <c r="AL24" s="412"/>
      <c r="AM24" s="412"/>
      <c r="AN24" s="412"/>
      <c r="AO24" s="412"/>
      <c r="AP24" s="412"/>
      <c r="AQ24" s="416"/>
      <c r="AR24" s="420"/>
      <c r="AS24" s="412"/>
      <c r="AT24" s="412"/>
      <c r="AU24" s="412"/>
      <c r="AV24" s="412"/>
      <c r="AW24" s="412"/>
      <c r="AX24" s="416"/>
      <c r="AY24" s="758"/>
      <c r="AZ24" s="141"/>
      <c r="BA24" s="141"/>
      <c r="BB24" s="141"/>
      <c r="BC24" s="141"/>
    </row>
    <row r="25" spans="2:55" ht="18.75" customHeight="1">
      <c r="B25" s="705">
        <v>7.1</v>
      </c>
      <c r="C25" s="715" t="s">
        <v>193</v>
      </c>
      <c r="D25" s="1067">
        <v>0.5</v>
      </c>
      <c r="E25" s="687"/>
      <c r="F25" s="687"/>
      <c r="G25" s="687"/>
      <c r="H25" s="687"/>
      <c r="I25" s="687"/>
      <c r="J25" s="688"/>
      <c r="K25" s="688"/>
      <c r="L25" s="687"/>
      <c r="M25" s="687"/>
      <c r="N25" s="687"/>
      <c r="O25" s="687"/>
      <c r="P25" s="689"/>
      <c r="Q25" s="736"/>
      <c r="R25" s="687"/>
      <c r="S25" s="689"/>
      <c r="T25" s="689"/>
      <c r="U25" s="746"/>
      <c r="V25" s="689"/>
      <c r="W25" s="746"/>
      <c r="X25" s="687"/>
      <c r="Y25" s="687"/>
      <c r="Z25" s="687"/>
      <c r="AA25" s="687"/>
      <c r="AB25" s="687"/>
      <c r="AC25" s="689"/>
      <c r="AD25" s="746"/>
      <c r="AE25" s="687"/>
      <c r="AF25" s="687"/>
      <c r="AG25" s="687"/>
      <c r="AH25" s="687"/>
      <c r="AI25" s="687"/>
      <c r="AJ25" s="689"/>
      <c r="AK25" s="746"/>
      <c r="AL25" s="687"/>
      <c r="AM25" s="687"/>
      <c r="AN25" s="687"/>
      <c r="AO25" s="687"/>
      <c r="AP25" s="687"/>
      <c r="AQ25" s="689"/>
      <c r="AR25" s="746"/>
      <c r="AS25" s="687"/>
      <c r="AT25" s="687"/>
      <c r="AU25" s="687"/>
      <c r="AV25" s="687"/>
      <c r="AW25" s="687"/>
      <c r="AX25" s="689"/>
      <c r="AY25" s="759"/>
      <c r="AZ25" s="141"/>
      <c r="BA25" s="141"/>
      <c r="BB25" s="141"/>
      <c r="BC25" s="141"/>
    </row>
    <row r="26" spans="2:55" ht="18.75" customHeight="1">
      <c r="B26" s="705"/>
      <c r="C26" s="715" t="s">
        <v>194</v>
      </c>
      <c r="D26" s="1068"/>
      <c r="E26" s="687">
        <v>0.5</v>
      </c>
      <c r="F26" s="687">
        <v>1</v>
      </c>
      <c r="G26" s="687">
        <v>2</v>
      </c>
      <c r="H26" s="687"/>
      <c r="I26" s="687">
        <v>0.5</v>
      </c>
      <c r="J26" s="688"/>
      <c r="K26" s="688"/>
      <c r="L26" s="687"/>
      <c r="M26" s="687"/>
      <c r="N26" s="687"/>
      <c r="O26" s="687"/>
      <c r="P26" s="689"/>
      <c r="Q26" s="736"/>
      <c r="R26" s="687"/>
      <c r="S26" s="689"/>
      <c r="T26" s="689"/>
      <c r="U26" s="746"/>
      <c r="V26" s="689"/>
      <c r="W26" s="746"/>
      <c r="X26" s="687"/>
      <c r="Y26" s="687"/>
      <c r="Z26" s="687"/>
      <c r="AA26" s="687"/>
      <c r="AB26" s="687"/>
      <c r="AC26" s="689"/>
      <c r="AD26" s="746"/>
      <c r="AE26" s="687"/>
      <c r="AF26" s="687"/>
      <c r="AG26" s="687"/>
      <c r="AH26" s="687"/>
      <c r="AI26" s="687"/>
      <c r="AJ26" s="689"/>
      <c r="AK26" s="746"/>
      <c r="AL26" s="687"/>
      <c r="AM26" s="687"/>
      <c r="AN26" s="687"/>
      <c r="AO26" s="687"/>
      <c r="AP26" s="687"/>
      <c r="AQ26" s="689"/>
      <c r="AR26" s="746"/>
      <c r="AS26" s="687"/>
      <c r="AT26" s="687"/>
      <c r="AU26" s="687"/>
      <c r="AV26" s="687"/>
      <c r="AW26" s="687"/>
      <c r="AX26" s="689"/>
      <c r="AY26" s="759"/>
      <c r="AZ26" s="141"/>
      <c r="BA26" s="141"/>
      <c r="BB26" s="141"/>
      <c r="BC26" s="141"/>
    </row>
    <row r="27" spans="2:55" ht="18.5">
      <c r="B27" s="705">
        <v>7.2</v>
      </c>
      <c r="C27" s="765" t="s">
        <v>195</v>
      </c>
      <c r="D27" s="1068"/>
      <c r="E27" s="687"/>
      <c r="F27" s="687"/>
      <c r="G27" s="687"/>
      <c r="H27" s="687"/>
      <c r="I27" s="687"/>
      <c r="J27" s="688"/>
      <c r="K27" s="688"/>
      <c r="L27" s="687"/>
      <c r="M27" s="687"/>
      <c r="N27" s="687"/>
      <c r="O27" s="687"/>
      <c r="P27" s="689"/>
      <c r="Q27" s="736"/>
      <c r="R27" s="687"/>
      <c r="S27" s="689"/>
      <c r="T27" s="689"/>
      <c r="U27" s="746"/>
      <c r="V27" s="689"/>
      <c r="W27" s="746"/>
      <c r="X27" s="687"/>
      <c r="Y27" s="687"/>
      <c r="Z27" s="687"/>
      <c r="AA27" s="687"/>
      <c r="AB27" s="687"/>
      <c r="AC27" s="689"/>
      <c r="AD27" s="746"/>
      <c r="AE27" s="687"/>
      <c r="AF27" s="687"/>
      <c r="AG27" s="687"/>
      <c r="AH27" s="687"/>
      <c r="AI27" s="687"/>
      <c r="AJ27" s="689"/>
      <c r="AK27" s="746"/>
      <c r="AL27" s="687"/>
      <c r="AM27" s="687"/>
      <c r="AN27" s="687"/>
      <c r="AO27" s="687"/>
      <c r="AP27" s="687"/>
      <c r="AQ27" s="689"/>
      <c r="AR27" s="746"/>
      <c r="AS27" s="687"/>
      <c r="AT27" s="687"/>
      <c r="AU27" s="687"/>
      <c r="AV27" s="687"/>
      <c r="AW27" s="687"/>
      <c r="AX27" s="689"/>
      <c r="AY27" s="759"/>
      <c r="AZ27" s="141"/>
      <c r="BA27" s="141"/>
      <c r="BB27" s="141"/>
      <c r="BC27" s="141"/>
    </row>
    <row r="28" spans="2:55" ht="29">
      <c r="B28" s="705"/>
      <c r="C28" s="715" t="s">
        <v>196</v>
      </c>
      <c r="D28" s="1068"/>
      <c r="E28" s="1070">
        <v>3</v>
      </c>
      <c r="F28" s="1070">
        <v>0.5</v>
      </c>
      <c r="G28" s="1070">
        <v>2</v>
      </c>
      <c r="H28" s="687"/>
      <c r="I28" s="1070">
        <v>2</v>
      </c>
      <c r="J28" s="688"/>
      <c r="K28" s="688"/>
      <c r="L28" s="687"/>
      <c r="M28" s="687"/>
      <c r="N28" s="687"/>
      <c r="O28" s="687"/>
      <c r="P28" s="689"/>
      <c r="Q28" s="736"/>
      <c r="R28" s="687">
        <v>3</v>
      </c>
      <c r="S28" s="689"/>
      <c r="T28" s="689"/>
      <c r="U28" s="746"/>
      <c r="V28" s="689"/>
      <c r="W28" s="746"/>
      <c r="X28" s="687">
        <v>0.25</v>
      </c>
      <c r="Y28" s="687"/>
      <c r="Z28" s="687"/>
      <c r="AA28" s="687"/>
      <c r="AB28" s="687"/>
      <c r="AC28" s="689"/>
      <c r="AD28" s="746"/>
      <c r="AE28" s="687"/>
      <c r="AF28" s="687"/>
      <c r="AG28" s="687"/>
      <c r="AH28" s="687"/>
      <c r="AI28" s="687"/>
      <c r="AJ28" s="689"/>
      <c r="AK28" s="746"/>
      <c r="AL28" s="687">
        <v>1</v>
      </c>
      <c r="AM28" s="687">
        <v>2.5</v>
      </c>
      <c r="AN28" s="687">
        <v>0.5</v>
      </c>
      <c r="AO28" s="687"/>
      <c r="AP28" s="687"/>
      <c r="AQ28" s="689"/>
      <c r="AR28" s="771"/>
      <c r="AS28" s="772"/>
      <c r="AT28" s="772"/>
      <c r="AU28" s="772"/>
      <c r="AV28" s="772"/>
      <c r="AW28" s="772"/>
      <c r="AX28" s="772"/>
      <c r="AY28" s="773"/>
      <c r="AZ28" s="770"/>
      <c r="BA28" s="141"/>
      <c r="BB28" s="141"/>
      <c r="BC28" s="141"/>
    </row>
    <row r="29" spans="2:55" ht="18.75" customHeight="1">
      <c r="B29" s="705"/>
      <c r="C29" s="715" t="s">
        <v>197</v>
      </c>
      <c r="D29" s="1069"/>
      <c r="E29" s="1072"/>
      <c r="F29" s="1072"/>
      <c r="G29" s="1072"/>
      <c r="H29" s="687"/>
      <c r="I29" s="1072"/>
      <c r="J29" s="688"/>
      <c r="K29" s="688"/>
      <c r="L29" s="687"/>
      <c r="M29" s="687"/>
      <c r="N29" s="687"/>
      <c r="O29" s="687"/>
      <c r="P29" s="689"/>
      <c r="Q29" s="736"/>
      <c r="R29" s="687">
        <v>1</v>
      </c>
      <c r="S29" s="689"/>
      <c r="T29" s="689"/>
      <c r="U29" s="746"/>
      <c r="V29" s="689"/>
      <c r="W29" s="746"/>
      <c r="X29" s="766">
        <v>0.25</v>
      </c>
      <c r="Y29" s="687"/>
      <c r="Z29" s="687"/>
      <c r="AA29" s="687"/>
      <c r="AB29" s="687"/>
      <c r="AC29" s="689"/>
      <c r="AD29" s="746"/>
      <c r="AE29" s="687"/>
      <c r="AF29" s="687"/>
      <c r="AG29" s="687"/>
      <c r="AH29" s="687"/>
      <c r="AI29" s="687"/>
      <c r="AJ29" s="689"/>
      <c r="AK29" s="746"/>
      <c r="AL29" s="687">
        <v>0.5</v>
      </c>
      <c r="AM29" s="687">
        <v>1</v>
      </c>
      <c r="AN29" s="687">
        <v>0.5</v>
      </c>
      <c r="AO29" s="687"/>
      <c r="AP29" s="687"/>
      <c r="AQ29" s="689"/>
      <c r="AR29" s="746"/>
      <c r="AS29" s="687"/>
      <c r="AT29" s="687"/>
      <c r="AU29" s="687"/>
      <c r="AV29" s="687"/>
      <c r="AW29" s="687"/>
      <c r="AX29" s="689"/>
      <c r="AY29" s="759"/>
      <c r="AZ29" s="141"/>
      <c r="BA29" s="141"/>
      <c r="BB29" s="141"/>
      <c r="BC29" s="141"/>
    </row>
    <row r="30" spans="2:55" ht="18.75" customHeight="1">
      <c r="B30" s="705">
        <v>7.3</v>
      </c>
      <c r="C30" s="715" t="s">
        <v>199</v>
      </c>
      <c r="D30" s="774"/>
      <c r="E30" s="769"/>
      <c r="F30" s="769"/>
      <c r="G30" s="769"/>
      <c r="H30" s="687"/>
      <c r="I30" s="769"/>
      <c r="J30" s="688"/>
      <c r="K30" s="688"/>
      <c r="L30" s="687"/>
      <c r="M30" s="687"/>
      <c r="N30" s="687"/>
      <c r="O30" s="687"/>
      <c r="P30" s="689"/>
      <c r="Q30" s="736"/>
      <c r="R30" s="687"/>
      <c r="S30" s="689"/>
      <c r="T30" s="689"/>
      <c r="U30" s="746"/>
      <c r="V30" s="689"/>
      <c r="W30" s="775"/>
      <c r="X30" s="766"/>
      <c r="Y30" s="776"/>
      <c r="Z30" s="687"/>
      <c r="AA30" s="687"/>
      <c r="AB30" s="687"/>
      <c r="AC30" s="689"/>
      <c r="AD30" s="746"/>
      <c r="AE30" s="687"/>
      <c r="AF30" s="687"/>
      <c r="AG30" s="687"/>
      <c r="AH30" s="687"/>
      <c r="AI30" s="687"/>
      <c r="AJ30" s="689"/>
      <c r="AK30" s="746"/>
      <c r="AL30" s="687"/>
      <c r="AM30" s="687"/>
      <c r="AN30" s="687"/>
      <c r="AO30" s="687"/>
      <c r="AP30" s="687"/>
      <c r="AQ30" s="689"/>
      <c r="AR30" s="746"/>
      <c r="AS30" s="687"/>
      <c r="AT30" s="687"/>
      <c r="AU30" s="687"/>
      <c r="AV30" s="687"/>
      <c r="AW30" s="687"/>
      <c r="AX30" s="689"/>
      <c r="AY30" s="759"/>
      <c r="AZ30" s="141"/>
      <c r="BA30" s="141"/>
      <c r="BB30" s="141"/>
      <c r="BC30" s="141"/>
    </row>
    <row r="31" spans="2:55" ht="72.5">
      <c r="B31" s="705"/>
      <c r="C31" s="715" t="s">
        <v>200</v>
      </c>
      <c r="D31" s="1067">
        <v>1</v>
      </c>
      <c r="E31" s="769">
        <v>1</v>
      </c>
      <c r="F31" s="769">
        <v>2</v>
      </c>
      <c r="G31" s="769">
        <v>5</v>
      </c>
      <c r="H31" s="687"/>
      <c r="I31" s="769">
        <v>0.5</v>
      </c>
      <c r="J31" s="769"/>
      <c r="K31" s="688"/>
      <c r="L31" s="687"/>
      <c r="M31" s="687"/>
      <c r="N31" s="687"/>
      <c r="O31" s="687"/>
      <c r="P31" s="689"/>
      <c r="Q31" s="736"/>
      <c r="R31" s="687">
        <v>5</v>
      </c>
      <c r="S31" s="689">
        <v>0.5</v>
      </c>
      <c r="T31" s="689">
        <v>0.5</v>
      </c>
      <c r="U31" s="746"/>
      <c r="V31" s="689"/>
      <c r="W31" s="775"/>
      <c r="X31" s="766"/>
      <c r="Y31" s="776"/>
      <c r="Z31" s="687"/>
      <c r="AA31" s="687"/>
      <c r="AB31" s="687"/>
      <c r="AC31" s="689"/>
      <c r="AD31" s="746"/>
      <c r="AE31" s="687"/>
      <c r="AF31" s="687"/>
      <c r="AG31" s="687"/>
      <c r="AH31" s="687"/>
      <c r="AI31" s="687"/>
      <c r="AJ31" s="689"/>
      <c r="AK31" s="746"/>
      <c r="AL31" s="687"/>
      <c r="AM31" s="687"/>
      <c r="AN31" s="687"/>
      <c r="AO31" s="687"/>
      <c r="AP31" s="687"/>
      <c r="AQ31" s="689"/>
      <c r="AR31" s="746"/>
      <c r="AS31" s="687"/>
      <c r="AT31" s="687"/>
      <c r="AU31" s="687"/>
      <c r="AV31" s="687"/>
      <c r="AW31" s="687"/>
      <c r="AX31" s="689"/>
      <c r="AY31" s="759"/>
      <c r="AZ31" s="141"/>
      <c r="BA31" s="141"/>
      <c r="BB31" s="141"/>
      <c r="BC31" s="141"/>
    </row>
    <row r="32" spans="2:55" ht="87">
      <c r="B32" s="705"/>
      <c r="C32" s="715" t="s">
        <v>201</v>
      </c>
      <c r="D32" s="1068"/>
      <c r="E32" s="769">
        <v>1</v>
      </c>
      <c r="F32" s="769">
        <v>2</v>
      </c>
      <c r="G32" s="769">
        <v>5</v>
      </c>
      <c r="H32" s="687"/>
      <c r="I32" s="769">
        <v>0.5</v>
      </c>
      <c r="J32" s="769"/>
      <c r="K32" s="688"/>
      <c r="L32" s="687"/>
      <c r="M32" s="687"/>
      <c r="N32" s="687"/>
      <c r="O32" s="687"/>
      <c r="P32" s="689"/>
      <c r="Q32" s="736"/>
      <c r="R32" s="687">
        <v>5</v>
      </c>
      <c r="S32" s="689">
        <v>0.5</v>
      </c>
      <c r="T32" s="689">
        <v>0.5</v>
      </c>
      <c r="U32" s="746"/>
      <c r="V32" s="689"/>
      <c r="W32" s="775"/>
      <c r="X32" s="766"/>
      <c r="Y32" s="776"/>
      <c r="Z32" s="687"/>
      <c r="AA32" s="687"/>
      <c r="AB32" s="687"/>
      <c r="AC32" s="689"/>
      <c r="AD32" s="746"/>
      <c r="AE32" s="687"/>
      <c r="AF32" s="687"/>
      <c r="AG32" s="687"/>
      <c r="AH32" s="687"/>
      <c r="AI32" s="687"/>
      <c r="AJ32" s="689"/>
      <c r="AK32" s="746"/>
      <c r="AL32" s="687"/>
      <c r="AM32" s="687"/>
      <c r="AN32" s="687"/>
      <c r="AO32" s="687"/>
      <c r="AP32" s="687"/>
      <c r="AQ32" s="689"/>
      <c r="AR32" s="746"/>
      <c r="AS32" s="687"/>
      <c r="AT32" s="687"/>
      <c r="AU32" s="687"/>
      <c r="AV32" s="687"/>
      <c r="AW32" s="687"/>
      <c r="AX32" s="689"/>
      <c r="AY32" s="759"/>
      <c r="AZ32" s="141"/>
      <c r="BA32" s="141"/>
      <c r="BB32" s="141"/>
      <c r="BC32" s="141"/>
    </row>
    <row r="33" spans="2:55" ht="116">
      <c r="B33" s="705"/>
      <c r="C33" s="715" t="s">
        <v>202</v>
      </c>
      <c r="D33" s="1069"/>
      <c r="E33" s="769">
        <v>1</v>
      </c>
      <c r="F33" s="769">
        <v>1</v>
      </c>
      <c r="G33" s="769">
        <v>3</v>
      </c>
      <c r="H33" s="687"/>
      <c r="I33" s="769">
        <v>0.5</v>
      </c>
      <c r="J33" s="769"/>
      <c r="K33" s="688"/>
      <c r="L33" s="687">
        <v>2</v>
      </c>
      <c r="M33" s="1070">
        <v>2.5</v>
      </c>
      <c r="N33" s="687"/>
      <c r="O33" s="687"/>
      <c r="P33" s="689"/>
      <c r="Q33" s="778"/>
      <c r="R33" s="687">
        <v>3</v>
      </c>
      <c r="S33" s="689"/>
      <c r="T33" s="689"/>
      <c r="U33" s="746"/>
      <c r="V33" s="689"/>
      <c r="W33" s="775"/>
      <c r="X33" s="766"/>
      <c r="Y33" s="776"/>
      <c r="Z33" s="687"/>
      <c r="AA33" s="687"/>
      <c r="AB33" s="687"/>
      <c r="AC33" s="689"/>
      <c r="AD33" s="746"/>
      <c r="AE33" s="687"/>
      <c r="AF33" s="687"/>
      <c r="AG33" s="687"/>
      <c r="AH33" s="687"/>
      <c r="AI33" s="687"/>
      <c r="AJ33" s="689"/>
      <c r="AK33" s="746"/>
      <c r="AL33" s="687"/>
      <c r="AM33" s="687"/>
      <c r="AN33" s="687"/>
      <c r="AO33" s="687"/>
      <c r="AP33" s="687"/>
      <c r="AQ33" s="689"/>
      <c r="AR33" s="746"/>
      <c r="AS33" s="687"/>
      <c r="AT33" s="687"/>
      <c r="AU33" s="687"/>
      <c r="AV33" s="687"/>
      <c r="AW33" s="687"/>
      <c r="AX33" s="689"/>
      <c r="AY33" s="759"/>
      <c r="AZ33" s="141"/>
      <c r="BA33" s="141"/>
      <c r="BB33" s="141"/>
      <c r="BC33" s="141"/>
    </row>
    <row r="34" spans="2:55" ht="18.75" customHeight="1">
      <c r="B34" s="705"/>
      <c r="C34" s="715" t="s">
        <v>203</v>
      </c>
      <c r="D34" s="774"/>
      <c r="E34" s="769"/>
      <c r="F34" s="1070">
        <v>1</v>
      </c>
      <c r="G34" s="769"/>
      <c r="H34" s="687"/>
      <c r="I34" s="1070">
        <v>1</v>
      </c>
      <c r="J34" s="688"/>
      <c r="K34" s="688"/>
      <c r="L34" s="687">
        <v>1</v>
      </c>
      <c r="M34" s="1071"/>
      <c r="N34" s="687"/>
      <c r="O34" s="687"/>
      <c r="P34" s="689"/>
      <c r="Q34" s="736"/>
      <c r="R34" s="687"/>
      <c r="S34" s="689"/>
      <c r="T34" s="689"/>
      <c r="U34" s="746"/>
      <c r="V34" s="689"/>
      <c r="W34" s="775"/>
      <c r="X34" s="766"/>
      <c r="Y34" s="776"/>
      <c r="Z34" s="687"/>
      <c r="AA34" s="687"/>
      <c r="AB34" s="687"/>
      <c r="AC34" s="689"/>
      <c r="AD34" s="746"/>
      <c r="AE34" s="687"/>
      <c r="AF34" s="687"/>
      <c r="AG34" s="687"/>
      <c r="AH34" s="687"/>
      <c r="AI34" s="687"/>
      <c r="AJ34" s="689"/>
      <c r="AK34" s="746"/>
      <c r="AL34" s="687"/>
      <c r="AM34" s="687"/>
      <c r="AN34" s="687"/>
      <c r="AO34" s="687"/>
      <c r="AP34" s="687"/>
      <c r="AQ34" s="689"/>
      <c r="AR34" s="746"/>
      <c r="AS34" s="687"/>
      <c r="AT34" s="687">
        <v>1</v>
      </c>
      <c r="AU34" s="687">
        <v>3</v>
      </c>
      <c r="AV34" s="687"/>
      <c r="AW34" s="687"/>
      <c r="AX34" s="689"/>
      <c r="AY34" s="759"/>
      <c r="AZ34" s="777" t="s">
        <v>204</v>
      </c>
      <c r="BA34" s="141"/>
      <c r="BB34" s="141"/>
      <c r="BC34" s="141"/>
    </row>
    <row r="35" spans="2:55" ht="18.75" customHeight="1">
      <c r="B35" s="705"/>
      <c r="C35" s="715" t="s">
        <v>205</v>
      </c>
      <c r="D35" s="774"/>
      <c r="E35" s="769"/>
      <c r="F35" s="1071"/>
      <c r="G35" s="769"/>
      <c r="H35" s="687"/>
      <c r="I35" s="1071"/>
      <c r="J35" s="688"/>
      <c r="K35" s="688"/>
      <c r="L35" s="687">
        <v>1</v>
      </c>
      <c r="M35" s="1071"/>
      <c r="N35" s="687"/>
      <c r="O35" s="687"/>
      <c r="P35" s="689"/>
      <c r="Q35" s="736"/>
      <c r="R35" s="687"/>
      <c r="S35" s="689"/>
      <c r="T35" s="689"/>
      <c r="U35" s="746"/>
      <c r="V35" s="689"/>
      <c r="W35" s="775"/>
      <c r="X35" s="766"/>
      <c r="Y35" s="776"/>
      <c r="Z35" s="687"/>
      <c r="AA35" s="687"/>
      <c r="AB35" s="687"/>
      <c r="AC35" s="689"/>
      <c r="AD35" s="746"/>
      <c r="AE35" s="687"/>
      <c r="AF35" s="687"/>
      <c r="AG35" s="687"/>
      <c r="AH35" s="687"/>
      <c r="AI35" s="687"/>
      <c r="AJ35" s="689"/>
      <c r="AK35" s="746"/>
      <c r="AL35" s="687"/>
      <c r="AM35" s="687"/>
      <c r="AN35" s="687"/>
      <c r="AO35" s="687"/>
      <c r="AP35" s="687"/>
      <c r="AQ35" s="689"/>
      <c r="AR35" s="746"/>
      <c r="AS35" s="687"/>
      <c r="AT35" s="687"/>
      <c r="AU35" s="687"/>
      <c r="AV35" s="687"/>
      <c r="AW35" s="687"/>
      <c r="AX35" s="689"/>
      <c r="AY35" s="759"/>
      <c r="AZ35" s="777" t="s">
        <v>206</v>
      </c>
      <c r="BA35" s="141"/>
      <c r="BB35" s="141"/>
      <c r="BC35" s="141"/>
    </row>
    <row r="36" spans="2:55" ht="18.75" customHeight="1">
      <c r="B36" s="705"/>
      <c r="C36" s="715" t="s">
        <v>207</v>
      </c>
      <c r="D36" s="774"/>
      <c r="E36" s="769"/>
      <c r="F36" s="1071"/>
      <c r="G36" s="769"/>
      <c r="H36" s="687"/>
      <c r="I36" s="1071"/>
      <c r="J36" s="688"/>
      <c r="K36" s="688"/>
      <c r="L36" s="687">
        <v>1</v>
      </c>
      <c r="M36" s="1071"/>
      <c r="N36" s="687"/>
      <c r="O36" s="687"/>
      <c r="P36" s="689"/>
      <c r="Q36" s="736"/>
      <c r="R36" s="687"/>
      <c r="S36" s="689"/>
      <c r="T36" s="689"/>
      <c r="U36" s="746"/>
      <c r="V36" s="689"/>
      <c r="W36" s="775"/>
      <c r="X36" s="766"/>
      <c r="Y36" s="776"/>
      <c r="Z36" s="687"/>
      <c r="AA36" s="687"/>
      <c r="AB36" s="687"/>
      <c r="AC36" s="689"/>
      <c r="AD36" s="746"/>
      <c r="AE36" s="687"/>
      <c r="AF36" s="687"/>
      <c r="AG36" s="687"/>
      <c r="AH36" s="687"/>
      <c r="AI36" s="687"/>
      <c r="AJ36" s="689"/>
      <c r="AK36" s="746"/>
      <c r="AL36" s="687"/>
      <c r="AM36" s="687"/>
      <c r="AN36" s="687"/>
      <c r="AO36" s="687"/>
      <c r="AP36" s="687"/>
      <c r="AQ36" s="689"/>
      <c r="AR36" s="746"/>
      <c r="AS36" s="687"/>
      <c r="AT36" s="687"/>
      <c r="AU36" s="687">
        <v>1</v>
      </c>
      <c r="AV36" s="687"/>
      <c r="AW36" s="687"/>
      <c r="AX36" s="689"/>
      <c r="AY36" s="759"/>
      <c r="AZ36" s="777" t="s">
        <v>204</v>
      </c>
      <c r="BA36" s="141"/>
      <c r="BB36" s="141"/>
      <c r="BC36" s="141"/>
    </row>
    <row r="37" spans="2:55" ht="18.75" customHeight="1">
      <c r="B37" s="705"/>
      <c r="C37" s="715" t="s">
        <v>208</v>
      </c>
      <c r="D37" s="774"/>
      <c r="E37" s="769"/>
      <c r="F37" s="1071"/>
      <c r="G37" s="769"/>
      <c r="H37" s="687"/>
      <c r="I37" s="1071"/>
      <c r="J37" s="688"/>
      <c r="K37" s="688"/>
      <c r="L37" s="687">
        <v>1</v>
      </c>
      <c r="M37" s="1071"/>
      <c r="N37" s="687"/>
      <c r="O37" s="687"/>
      <c r="P37" s="689"/>
      <c r="Q37" s="736"/>
      <c r="R37" s="687"/>
      <c r="S37" s="689"/>
      <c r="T37" s="689"/>
      <c r="U37" s="746"/>
      <c r="V37" s="689"/>
      <c r="W37" s="775"/>
      <c r="X37" s="766"/>
      <c r="Y37" s="776"/>
      <c r="Z37" s="687"/>
      <c r="AA37" s="687"/>
      <c r="AB37" s="687"/>
      <c r="AC37" s="689"/>
      <c r="AD37" s="746"/>
      <c r="AE37" s="687"/>
      <c r="AF37" s="687"/>
      <c r="AG37" s="687"/>
      <c r="AH37" s="687"/>
      <c r="AI37" s="687"/>
      <c r="AJ37" s="689"/>
      <c r="AK37" s="746"/>
      <c r="AL37" s="687"/>
      <c r="AM37" s="687"/>
      <c r="AN37" s="687"/>
      <c r="AO37" s="687"/>
      <c r="AP37" s="687"/>
      <c r="AQ37" s="689"/>
      <c r="AR37" s="746"/>
      <c r="AS37" s="687"/>
      <c r="AT37" s="687"/>
      <c r="AU37" s="687">
        <v>1</v>
      </c>
      <c r="AV37" s="687"/>
      <c r="AW37" s="687"/>
      <c r="AX37" s="689"/>
      <c r="AY37" s="759"/>
      <c r="AZ37" s="777" t="s">
        <v>204</v>
      </c>
      <c r="BA37" s="141"/>
      <c r="BB37" s="141"/>
      <c r="BC37" s="141"/>
    </row>
    <row r="38" spans="2:55" ht="18.75" customHeight="1">
      <c r="B38" s="705"/>
      <c r="C38" s="715" t="s">
        <v>209</v>
      </c>
      <c r="D38" s="774"/>
      <c r="E38" s="769"/>
      <c r="F38" s="1071"/>
      <c r="G38" s="769"/>
      <c r="H38" s="687"/>
      <c r="I38" s="1071"/>
      <c r="J38" s="688"/>
      <c r="K38" s="688"/>
      <c r="L38" s="687">
        <v>1</v>
      </c>
      <c r="M38" s="1071"/>
      <c r="N38" s="687"/>
      <c r="O38" s="687"/>
      <c r="P38" s="689"/>
      <c r="Q38" s="736"/>
      <c r="R38" s="687"/>
      <c r="S38" s="689"/>
      <c r="T38" s="689"/>
      <c r="U38" s="746"/>
      <c r="V38" s="689"/>
      <c r="W38" s="775"/>
      <c r="X38" s="766"/>
      <c r="Y38" s="776"/>
      <c r="Z38" s="687"/>
      <c r="AA38" s="687"/>
      <c r="AB38" s="687"/>
      <c r="AC38" s="689"/>
      <c r="AD38" s="746"/>
      <c r="AE38" s="687"/>
      <c r="AF38" s="687"/>
      <c r="AG38" s="687"/>
      <c r="AH38" s="687"/>
      <c r="AI38" s="687"/>
      <c r="AJ38" s="689"/>
      <c r="AK38" s="746"/>
      <c r="AL38" s="687"/>
      <c r="AM38" s="687"/>
      <c r="AN38" s="687"/>
      <c r="AO38" s="687"/>
      <c r="AP38" s="687"/>
      <c r="AQ38" s="689"/>
      <c r="AR38" s="746"/>
      <c r="AS38" s="687"/>
      <c r="AT38" s="687"/>
      <c r="AU38" s="687">
        <v>1</v>
      </c>
      <c r="AV38" s="687"/>
      <c r="AW38" s="687"/>
      <c r="AX38" s="689"/>
      <c r="AY38" s="759"/>
      <c r="AZ38" s="777" t="s">
        <v>204</v>
      </c>
      <c r="BA38" s="141"/>
      <c r="BB38" s="141"/>
      <c r="BC38" s="141"/>
    </row>
    <row r="39" spans="2:55" ht="18.75" customHeight="1">
      <c r="B39" s="705"/>
      <c r="C39" s="715" t="s">
        <v>210</v>
      </c>
      <c r="D39" s="774"/>
      <c r="E39" s="769"/>
      <c r="F39" s="1072"/>
      <c r="G39" s="769"/>
      <c r="H39" s="687"/>
      <c r="I39" s="1072"/>
      <c r="J39" s="688"/>
      <c r="K39" s="688"/>
      <c r="L39" s="687">
        <v>1</v>
      </c>
      <c r="M39" s="1072"/>
      <c r="N39" s="687"/>
      <c r="O39" s="687"/>
      <c r="P39" s="689"/>
      <c r="Q39" s="736"/>
      <c r="R39" s="687"/>
      <c r="S39" s="689"/>
      <c r="T39" s="689"/>
      <c r="U39" s="746"/>
      <c r="V39" s="689"/>
      <c r="W39" s="775"/>
      <c r="X39" s="766"/>
      <c r="Y39" s="776"/>
      <c r="Z39" s="687"/>
      <c r="AA39" s="687"/>
      <c r="AB39" s="687"/>
      <c r="AC39" s="689"/>
      <c r="AD39" s="746"/>
      <c r="AE39" s="687"/>
      <c r="AF39" s="687"/>
      <c r="AG39" s="687"/>
      <c r="AH39" s="687"/>
      <c r="AI39" s="687"/>
      <c r="AJ39" s="689"/>
      <c r="AK39" s="746"/>
      <c r="AL39" s="687"/>
      <c r="AM39" s="687"/>
      <c r="AN39" s="687"/>
      <c r="AO39" s="687"/>
      <c r="AP39" s="687"/>
      <c r="AQ39" s="689"/>
      <c r="AR39" s="746"/>
      <c r="AS39" s="687"/>
      <c r="AT39" s="687"/>
      <c r="AU39" s="687">
        <v>1</v>
      </c>
      <c r="AV39" s="687"/>
      <c r="AW39" s="687"/>
      <c r="AX39" s="689"/>
      <c r="AY39" s="759"/>
      <c r="AZ39" s="777" t="s">
        <v>204</v>
      </c>
      <c r="BA39" s="141"/>
      <c r="BB39" s="141"/>
      <c r="BC39" s="141"/>
    </row>
    <row r="40" spans="2:55" ht="14.5">
      <c r="B40" s="675">
        <v>11</v>
      </c>
      <c r="C40" s="676" t="s">
        <v>53</v>
      </c>
      <c r="D40" s="724">
        <v>0</v>
      </c>
      <c r="E40" s="518">
        <v>0</v>
      </c>
      <c r="F40" s="518">
        <v>0</v>
      </c>
      <c r="G40" s="518">
        <v>0</v>
      </c>
      <c r="H40" s="73"/>
      <c r="I40" s="73"/>
      <c r="J40" s="73"/>
      <c r="K40" s="73"/>
      <c r="L40" s="73"/>
      <c r="M40" s="73"/>
      <c r="N40" s="73"/>
      <c r="O40" s="73"/>
      <c r="P40" s="261"/>
      <c r="Q40" s="234"/>
      <c r="R40" s="73">
        <v>3</v>
      </c>
      <c r="S40" s="261"/>
      <c r="T40" s="261"/>
      <c r="U40" s="234"/>
      <c r="V40" s="261"/>
      <c r="W40" s="767"/>
      <c r="X40" s="73"/>
      <c r="Y40" s="270"/>
      <c r="Z40" s="62"/>
      <c r="AA40" s="73"/>
      <c r="AB40" s="73"/>
      <c r="AC40" s="261"/>
      <c r="AD40" s="234"/>
      <c r="AE40" s="73"/>
      <c r="AF40" s="73"/>
      <c r="AG40" s="73"/>
      <c r="AH40" s="73"/>
      <c r="AI40" s="73"/>
      <c r="AJ40" s="261"/>
      <c r="AK40" s="234"/>
      <c r="AL40" s="73"/>
      <c r="AM40" s="73"/>
      <c r="AN40" s="73"/>
      <c r="AO40" s="73"/>
      <c r="AP40" s="73"/>
      <c r="AQ40" s="261"/>
      <c r="AR40" s="234"/>
      <c r="AS40" s="73"/>
      <c r="AT40" s="73"/>
      <c r="AU40" s="73">
        <v>1</v>
      </c>
      <c r="AV40" s="73"/>
      <c r="AW40" s="73"/>
      <c r="AX40" s="261"/>
      <c r="AY40" s="760"/>
      <c r="AZ40" s="20"/>
    </row>
    <row r="41" spans="2:55" ht="14.5">
      <c r="B41" s="675">
        <v>12</v>
      </c>
      <c r="C41" s="676" t="s">
        <v>54</v>
      </c>
      <c r="D41" s="724">
        <v>1</v>
      </c>
      <c r="E41" s="73">
        <v>3</v>
      </c>
      <c r="F41" s="73">
        <v>1</v>
      </c>
      <c r="G41" s="73">
        <v>3</v>
      </c>
      <c r="H41" s="73"/>
      <c r="I41" s="62">
        <v>2</v>
      </c>
      <c r="J41" s="73"/>
      <c r="K41" s="73"/>
      <c r="L41" s="73">
        <v>1</v>
      </c>
      <c r="M41" s="73"/>
      <c r="N41" s="73"/>
      <c r="O41" s="73"/>
      <c r="P41" s="261"/>
      <c r="Q41" s="234"/>
      <c r="R41" s="73">
        <v>2</v>
      </c>
      <c r="S41" s="261"/>
      <c r="T41" s="261"/>
      <c r="U41" s="234"/>
      <c r="V41" s="261"/>
      <c r="W41" s="234">
        <v>0.25</v>
      </c>
      <c r="X41" s="768">
        <v>0.25</v>
      </c>
      <c r="Y41" s="73"/>
      <c r="Z41" s="62"/>
      <c r="AA41" s="73"/>
      <c r="AB41" s="73"/>
      <c r="AC41" s="261"/>
      <c r="AD41" s="234"/>
      <c r="AE41" s="73">
        <v>0.25</v>
      </c>
      <c r="AF41" s="73"/>
      <c r="AG41" s="73"/>
      <c r="AH41" s="73"/>
      <c r="AI41" s="73"/>
      <c r="AJ41" s="261"/>
      <c r="AK41" s="234"/>
      <c r="AL41" s="73">
        <v>0.5</v>
      </c>
      <c r="AM41" s="73">
        <v>0.5</v>
      </c>
      <c r="AN41" s="73">
        <v>0.25</v>
      </c>
      <c r="AO41" s="73"/>
      <c r="AP41" s="73"/>
      <c r="AQ41" s="261"/>
      <c r="AR41" s="234"/>
      <c r="AS41" s="73"/>
      <c r="AT41" s="73">
        <v>0.5</v>
      </c>
      <c r="AU41" s="73">
        <v>2</v>
      </c>
      <c r="AV41" s="73"/>
      <c r="AW41" s="73"/>
      <c r="AX41" s="261"/>
      <c r="AY41" s="760"/>
      <c r="AZ41" s="20"/>
    </row>
    <row r="42" spans="2:55" ht="14.5">
      <c r="B42" s="675">
        <v>13</v>
      </c>
      <c r="C42" s="676" t="s">
        <v>55</v>
      </c>
      <c r="D42" s="724">
        <v>0.5</v>
      </c>
      <c r="E42" s="518">
        <v>1</v>
      </c>
      <c r="F42" s="73">
        <v>1</v>
      </c>
      <c r="G42" s="73">
        <v>1</v>
      </c>
      <c r="H42" s="73"/>
      <c r="I42" s="73">
        <v>1</v>
      </c>
      <c r="J42" s="73"/>
      <c r="K42" s="73"/>
      <c r="L42" s="73">
        <v>1</v>
      </c>
      <c r="M42" s="73"/>
      <c r="N42" s="73"/>
      <c r="O42" s="73"/>
      <c r="P42" s="261"/>
      <c r="Q42" s="234"/>
      <c r="R42" s="518">
        <v>1</v>
      </c>
      <c r="S42" s="261"/>
      <c r="T42" s="261"/>
      <c r="U42" s="234"/>
      <c r="V42" s="261"/>
      <c r="W42" s="234">
        <v>0.25</v>
      </c>
      <c r="X42" s="73">
        <v>0.25</v>
      </c>
      <c r="Y42" s="73"/>
      <c r="Z42" s="62"/>
      <c r="AA42" s="73"/>
      <c r="AB42" s="73"/>
      <c r="AC42" s="261"/>
      <c r="AD42" s="234"/>
      <c r="AE42" s="73">
        <v>0.25</v>
      </c>
      <c r="AF42" s="73"/>
      <c r="AG42" s="73">
        <v>0.25</v>
      </c>
      <c r="AH42" s="73"/>
      <c r="AI42" s="73"/>
      <c r="AJ42" s="261"/>
      <c r="AK42" s="234"/>
      <c r="AL42" s="73">
        <v>0.25</v>
      </c>
      <c r="AM42" s="73">
        <v>0.25</v>
      </c>
      <c r="AN42" s="73"/>
      <c r="AO42" s="73"/>
      <c r="AP42" s="73"/>
      <c r="AQ42" s="261"/>
      <c r="AR42" s="234"/>
      <c r="AS42" s="73"/>
      <c r="AT42" s="73">
        <v>0.5</v>
      </c>
      <c r="AU42" s="73">
        <v>2</v>
      </c>
      <c r="AV42" s="73"/>
      <c r="AW42" s="73"/>
      <c r="AX42" s="261"/>
      <c r="AY42" s="760"/>
      <c r="AZ42" s="20"/>
    </row>
    <row r="43" spans="2:55" ht="14.5">
      <c r="B43" s="675">
        <v>14</v>
      </c>
      <c r="C43" s="676" t="s">
        <v>56</v>
      </c>
      <c r="D43" s="270"/>
      <c r="E43" s="73"/>
      <c r="F43" s="73"/>
      <c r="G43" s="73">
        <v>1</v>
      </c>
      <c r="H43" s="73"/>
      <c r="I43" s="73"/>
      <c r="J43" s="73"/>
      <c r="K43" s="73"/>
      <c r="L43" s="73"/>
      <c r="M43" s="73"/>
      <c r="N43" s="73"/>
      <c r="O43" s="73"/>
      <c r="P43" s="261"/>
      <c r="Q43" s="234"/>
      <c r="R43" s="73"/>
      <c r="S43" s="261"/>
      <c r="T43" s="261"/>
      <c r="U43" s="234"/>
      <c r="V43" s="261"/>
      <c r="W43" s="234"/>
      <c r="X43" s="73">
        <v>0.25</v>
      </c>
      <c r="Y43" s="73">
        <v>0.5</v>
      </c>
      <c r="Z43" s="73"/>
      <c r="AA43" s="73"/>
      <c r="AB43" s="73"/>
      <c r="AC43" s="261"/>
      <c r="AD43" s="234"/>
      <c r="AE43" s="73">
        <v>0.25</v>
      </c>
      <c r="AF43" s="73">
        <v>0.5</v>
      </c>
      <c r="AG43" s="73"/>
      <c r="AH43" s="73"/>
      <c r="AI43" s="73"/>
      <c r="AJ43" s="261"/>
      <c r="AK43" s="234"/>
      <c r="AL43" s="73">
        <v>0.25</v>
      </c>
      <c r="AM43" s="73">
        <v>1</v>
      </c>
      <c r="AN43" s="73"/>
      <c r="AO43" s="73"/>
      <c r="AP43" s="73"/>
      <c r="AQ43" s="261">
        <v>1</v>
      </c>
      <c r="AR43" s="234"/>
      <c r="AS43" s="73"/>
      <c r="AT43" s="73"/>
      <c r="AU43" s="73">
        <v>2</v>
      </c>
      <c r="AV43" s="73"/>
      <c r="AW43" s="73"/>
      <c r="AX43" s="261"/>
      <c r="AY43" s="760"/>
      <c r="AZ43" s="20"/>
    </row>
    <row r="44" spans="2:55" ht="14.5">
      <c r="B44" s="675">
        <v>15</v>
      </c>
      <c r="C44" s="676" t="s">
        <v>57</v>
      </c>
      <c r="D44" s="271"/>
      <c r="E44" s="62">
        <v>0.5</v>
      </c>
      <c r="F44" s="62"/>
      <c r="G44" s="62">
        <v>1</v>
      </c>
      <c r="H44" s="62"/>
      <c r="I44" s="62"/>
      <c r="J44" s="62"/>
      <c r="K44" s="62"/>
      <c r="L44" s="62"/>
      <c r="M44" s="62"/>
      <c r="N44" s="62"/>
      <c r="O44" s="62"/>
      <c r="P44" s="262">
        <v>3</v>
      </c>
      <c r="Q44" s="233"/>
      <c r="R44" s="62"/>
      <c r="S44" s="262"/>
      <c r="T44" s="262"/>
      <c r="U44" s="233"/>
      <c r="V44" s="262"/>
      <c r="W44" s="233"/>
      <c r="X44" s="73">
        <v>0.25</v>
      </c>
      <c r="Y44" s="62">
        <v>0.5</v>
      </c>
      <c r="Z44" s="62"/>
      <c r="AA44" s="62"/>
      <c r="AB44" s="62"/>
      <c r="AC44" s="262"/>
      <c r="AD44" s="233"/>
      <c r="AE44" s="62">
        <v>0.25</v>
      </c>
      <c r="AF44" s="62">
        <v>0.5</v>
      </c>
      <c r="AG44" s="62"/>
      <c r="AH44" s="62"/>
      <c r="AI44" s="62"/>
      <c r="AJ44" s="262">
        <v>1</v>
      </c>
      <c r="AK44" s="233"/>
      <c r="AL44" s="62">
        <v>0.25</v>
      </c>
      <c r="AM44" s="62">
        <v>1</v>
      </c>
      <c r="AN44" s="62">
        <v>0.25</v>
      </c>
      <c r="AO44" s="62"/>
      <c r="AP44" s="62"/>
      <c r="AQ44" s="262"/>
      <c r="AR44" s="233"/>
      <c r="AS44" s="62"/>
      <c r="AT44" s="62"/>
      <c r="AU44" s="62"/>
      <c r="AV44" s="62"/>
      <c r="AW44" s="62"/>
      <c r="AX44" s="262"/>
      <c r="AY44" s="754"/>
      <c r="AZ44" s="20"/>
    </row>
    <row r="45" spans="2:55" ht="14.5">
      <c r="B45" s="675">
        <v>16</v>
      </c>
      <c r="C45" s="676" t="s">
        <v>235</v>
      </c>
      <c r="D45" s="271"/>
      <c r="E45" s="62">
        <v>2</v>
      </c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262"/>
      <c r="Q45" s="233"/>
      <c r="R45" s="62"/>
      <c r="S45" s="262"/>
      <c r="T45" s="262"/>
      <c r="U45" s="233"/>
      <c r="V45" s="262"/>
      <c r="W45" s="233"/>
      <c r="X45" s="73"/>
      <c r="Y45" s="62"/>
      <c r="Z45" s="62"/>
      <c r="AA45" s="62"/>
      <c r="AB45" s="62"/>
      <c r="AC45" s="262"/>
      <c r="AD45" s="233"/>
      <c r="AE45" s="62"/>
      <c r="AF45" s="62"/>
      <c r="AG45" s="62"/>
      <c r="AH45" s="62"/>
      <c r="AI45" s="62"/>
      <c r="AJ45" s="262"/>
      <c r="AK45" s="233"/>
      <c r="AL45" s="62"/>
      <c r="AM45" s="62"/>
      <c r="AN45" s="62"/>
      <c r="AO45" s="62"/>
      <c r="AP45" s="62"/>
      <c r="AQ45" s="262"/>
      <c r="AR45" s="233"/>
      <c r="AS45" s="62"/>
      <c r="AT45" s="62"/>
      <c r="AU45" s="62"/>
      <c r="AV45" s="62"/>
      <c r="AW45" s="62"/>
      <c r="AX45" s="262"/>
      <c r="AY45" s="754"/>
      <c r="AZ45" s="20"/>
    </row>
    <row r="46" spans="2:55" ht="14.5">
      <c r="B46" s="675">
        <v>17</v>
      </c>
      <c r="C46" s="676" t="s">
        <v>106</v>
      </c>
      <c r="D46" s="271">
        <v>0.5</v>
      </c>
      <c r="E46" s="62">
        <f>2+5</f>
        <v>7</v>
      </c>
      <c r="F46" s="62"/>
      <c r="G46" s="62">
        <f>2+2</f>
        <v>4</v>
      </c>
      <c r="H46" s="62"/>
      <c r="I46" s="62"/>
      <c r="J46" s="62"/>
      <c r="K46" s="62"/>
      <c r="L46" s="62">
        <f>0.5+0.5</f>
        <v>1</v>
      </c>
      <c r="M46" s="62"/>
      <c r="N46" s="62"/>
      <c r="O46" s="62">
        <v>2</v>
      </c>
      <c r="P46" s="262"/>
      <c r="Q46" s="233"/>
      <c r="R46" s="62">
        <v>1</v>
      </c>
      <c r="S46" s="262"/>
      <c r="T46" s="262"/>
      <c r="U46" s="233"/>
      <c r="V46" s="262"/>
      <c r="W46" s="233"/>
      <c r="X46" s="62">
        <v>0.125</v>
      </c>
      <c r="Y46" s="62">
        <v>0.125</v>
      </c>
      <c r="Z46" s="73"/>
      <c r="AA46" s="62"/>
      <c r="AB46" s="62"/>
      <c r="AC46" s="262">
        <v>1</v>
      </c>
      <c r="AD46" s="233"/>
      <c r="AE46" s="62">
        <v>0.25</v>
      </c>
      <c r="AF46" s="62">
        <v>0.25</v>
      </c>
      <c r="AG46" s="62">
        <v>0.25</v>
      </c>
      <c r="AH46" s="62"/>
      <c r="AI46" s="62"/>
      <c r="AJ46" s="262">
        <v>1</v>
      </c>
      <c r="AK46" s="233"/>
      <c r="AL46" s="73">
        <v>1</v>
      </c>
      <c r="AM46" s="62">
        <v>1</v>
      </c>
      <c r="AN46" s="62">
        <v>1</v>
      </c>
      <c r="AO46" s="62"/>
      <c r="AP46" s="62"/>
      <c r="AQ46" s="262">
        <v>1</v>
      </c>
      <c r="AR46" s="233"/>
      <c r="AS46" s="62"/>
      <c r="AT46" s="62">
        <v>1</v>
      </c>
      <c r="AU46" s="62">
        <v>1</v>
      </c>
      <c r="AV46" s="62"/>
      <c r="AW46" s="62"/>
      <c r="AX46" s="262"/>
      <c r="AY46" s="754"/>
      <c r="AZ46" s="20"/>
    </row>
    <row r="47" spans="2:55" ht="14.5">
      <c r="B47" s="708"/>
      <c r="C47" s="716" t="s">
        <v>123</v>
      </c>
      <c r="D47" s="725">
        <f>15%*SUM(D3:D46)</f>
        <v>2.4</v>
      </c>
      <c r="E47" s="709">
        <f t="shared" ref="E47:AY47" si="0">15%*SUM(E3:E46)</f>
        <v>5.1749999999999998</v>
      </c>
      <c r="F47" s="709">
        <f t="shared" si="0"/>
        <v>2.6999999999999997</v>
      </c>
      <c r="G47" s="709">
        <f t="shared" si="0"/>
        <v>7.05</v>
      </c>
      <c r="H47" s="709">
        <f t="shared" si="0"/>
        <v>0</v>
      </c>
      <c r="I47" s="709">
        <f t="shared" si="0"/>
        <v>2.5499999999999998</v>
      </c>
      <c r="J47" s="709">
        <f t="shared" si="0"/>
        <v>0</v>
      </c>
      <c r="K47" s="709">
        <f t="shared" si="0"/>
        <v>0</v>
      </c>
      <c r="L47" s="709">
        <f t="shared" si="0"/>
        <v>2.25</v>
      </c>
      <c r="M47" s="709">
        <f t="shared" si="0"/>
        <v>0.44999999999999996</v>
      </c>
      <c r="N47" s="709">
        <f t="shared" si="0"/>
        <v>0</v>
      </c>
      <c r="O47" s="709">
        <f t="shared" si="0"/>
        <v>0.3</v>
      </c>
      <c r="P47" s="741">
        <f t="shared" si="0"/>
        <v>0.44999999999999996</v>
      </c>
      <c r="Q47" s="737">
        <f t="shared" si="0"/>
        <v>0</v>
      </c>
      <c r="R47" s="709">
        <f t="shared" si="0"/>
        <v>4.6499999999999995</v>
      </c>
      <c r="S47" s="741">
        <f t="shared" si="0"/>
        <v>0.75</v>
      </c>
      <c r="T47" s="741">
        <f t="shared" si="0"/>
        <v>0.3</v>
      </c>
      <c r="U47" s="737">
        <f t="shared" si="0"/>
        <v>0</v>
      </c>
      <c r="V47" s="741">
        <f t="shared" si="0"/>
        <v>0</v>
      </c>
      <c r="W47" s="737">
        <f t="shared" si="0"/>
        <v>7.4999999999999997E-2</v>
      </c>
      <c r="X47" s="709">
        <f t="shared" si="0"/>
        <v>0.24374999999999999</v>
      </c>
      <c r="Y47" s="709">
        <f t="shared" si="0"/>
        <v>0.16874999999999998</v>
      </c>
      <c r="Z47" s="709">
        <f t="shared" si="0"/>
        <v>0</v>
      </c>
      <c r="AA47" s="709">
        <f t="shared" si="0"/>
        <v>0</v>
      </c>
      <c r="AB47" s="709">
        <f t="shared" si="0"/>
        <v>0</v>
      </c>
      <c r="AC47" s="741">
        <f t="shared" si="0"/>
        <v>0.15</v>
      </c>
      <c r="AD47" s="737">
        <f t="shared" si="0"/>
        <v>0</v>
      </c>
      <c r="AE47" s="709">
        <f t="shared" si="0"/>
        <v>0.1875</v>
      </c>
      <c r="AF47" s="709">
        <f>15%*SUM(AF3:AF46)</f>
        <v>0.1875</v>
      </c>
      <c r="AG47" s="709">
        <f>15%*SUM(AG3:AG46)</f>
        <v>7.4999999999999997E-2</v>
      </c>
      <c r="AH47" s="709">
        <f t="shared" si="0"/>
        <v>0</v>
      </c>
      <c r="AI47" s="709">
        <f t="shared" si="0"/>
        <v>0</v>
      </c>
      <c r="AJ47" s="741">
        <f t="shared" si="0"/>
        <v>0.3</v>
      </c>
      <c r="AK47" s="737">
        <f t="shared" si="0"/>
        <v>0</v>
      </c>
      <c r="AL47" s="709">
        <f>15%*SUM(AL3:AL46)</f>
        <v>0.5625</v>
      </c>
      <c r="AM47" s="709">
        <f t="shared" si="0"/>
        <v>1.0874999999999999</v>
      </c>
      <c r="AN47" s="709">
        <f t="shared" si="0"/>
        <v>0.375</v>
      </c>
      <c r="AO47" s="709">
        <f t="shared" si="0"/>
        <v>0</v>
      </c>
      <c r="AP47" s="709">
        <f t="shared" si="0"/>
        <v>0</v>
      </c>
      <c r="AQ47" s="741">
        <f t="shared" si="0"/>
        <v>0.3</v>
      </c>
      <c r="AR47" s="737">
        <f t="shared" si="0"/>
        <v>0</v>
      </c>
      <c r="AS47" s="709">
        <f t="shared" si="0"/>
        <v>0</v>
      </c>
      <c r="AT47" s="709">
        <f t="shared" si="0"/>
        <v>0.44999999999999996</v>
      </c>
      <c r="AU47" s="709">
        <f t="shared" si="0"/>
        <v>2.25</v>
      </c>
      <c r="AV47" s="709">
        <f t="shared" si="0"/>
        <v>0</v>
      </c>
      <c r="AW47" s="709">
        <f t="shared" si="0"/>
        <v>0</v>
      </c>
      <c r="AX47" s="741">
        <f t="shared" si="0"/>
        <v>0</v>
      </c>
      <c r="AY47" s="761">
        <f t="shared" si="0"/>
        <v>0.44999999999999996</v>
      </c>
      <c r="AZ47" s="20"/>
    </row>
    <row r="48" spans="2:55" ht="14.5">
      <c r="B48" s="706"/>
      <c r="C48" s="717" t="s">
        <v>26</v>
      </c>
      <c r="D48" s="726">
        <f>SUM(D3:D47)</f>
        <v>18.399999999999999</v>
      </c>
      <c r="E48" s="707">
        <f t="shared" ref="E48:AY48" si="1">SUM(E3:E47)</f>
        <v>39.674999999999997</v>
      </c>
      <c r="F48" s="707">
        <f t="shared" si="1"/>
        <v>20.7</v>
      </c>
      <c r="G48" s="707">
        <f t="shared" si="1"/>
        <v>54.05</v>
      </c>
      <c r="H48" s="707">
        <f t="shared" si="1"/>
        <v>0</v>
      </c>
      <c r="I48" s="707">
        <f t="shared" si="1"/>
        <v>19.55</v>
      </c>
      <c r="J48" s="707">
        <f t="shared" si="1"/>
        <v>0</v>
      </c>
      <c r="K48" s="707">
        <f t="shared" si="1"/>
        <v>0</v>
      </c>
      <c r="L48" s="707">
        <f t="shared" si="1"/>
        <v>17.25</v>
      </c>
      <c r="M48" s="707">
        <f t="shared" si="1"/>
        <v>3.45</v>
      </c>
      <c r="N48" s="707">
        <f t="shared" si="1"/>
        <v>0</v>
      </c>
      <c r="O48" s="707">
        <f t="shared" si="1"/>
        <v>2.2999999999999998</v>
      </c>
      <c r="P48" s="742">
        <f t="shared" si="1"/>
        <v>3.45</v>
      </c>
      <c r="Q48" s="738">
        <f t="shared" si="1"/>
        <v>0</v>
      </c>
      <c r="R48" s="707">
        <f>SUM(R3:R47)</f>
        <v>35.65</v>
      </c>
      <c r="S48" s="742">
        <f t="shared" ref="S48" si="2">SUM(S3:S47)</f>
        <v>5.75</v>
      </c>
      <c r="T48" s="742">
        <f t="shared" si="1"/>
        <v>2.2999999999999998</v>
      </c>
      <c r="U48" s="738">
        <f t="shared" si="1"/>
        <v>0</v>
      </c>
      <c r="V48" s="742">
        <f t="shared" si="1"/>
        <v>0</v>
      </c>
      <c r="W48" s="738">
        <f t="shared" si="1"/>
        <v>0.57499999999999996</v>
      </c>
      <c r="X48" s="707">
        <f t="shared" si="1"/>
        <v>1.8687499999999999</v>
      </c>
      <c r="Y48" s="707">
        <f t="shared" si="1"/>
        <v>1.29375</v>
      </c>
      <c r="Z48" s="707">
        <f t="shared" si="1"/>
        <v>0</v>
      </c>
      <c r="AA48" s="707">
        <f t="shared" si="1"/>
        <v>0</v>
      </c>
      <c r="AB48" s="707">
        <f t="shared" si="1"/>
        <v>0</v>
      </c>
      <c r="AC48" s="742">
        <f t="shared" si="1"/>
        <v>1.1499999999999999</v>
      </c>
      <c r="AD48" s="738">
        <f t="shared" si="1"/>
        <v>0</v>
      </c>
      <c r="AE48" s="707">
        <f>SUM(AE3:AE47)</f>
        <v>1.4375</v>
      </c>
      <c r="AF48" s="707">
        <f t="shared" si="1"/>
        <v>1.4375</v>
      </c>
      <c r="AG48" s="707">
        <f>SUM(AG3:AG47)</f>
        <v>0.57499999999999996</v>
      </c>
      <c r="AH48" s="707">
        <f t="shared" si="1"/>
        <v>0</v>
      </c>
      <c r="AI48" s="707">
        <f t="shared" si="1"/>
        <v>0</v>
      </c>
      <c r="AJ48" s="742">
        <f t="shared" si="1"/>
        <v>2.2999999999999998</v>
      </c>
      <c r="AK48" s="738">
        <f t="shared" si="1"/>
        <v>0</v>
      </c>
      <c r="AL48" s="707">
        <f t="shared" si="1"/>
        <v>4.3125</v>
      </c>
      <c r="AM48" s="707">
        <f t="shared" si="1"/>
        <v>8.3375000000000004</v>
      </c>
      <c r="AN48" s="707">
        <f t="shared" si="1"/>
        <v>2.875</v>
      </c>
      <c r="AO48" s="707">
        <f t="shared" si="1"/>
        <v>0</v>
      </c>
      <c r="AP48" s="707">
        <f t="shared" si="1"/>
        <v>0</v>
      </c>
      <c r="AQ48" s="742">
        <f t="shared" si="1"/>
        <v>2.2999999999999998</v>
      </c>
      <c r="AR48" s="738">
        <f t="shared" si="1"/>
        <v>0</v>
      </c>
      <c r="AS48" s="707">
        <f t="shared" si="1"/>
        <v>0</v>
      </c>
      <c r="AT48" s="707">
        <f t="shared" si="1"/>
        <v>3.45</v>
      </c>
      <c r="AU48" s="707">
        <f t="shared" si="1"/>
        <v>17.25</v>
      </c>
      <c r="AV48" s="707">
        <f t="shared" si="1"/>
        <v>0</v>
      </c>
      <c r="AW48" s="707">
        <f t="shared" si="1"/>
        <v>0</v>
      </c>
      <c r="AX48" s="742">
        <f t="shared" si="1"/>
        <v>0</v>
      </c>
      <c r="AY48" s="762">
        <f t="shared" si="1"/>
        <v>3.45</v>
      </c>
      <c r="AZ48" s="567">
        <f>SUM(D48:AY48)</f>
        <v>275.13749999999999</v>
      </c>
    </row>
    <row r="49" spans="2:54" ht="14.5">
      <c r="B49" s="675"/>
      <c r="C49" s="718" t="s">
        <v>27</v>
      </c>
      <c r="D49" s="727">
        <v>8500</v>
      </c>
      <c r="E49" s="453">
        <v>8500</v>
      </c>
      <c r="F49" s="453">
        <v>14000</v>
      </c>
      <c r="G49" s="453">
        <v>14000</v>
      </c>
      <c r="H49" s="453">
        <v>8500</v>
      </c>
      <c r="I49" s="453">
        <v>8500</v>
      </c>
      <c r="J49" s="453">
        <v>8500</v>
      </c>
      <c r="K49" s="453">
        <v>8500</v>
      </c>
      <c r="L49" s="453">
        <v>8500</v>
      </c>
      <c r="M49" s="453">
        <v>14000</v>
      </c>
      <c r="N49" s="453">
        <v>8500</v>
      </c>
      <c r="O49" s="453">
        <v>8500</v>
      </c>
      <c r="P49" s="743">
        <v>8500</v>
      </c>
      <c r="Q49" s="452">
        <v>14000</v>
      </c>
      <c r="R49" s="453">
        <v>14000</v>
      </c>
      <c r="S49" s="743">
        <v>7500</v>
      </c>
      <c r="T49" s="453">
        <v>14000</v>
      </c>
      <c r="U49" s="452">
        <v>8500</v>
      </c>
      <c r="V49" s="743">
        <v>8500</v>
      </c>
      <c r="W49" s="452">
        <v>14000</v>
      </c>
      <c r="X49" s="453">
        <v>8500</v>
      </c>
      <c r="Y49" s="453">
        <v>14000</v>
      </c>
      <c r="Z49" s="453">
        <v>8500</v>
      </c>
      <c r="AA49" s="453">
        <v>8500</v>
      </c>
      <c r="AB49" s="453">
        <v>8500</v>
      </c>
      <c r="AC49" s="743">
        <v>8500</v>
      </c>
      <c r="AD49" s="452">
        <v>14000</v>
      </c>
      <c r="AE49" s="453">
        <v>8500</v>
      </c>
      <c r="AF49" s="453">
        <v>14000</v>
      </c>
      <c r="AG49" s="453">
        <v>8500</v>
      </c>
      <c r="AH49" s="453">
        <v>8500</v>
      </c>
      <c r="AI49" s="453">
        <v>8500</v>
      </c>
      <c r="AJ49" s="743">
        <v>8500</v>
      </c>
      <c r="AK49" s="452">
        <v>14000</v>
      </c>
      <c r="AL49" s="453">
        <v>8500</v>
      </c>
      <c r="AM49" s="453">
        <v>14000</v>
      </c>
      <c r="AN49" s="453">
        <v>8500</v>
      </c>
      <c r="AO49" s="453">
        <v>8500</v>
      </c>
      <c r="AP49" s="453">
        <v>8500</v>
      </c>
      <c r="AQ49" s="743">
        <v>8500</v>
      </c>
      <c r="AR49" s="452">
        <v>14000</v>
      </c>
      <c r="AS49" s="453">
        <v>8500</v>
      </c>
      <c r="AT49" s="453">
        <v>14000</v>
      </c>
      <c r="AU49" s="453">
        <v>8500</v>
      </c>
      <c r="AV49" s="453">
        <v>8500</v>
      </c>
      <c r="AW49" s="453">
        <v>8500</v>
      </c>
      <c r="AX49" s="743">
        <v>8500</v>
      </c>
      <c r="AY49" s="763">
        <v>8500</v>
      </c>
    </row>
    <row r="50" spans="2:54" ht="14.5">
      <c r="B50" s="677"/>
      <c r="C50" s="719" t="s">
        <v>28</v>
      </c>
      <c r="D50" s="728">
        <f>D48*D49</f>
        <v>156400</v>
      </c>
      <c r="E50" s="459">
        <f t="shared" ref="E50:AY50" si="3">E48*E49</f>
        <v>337237.5</v>
      </c>
      <c r="F50" s="459">
        <f t="shared" si="3"/>
        <v>289800</v>
      </c>
      <c r="G50" s="459">
        <f t="shared" si="3"/>
        <v>756700</v>
      </c>
      <c r="H50" s="459">
        <f t="shared" si="3"/>
        <v>0</v>
      </c>
      <c r="I50" s="459">
        <f t="shared" si="3"/>
        <v>166175</v>
      </c>
      <c r="J50" s="459">
        <f t="shared" si="3"/>
        <v>0</v>
      </c>
      <c r="K50" s="459">
        <f t="shared" si="3"/>
        <v>0</v>
      </c>
      <c r="L50" s="459">
        <f t="shared" si="3"/>
        <v>146625</v>
      </c>
      <c r="M50" s="459">
        <f t="shared" si="3"/>
        <v>48300</v>
      </c>
      <c r="N50" s="459">
        <f t="shared" si="3"/>
        <v>0</v>
      </c>
      <c r="O50" s="459">
        <f t="shared" si="3"/>
        <v>19550</v>
      </c>
      <c r="P50" s="744">
        <f t="shared" si="3"/>
        <v>29325</v>
      </c>
      <c r="Q50" s="458">
        <f t="shared" si="3"/>
        <v>0</v>
      </c>
      <c r="R50" s="459">
        <f t="shared" si="3"/>
        <v>499100</v>
      </c>
      <c r="S50" s="744">
        <f t="shared" si="3"/>
        <v>43125</v>
      </c>
      <c r="T50" s="744">
        <f t="shared" si="3"/>
        <v>32199.999999999996</v>
      </c>
      <c r="U50" s="458">
        <f t="shared" si="3"/>
        <v>0</v>
      </c>
      <c r="V50" s="744">
        <f t="shared" si="3"/>
        <v>0</v>
      </c>
      <c r="W50" s="458">
        <f t="shared" si="3"/>
        <v>8049.9999999999991</v>
      </c>
      <c r="X50" s="459">
        <f t="shared" si="3"/>
        <v>15884.375</v>
      </c>
      <c r="Y50" s="459">
        <f t="shared" si="3"/>
        <v>18112.5</v>
      </c>
      <c r="Z50" s="459">
        <f t="shared" si="3"/>
        <v>0</v>
      </c>
      <c r="AA50" s="459">
        <f t="shared" si="3"/>
        <v>0</v>
      </c>
      <c r="AB50" s="459">
        <f t="shared" si="3"/>
        <v>0</v>
      </c>
      <c r="AC50" s="744">
        <f t="shared" si="3"/>
        <v>9775</v>
      </c>
      <c r="AD50" s="458">
        <f>AD48*AD49</f>
        <v>0</v>
      </c>
      <c r="AE50" s="459">
        <f>AE48*AE49</f>
        <v>12218.75</v>
      </c>
      <c r="AF50" s="459">
        <f t="shared" si="3"/>
        <v>20125</v>
      </c>
      <c r="AG50" s="459">
        <f t="shared" si="3"/>
        <v>4887.5</v>
      </c>
      <c r="AH50" s="459">
        <f t="shared" si="3"/>
        <v>0</v>
      </c>
      <c r="AI50" s="459">
        <f t="shared" si="3"/>
        <v>0</v>
      </c>
      <c r="AJ50" s="744">
        <f t="shared" si="3"/>
        <v>19550</v>
      </c>
      <c r="AK50" s="458">
        <f t="shared" si="3"/>
        <v>0</v>
      </c>
      <c r="AL50" s="459">
        <f>AL48*AL49</f>
        <v>36656.25</v>
      </c>
      <c r="AM50" s="459">
        <f t="shared" si="3"/>
        <v>116725</v>
      </c>
      <c r="AN50" s="459">
        <f t="shared" si="3"/>
        <v>24437.5</v>
      </c>
      <c r="AO50" s="459">
        <f t="shared" si="3"/>
        <v>0</v>
      </c>
      <c r="AP50" s="459">
        <f t="shared" si="3"/>
        <v>0</v>
      </c>
      <c r="AQ50" s="744">
        <f t="shared" si="3"/>
        <v>19550</v>
      </c>
      <c r="AR50" s="458">
        <f t="shared" si="3"/>
        <v>0</v>
      </c>
      <c r="AS50" s="459">
        <f t="shared" si="3"/>
        <v>0</v>
      </c>
      <c r="AT50" s="459">
        <f t="shared" si="3"/>
        <v>48300</v>
      </c>
      <c r="AU50" s="459">
        <f t="shared" si="3"/>
        <v>146625</v>
      </c>
      <c r="AV50" s="459">
        <f t="shared" si="3"/>
        <v>0</v>
      </c>
      <c r="AW50" s="459">
        <f t="shared" si="3"/>
        <v>0</v>
      </c>
      <c r="AX50" s="744">
        <f t="shared" si="3"/>
        <v>0</v>
      </c>
      <c r="AY50" s="764">
        <f t="shared" si="3"/>
        <v>29325</v>
      </c>
      <c r="AZ50" s="512">
        <f>SUM(D50:AY50)</f>
        <v>3054759.375</v>
      </c>
      <c r="BA50" s="281"/>
      <c r="BB50" s="281"/>
    </row>
    <row r="51" spans="2:54" ht="13.5" customHeight="1">
      <c r="D51" s="19" t="s">
        <v>124</v>
      </c>
      <c r="E51" s="19" t="s">
        <v>124</v>
      </c>
      <c r="F51" s="19" t="s">
        <v>124</v>
      </c>
      <c r="G51" s="19" t="s">
        <v>124</v>
      </c>
      <c r="I51" s="19" t="s">
        <v>124</v>
      </c>
      <c r="L51" s="19" t="s">
        <v>124</v>
      </c>
      <c r="M51" s="19" t="s">
        <v>124</v>
      </c>
      <c r="O51" s="19" t="s">
        <v>124</v>
      </c>
      <c r="P51" s="19" t="s">
        <v>124</v>
      </c>
      <c r="W51" s="19" t="s">
        <v>124</v>
      </c>
      <c r="X51" s="19" t="s">
        <v>124</v>
      </c>
      <c r="AE51" s="19" t="s">
        <v>124</v>
      </c>
      <c r="AL51" s="19" t="s">
        <v>124</v>
      </c>
      <c r="AM51" s="19" t="s">
        <v>124</v>
      </c>
      <c r="AS51" s="19" t="s">
        <v>124</v>
      </c>
      <c r="AY51" s="19" t="s">
        <v>124</v>
      </c>
      <c r="BB51" s="281"/>
    </row>
    <row r="52" spans="2:54" ht="14.5">
      <c r="C52" s="20" t="s">
        <v>125</v>
      </c>
      <c r="D52" s="19">
        <f t="shared" ref="D52:P52" si="4">D48*8</f>
        <v>147.19999999999999</v>
      </c>
      <c r="E52" s="19">
        <f t="shared" si="4"/>
        <v>317.39999999999998</v>
      </c>
      <c r="F52" s="19">
        <f t="shared" si="4"/>
        <v>165.6</v>
      </c>
      <c r="G52" s="19">
        <f t="shared" si="4"/>
        <v>432.4</v>
      </c>
      <c r="H52" s="19">
        <f t="shared" si="4"/>
        <v>0</v>
      </c>
      <c r="I52" s="19">
        <f t="shared" si="4"/>
        <v>156.4</v>
      </c>
      <c r="J52" s="19">
        <f t="shared" si="4"/>
        <v>0</v>
      </c>
      <c r="K52" s="19">
        <f t="shared" si="4"/>
        <v>0</v>
      </c>
      <c r="L52" s="19">
        <f t="shared" si="4"/>
        <v>138</v>
      </c>
      <c r="M52" s="19">
        <f t="shared" si="4"/>
        <v>27.6</v>
      </c>
      <c r="N52" s="19">
        <f t="shared" si="4"/>
        <v>0</v>
      </c>
      <c r="O52" s="19">
        <f t="shared" si="4"/>
        <v>18.399999999999999</v>
      </c>
      <c r="P52" s="19">
        <f t="shared" si="4"/>
        <v>27.6</v>
      </c>
      <c r="R52" s="19">
        <f>R48*8</f>
        <v>285.2</v>
      </c>
      <c r="S52" s="19">
        <f>S48*8</f>
        <v>46</v>
      </c>
      <c r="T52" s="19">
        <f>T48*8</f>
        <v>18.399999999999999</v>
      </c>
      <c r="W52" s="19">
        <f>W48*8</f>
        <v>4.5999999999999996</v>
      </c>
      <c r="X52" s="19">
        <f>X48*8</f>
        <v>14.95</v>
      </c>
      <c r="AC52" s="19">
        <f>AC48*8</f>
        <v>9.1999999999999993</v>
      </c>
      <c r="AD52" s="19">
        <f>AD48*8</f>
        <v>0</v>
      </c>
      <c r="AE52" s="19">
        <f>AE48*8</f>
        <v>11.5</v>
      </c>
      <c r="AJ52" s="19">
        <f>AJ48*8</f>
        <v>18.399999999999999</v>
      </c>
      <c r="AK52" s="19">
        <f>AK48*8</f>
        <v>0</v>
      </c>
      <c r="AL52" s="19">
        <f>AL48*8</f>
        <v>34.5</v>
      </c>
      <c r="AQ52" s="19">
        <f>AQ48*8</f>
        <v>18.399999999999999</v>
      </c>
      <c r="AR52" s="19">
        <f>AR48*8</f>
        <v>0</v>
      </c>
      <c r="AS52" s="19">
        <f>AS48*8</f>
        <v>0</v>
      </c>
      <c r="AX52" s="19">
        <f>AX48*8</f>
        <v>0</v>
      </c>
      <c r="AY52" s="19">
        <f>AY48*8</f>
        <v>27.6</v>
      </c>
    </row>
    <row r="54" spans="2:54" ht="61.5">
      <c r="C54" s="228" t="s">
        <v>126</v>
      </c>
      <c r="D54" s="19" t="s">
        <v>127</v>
      </c>
      <c r="E54" s="19" t="s">
        <v>128</v>
      </c>
      <c r="F54" s="19" t="s">
        <v>129</v>
      </c>
      <c r="G54" s="19" t="s">
        <v>130</v>
      </c>
      <c r="H54" s="19" t="s">
        <v>131</v>
      </c>
      <c r="J54" s="693" t="s">
        <v>132</v>
      </c>
      <c r="K54" s="693" t="s">
        <v>133</v>
      </c>
      <c r="L54" s="693" t="s">
        <v>134</v>
      </c>
      <c r="M54" s="693" t="s">
        <v>135</v>
      </c>
      <c r="N54" s="693" t="s">
        <v>136</v>
      </c>
      <c r="P54" s="20"/>
      <c r="Q54" s="693" t="s">
        <v>132</v>
      </c>
      <c r="R54" s="693" t="s">
        <v>133</v>
      </c>
      <c r="S54" s="693" t="s">
        <v>134</v>
      </c>
      <c r="T54" s="693" t="s">
        <v>134</v>
      </c>
      <c r="U54" s="693" t="s">
        <v>135</v>
      </c>
      <c r="V54" s="693" t="s">
        <v>136</v>
      </c>
      <c r="W54" s="20"/>
      <c r="X54" s="693" t="s">
        <v>132</v>
      </c>
      <c r="Y54" s="693" t="s">
        <v>133</v>
      </c>
      <c r="Z54" s="693" t="s">
        <v>134</v>
      </c>
      <c r="AA54" s="693" t="s">
        <v>135</v>
      </c>
      <c r="AB54" s="693" t="s">
        <v>136</v>
      </c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</row>
    <row r="55" spans="2:54" ht="43">
      <c r="D55" s="19" t="s">
        <v>137</v>
      </c>
      <c r="E55" s="19" t="s">
        <v>138</v>
      </c>
      <c r="F55" s="19">
        <v>20</v>
      </c>
      <c r="G55" s="694">
        <v>8500</v>
      </c>
      <c r="H55" s="694">
        <f>F55*G55</f>
        <v>170000</v>
      </c>
      <c r="J55" s="60" t="s">
        <v>139</v>
      </c>
      <c r="K55" s="60" t="s">
        <v>140</v>
      </c>
      <c r="L55" s="692">
        <v>17</v>
      </c>
      <c r="M55" s="694">
        <v>8500</v>
      </c>
      <c r="N55" s="694">
        <f>L55*M55</f>
        <v>144500</v>
      </c>
      <c r="P55" s="20"/>
      <c r="Q55" s="60" t="s">
        <v>139</v>
      </c>
      <c r="R55" s="60" t="s">
        <v>140</v>
      </c>
      <c r="S55" s="60">
        <v>17</v>
      </c>
      <c r="T55" s="60">
        <v>17</v>
      </c>
      <c r="U55" s="695">
        <v>8500</v>
      </c>
      <c r="V55" s="695">
        <f>T55*U55</f>
        <v>144500</v>
      </c>
      <c r="W55" s="20"/>
      <c r="X55" s="696" t="s">
        <v>139</v>
      </c>
      <c r="Y55" s="696" t="s">
        <v>140</v>
      </c>
      <c r="Z55" s="60">
        <v>17</v>
      </c>
      <c r="AA55" s="695">
        <v>8500</v>
      </c>
      <c r="AB55" s="695">
        <v>144500</v>
      </c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</row>
    <row r="56" spans="2:54" ht="13.5" customHeight="1">
      <c r="D56" s="19" t="s">
        <v>141</v>
      </c>
      <c r="E56" s="19" t="s">
        <v>142</v>
      </c>
      <c r="F56" s="19">
        <v>37.5</v>
      </c>
      <c r="G56" s="694">
        <v>8500</v>
      </c>
      <c r="H56" s="694">
        <f t="shared" ref="H56:H72" si="5">F56*G56</f>
        <v>318750</v>
      </c>
      <c r="J56" s="60" t="s">
        <v>143</v>
      </c>
      <c r="K56" s="60" t="s">
        <v>144</v>
      </c>
      <c r="L56" s="692">
        <v>29</v>
      </c>
      <c r="M56" s="694">
        <v>8500</v>
      </c>
      <c r="N56" s="694">
        <f t="shared" ref="N56:N71" si="6">L56*M56</f>
        <v>246500</v>
      </c>
      <c r="P56" s="20"/>
      <c r="Q56" s="60" t="s">
        <v>143</v>
      </c>
      <c r="R56" s="60" t="s">
        <v>144</v>
      </c>
      <c r="S56" s="60">
        <v>29</v>
      </c>
      <c r="T56" s="60">
        <v>29</v>
      </c>
      <c r="U56" s="695">
        <v>8500</v>
      </c>
      <c r="V56" s="695">
        <f t="shared" ref="V56:V71" si="7">T56*U56</f>
        <v>246500</v>
      </c>
      <c r="W56" s="20"/>
      <c r="X56" s="696" t="s">
        <v>143</v>
      </c>
      <c r="Y56" s="696" t="s">
        <v>144</v>
      </c>
      <c r="Z56" s="60">
        <v>29</v>
      </c>
      <c r="AA56" s="695">
        <v>8500</v>
      </c>
      <c r="AB56" s="695">
        <v>246500</v>
      </c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</row>
    <row r="57" spans="2:54" ht="13.5" customHeight="1">
      <c r="D57" s="19" t="s">
        <v>141</v>
      </c>
      <c r="E57" s="19" t="s">
        <v>5</v>
      </c>
      <c r="F57" s="19">
        <v>13.5</v>
      </c>
      <c r="G57" s="694">
        <v>14000</v>
      </c>
      <c r="H57" s="694">
        <f t="shared" si="5"/>
        <v>189000</v>
      </c>
      <c r="J57" s="60" t="s">
        <v>145</v>
      </c>
      <c r="K57" s="60" t="s">
        <v>146</v>
      </c>
      <c r="L57" s="692">
        <v>12</v>
      </c>
      <c r="M57" s="694">
        <v>14000</v>
      </c>
      <c r="N57" s="694">
        <f t="shared" si="6"/>
        <v>168000</v>
      </c>
      <c r="P57" s="20"/>
      <c r="Q57" s="60" t="s">
        <v>145</v>
      </c>
      <c r="R57" s="60" t="s">
        <v>146</v>
      </c>
      <c r="S57" s="60">
        <v>12</v>
      </c>
      <c r="T57" s="60">
        <v>12</v>
      </c>
      <c r="U57" s="695">
        <v>14000</v>
      </c>
      <c r="V57" s="695">
        <f t="shared" si="7"/>
        <v>168000</v>
      </c>
      <c r="W57" s="20"/>
      <c r="X57" s="696" t="s">
        <v>145</v>
      </c>
      <c r="Y57" s="696" t="s">
        <v>146</v>
      </c>
      <c r="Z57" s="60">
        <v>12</v>
      </c>
      <c r="AA57" s="695">
        <v>14000</v>
      </c>
      <c r="AB57" s="695">
        <v>168000</v>
      </c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</row>
    <row r="58" spans="2:54" ht="13.5" customHeight="1">
      <c r="D58" s="19" t="s">
        <v>141</v>
      </c>
      <c r="E58" s="19" t="s">
        <v>108</v>
      </c>
      <c r="F58" s="19">
        <v>35</v>
      </c>
      <c r="G58" s="694">
        <v>14000</v>
      </c>
      <c r="H58" s="694">
        <f t="shared" si="5"/>
        <v>490000</v>
      </c>
      <c r="J58" s="60" t="s">
        <v>147</v>
      </c>
      <c r="K58" s="60" t="s">
        <v>148</v>
      </c>
      <c r="L58" s="692">
        <v>33</v>
      </c>
      <c r="M58" s="694">
        <v>14000</v>
      </c>
      <c r="N58" s="694">
        <f t="shared" si="6"/>
        <v>462000</v>
      </c>
      <c r="P58" s="20"/>
      <c r="Q58" s="60" t="s">
        <v>147</v>
      </c>
      <c r="R58" s="60" t="s">
        <v>148</v>
      </c>
      <c r="S58" s="60">
        <v>33</v>
      </c>
      <c r="T58" s="60">
        <v>33</v>
      </c>
      <c r="U58" s="695">
        <v>14000</v>
      </c>
      <c r="V58" s="695">
        <f t="shared" si="7"/>
        <v>462000</v>
      </c>
      <c r="W58" s="20"/>
      <c r="X58" s="696" t="s">
        <v>147</v>
      </c>
      <c r="Y58" s="696" t="s">
        <v>148</v>
      </c>
      <c r="Z58" s="60">
        <v>33</v>
      </c>
      <c r="AA58" s="695">
        <v>14000</v>
      </c>
      <c r="AB58" s="695">
        <v>462000</v>
      </c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</row>
    <row r="59" spans="2:54" ht="13.5" customHeight="1">
      <c r="D59" s="19" t="s">
        <v>141</v>
      </c>
      <c r="E59" s="690" t="s">
        <v>7</v>
      </c>
      <c r="F59" s="19">
        <v>13</v>
      </c>
      <c r="G59" s="694">
        <v>8500</v>
      </c>
      <c r="H59" s="694">
        <f t="shared" si="5"/>
        <v>110500</v>
      </c>
      <c r="J59" s="60" t="s">
        <v>149</v>
      </c>
      <c r="K59" s="60" t="s">
        <v>150</v>
      </c>
      <c r="L59" s="692">
        <v>13</v>
      </c>
      <c r="M59" s="694">
        <v>8500</v>
      </c>
      <c r="N59" s="694">
        <f t="shared" si="6"/>
        <v>110500</v>
      </c>
      <c r="P59" s="20"/>
      <c r="Q59" s="60" t="s">
        <v>149</v>
      </c>
      <c r="R59" s="60" t="s">
        <v>150</v>
      </c>
      <c r="S59" s="60">
        <v>13</v>
      </c>
      <c r="T59" s="60">
        <v>13</v>
      </c>
      <c r="U59" s="695">
        <v>8500</v>
      </c>
      <c r="V59" s="695">
        <f t="shared" si="7"/>
        <v>110500</v>
      </c>
      <c r="W59" s="20"/>
      <c r="X59" s="696" t="s">
        <v>149</v>
      </c>
      <c r="Y59" s="696" t="s">
        <v>150</v>
      </c>
      <c r="Z59" s="60">
        <v>13</v>
      </c>
      <c r="AA59" s="695">
        <v>8500</v>
      </c>
      <c r="AB59" s="695">
        <v>110500</v>
      </c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</row>
    <row r="60" spans="2:54" ht="13.5" customHeight="1">
      <c r="D60" s="19" t="s">
        <v>60</v>
      </c>
      <c r="E60" s="691" t="s">
        <v>71</v>
      </c>
      <c r="F60" s="19">
        <v>17</v>
      </c>
      <c r="G60" s="694">
        <v>14000</v>
      </c>
      <c r="H60" s="694">
        <f t="shared" si="5"/>
        <v>238000</v>
      </c>
      <c r="J60" s="60" t="s">
        <v>151</v>
      </c>
      <c r="K60" s="60" t="s">
        <v>152</v>
      </c>
      <c r="L60" s="692">
        <v>16</v>
      </c>
      <c r="M60" s="694">
        <v>14000</v>
      </c>
      <c r="N60" s="694">
        <f t="shared" si="6"/>
        <v>224000</v>
      </c>
      <c r="P60" s="20"/>
      <c r="Q60" s="60" t="s">
        <v>182</v>
      </c>
      <c r="R60" s="60" t="s">
        <v>152</v>
      </c>
      <c r="S60" s="60">
        <v>16</v>
      </c>
      <c r="T60" s="60">
        <v>16</v>
      </c>
      <c r="U60" s="695">
        <v>14000</v>
      </c>
      <c r="V60" s="695">
        <f t="shared" si="7"/>
        <v>224000</v>
      </c>
      <c r="W60" s="20"/>
      <c r="X60" s="696" t="s">
        <v>182</v>
      </c>
      <c r="Y60" s="696" t="s">
        <v>152</v>
      </c>
      <c r="Z60" s="60">
        <v>16</v>
      </c>
      <c r="AA60" s="695">
        <v>14000</v>
      </c>
      <c r="AB60" s="695">
        <v>224000</v>
      </c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</row>
    <row r="61" spans="2:54" ht="13.5" customHeight="1">
      <c r="D61" s="19" t="s">
        <v>60</v>
      </c>
      <c r="E61" s="19" t="s">
        <v>153</v>
      </c>
      <c r="F61" s="19">
        <v>5</v>
      </c>
      <c r="G61" s="694">
        <v>7500</v>
      </c>
      <c r="H61" s="694">
        <f t="shared" si="5"/>
        <v>37500</v>
      </c>
      <c r="J61" s="19" t="s">
        <v>154</v>
      </c>
      <c r="K61" s="19" t="s">
        <v>153</v>
      </c>
      <c r="L61" s="692">
        <v>5</v>
      </c>
      <c r="M61" s="694">
        <v>7500</v>
      </c>
      <c r="N61" s="694">
        <f t="shared" si="6"/>
        <v>37500</v>
      </c>
      <c r="P61" s="20"/>
      <c r="Q61" s="60" t="s">
        <v>154</v>
      </c>
      <c r="R61" s="60" t="s">
        <v>153</v>
      </c>
      <c r="S61" s="60">
        <v>5</v>
      </c>
      <c r="T61" s="60">
        <v>5</v>
      </c>
      <c r="U61" s="695">
        <v>7500</v>
      </c>
      <c r="V61" s="695">
        <f t="shared" si="7"/>
        <v>37500</v>
      </c>
      <c r="W61" s="20"/>
      <c r="X61" s="696" t="s">
        <v>154</v>
      </c>
      <c r="Y61" s="696" t="s">
        <v>153</v>
      </c>
      <c r="Z61" s="60">
        <v>5</v>
      </c>
      <c r="AA61" s="695">
        <v>7500</v>
      </c>
      <c r="AB61" s="695">
        <v>37500</v>
      </c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</row>
    <row r="62" spans="2:54" ht="13.5" customHeight="1">
      <c r="D62" s="19" t="s">
        <v>155</v>
      </c>
      <c r="E62" s="19" t="s">
        <v>74</v>
      </c>
      <c r="F62" s="19">
        <v>0.5</v>
      </c>
      <c r="G62" s="694">
        <v>14000</v>
      </c>
      <c r="H62" s="694">
        <f t="shared" si="5"/>
        <v>7000</v>
      </c>
      <c r="J62" s="60" t="s">
        <v>156</v>
      </c>
      <c r="K62" s="60" t="s">
        <v>157</v>
      </c>
      <c r="L62" s="692">
        <v>1</v>
      </c>
      <c r="M62" s="694">
        <v>14000</v>
      </c>
      <c r="N62" s="694">
        <f t="shared" si="6"/>
        <v>14000</v>
      </c>
      <c r="P62" s="20"/>
      <c r="Q62" s="60" t="s">
        <v>156</v>
      </c>
      <c r="R62" s="60" t="s">
        <v>157</v>
      </c>
      <c r="S62" s="60">
        <v>1</v>
      </c>
      <c r="T62" s="60">
        <v>1</v>
      </c>
      <c r="U62" s="695">
        <v>14000</v>
      </c>
      <c r="V62" s="695">
        <f t="shared" si="7"/>
        <v>14000</v>
      </c>
      <c r="W62" s="20"/>
      <c r="X62" s="696" t="s">
        <v>156</v>
      </c>
      <c r="Y62" s="696" t="s">
        <v>157</v>
      </c>
      <c r="Z62" s="60">
        <v>1</v>
      </c>
      <c r="AA62" s="695">
        <v>14000</v>
      </c>
      <c r="AB62" s="695">
        <v>14000</v>
      </c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</row>
    <row r="63" spans="2:54" ht="13.5" customHeight="1">
      <c r="D63" s="19" t="s">
        <v>155</v>
      </c>
      <c r="E63" s="19" t="s">
        <v>142</v>
      </c>
      <c r="F63" s="19">
        <v>0.75</v>
      </c>
      <c r="G63" s="694">
        <v>8500</v>
      </c>
      <c r="H63" s="694">
        <f t="shared" si="5"/>
        <v>6375</v>
      </c>
      <c r="J63" s="60" t="s">
        <v>158</v>
      </c>
      <c r="K63" s="60" t="s">
        <v>150</v>
      </c>
      <c r="L63" s="692">
        <v>1</v>
      </c>
      <c r="M63" s="694">
        <v>8500</v>
      </c>
      <c r="N63" s="694">
        <f t="shared" si="6"/>
        <v>8500</v>
      </c>
      <c r="P63" s="20"/>
      <c r="Q63" s="60" t="s">
        <v>158</v>
      </c>
      <c r="R63" s="60" t="s">
        <v>150</v>
      </c>
      <c r="S63" s="60">
        <v>1</v>
      </c>
      <c r="T63" s="60">
        <v>1</v>
      </c>
      <c r="U63" s="695">
        <v>8500</v>
      </c>
      <c r="V63" s="695">
        <f t="shared" si="7"/>
        <v>8500</v>
      </c>
      <c r="W63" s="20"/>
      <c r="X63" s="696" t="s">
        <v>158</v>
      </c>
      <c r="Y63" s="696" t="s">
        <v>150</v>
      </c>
      <c r="Z63" s="60">
        <v>1</v>
      </c>
      <c r="AA63" s="695">
        <v>8500</v>
      </c>
      <c r="AB63" s="695">
        <v>8500</v>
      </c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</row>
    <row r="64" spans="2:54" ht="13.5" customHeight="1">
      <c r="D64" s="19" t="s">
        <v>63</v>
      </c>
      <c r="E64" s="19" t="s">
        <v>142</v>
      </c>
      <c r="F64" s="19">
        <v>0.5</v>
      </c>
      <c r="G64" s="694">
        <v>8500</v>
      </c>
      <c r="H64" s="694">
        <f t="shared" si="5"/>
        <v>4250</v>
      </c>
      <c r="J64" s="60" t="s">
        <v>159</v>
      </c>
      <c r="K64" s="60" t="s">
        <v>150</v>
      </c>
      <c r="L64" s="692">
        <v>1</v>
      </c>
      <c r="M64" s="694">
        <v>8500</v>
      </c>
      <c r="N64" s="694">
        <f t="shared" si="6"/>
        <v>8500</v>
      </c>
      <c r="P64" s="20"/>
      <c r="Q64" s="60" t="s">
        <v>159</v>
      </c>
      <c r="R64" s="60" t="s">
        <v>150</v>
      </c>
      <c r="S64" s="60">
        <v>2</v>
      </c>
      <c r="T64" s="60">
        <v>2</v>
      </c>
      <c r="U64" s="695">
        <v>8500</v>
      </c>
      <c r="V64" s="695">
        <f t="shared" si="7"/>
        <v>17000</v>
      </c>
      <c r="W64" s="20"/>
      <c r="X64" s="696" t="s">
        <v>159</v>
      </c>
      <c r="Y64" s="696" t="s">
        <v>150</v>
      </c>
      <c r="Z64" s="60">
        <v>2</v>
      </c>
      <c r="AA64" s="695">
        <v>8500</v>
      </c>
      <c r="AB64" s="695">
        <v>17000</v>
      </c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</row>
    <row r="65" spans="4:52" ht="13.5" customHeight="1">
      <c r="D65" s="19" t="s">
        <v>64</v>
      </c>
      <c r="E65" s="19" t="s">
        <v>142</v>
      </c>
      <c r="F65" s="19">
        <v>0.75</v>
      </c>
      <c r="G65" s="694">
        <v>8500</v>
      </c>
      <c r="H65" s="694">
        <f t="shared" si="5"/>
        <v>6375</v>
      </c>
      <c r="J65" s="60" t="s">
        <v>159</v>
      </c>
      <c r="K65" s="60" t="s">
        <v>150</v>
      </c>
      <c r="L65" s="692">
        <v>1</v>
      </c>
      <c r="M65" s="694">
        <v>8500</v>
      </c>
      <c r="N65" s="694">
        <f t="shared" si="6"/>
        <v>8500</v>
      </c>
      <c r="P65" s="20"/>
      <c r="Q65" s="60" t="s">
        <v>162</v>
      </c>
      <c r="R65" s="60" t="s">
        <v>163</v>
      </c>
      <c r="S65" s="60">
        <v>1</v>
      </c>
      <c r="T65" s="60">
        <v>1</v>
      </c>
      <c r="U65" s="695">
        <v>8500</v>
      </c>
      <c r="V65" s="695">
        <f t="shared" si="7"/>
        <v>8500</v>
      </c>
      <c r="W65" s="20"/>
      <c r="X65" s="696" t="s">
        <v>162</v>
      </c>
      <c r="Y65" s="696" t="s">
        <v>163</v>
      </c>
      <c r="Z65" s="60">
        <v>1</v>
      </c>
      <c r="AA65" s="695">
        <v>8500</v>
      </c>
      <c r="AB65" s="695">
        <v>8500</v>
      </c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</row>
    <row r="66" spans="4:52" ht="13.5" customHeight="1">
      <c r="D66" s="19" t="s">
        <v>160</v>
      </c>
      <c r="E66" s="19" t="s">
        <v>161</v>
      </c>
      <c r="F66" s="19">
        <v>0.5</v>
      </c>
      <c r="G66" s="694">
        <v>8500</v>
      </c>
      <c r="H66" s="694">
        <f t="shared" si="5"/>
        <v>4250</v>
      </c>
      <c r="J66" s="60" t="s">
        <v>162</v>
      </c>
      <c r="K66" s="60" t="s">
        <v>163</v>
      </c>
      <c r="L66" s="692">
        <v>1</v>
      </c>
      <c r="M66" s="694">
        <v>8500</v>
      </c>
      <c r="N66" s="694">
        <f t="shared" si="6"/>
        <v>8500</v>
      </c>
      <c r="P66" s="20"/>
      <c r="Q66" s="60" t="s">
        <v>165</v>
      </c>
      <c r="R66" s="60" t="s">
        <v>144</v>
      </c>
      <c r="S66" s="60">
        <v>1</v>
      </c>
      <c r="T66" s="60">
        <v>1</v>
      </c>
      <c r="U66" s="695">
        <v>8500</v>
      </c>
      <c r="V66" s="695">
        <f t="shared" si="7"/>
        <v>8500</v>
      </c>
      <c r="W66" s="20"/>
      <c r="X66" s="696" t="s">
        <v>165</v>
      </c>
      <c r="Y66" s="696" t="s">
        <v>144</v>
      </c>
      <c r="Z66" s="60">
        <v>1</v>
      </c>
      <c r="AA66" s="695">
        <v>8500</v>
      </c>
      <c r="AB66" s="695">
        <v>8500</v>
      </c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</row>
    <row r="67" spans="4:52" ht="13.5" customHeight="1">
      <c r="D67" s="19" t="s">
        <v>164</v>
      </c>
      <c r="E67" s="19" t="s">
        <v>142</v>
      </c>
      <c r="F67" s="19">
        <v>0.5</v>
      </c>
      <c r="G67" s="694">
        <v>8500</v>
      </c>
      <c r="H67" s="694">
        <f t="shared" si="5"/>
        <v>4250</v>
      </c>
      <c r="J67" s="60" t="s">
        <v>165</v>
      </c>
      <c r="K67" s="60" t="s">
        <v>144</v>
      </c>
      <c r="L67" s="692">
        <v>1</v>
      </c>
      <c r="M67" s="694">
        <v>8500</v>
      </c>
      <c r="N67" s="694">
        <f t="shared" si="6"/>
        <v>8500</v>
      </c>
      <c r="P67" s="20"/>
      <c r="Q67" s="60" t="s">
        <v>167</v>
      </c>
      <c r="R67" s="60" t="s">
        <v>168</v>
      </c>
      <c r="S67" s="60">
        <v>5</v>
      </c>
      <c r="T67" s="60">
        <v>5</v>
      </c>
      <c r="U67" s="695">
        <v>8500</v>
      </c>
      <c r="V67" s="695">
        <f t="shared" si="7"/>
        <v>42500</v>
      </c>
      <c r="W67" s="20"/>
      <c r="X67" s="696" t="s">
        <v>167</v>
      </c>
      <c r="Y67" s="696" t="s">
        <v>168</v>
      </c>
      <c r="Z67" s="60">
        <v>5</v>
      </c>
      <c r="AA67" s="695">
        <v>8500</v>
      </c>
      <c r="AB67" s="695">
        <v>42500</v>
      </c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</row>
    <row r="68" spans="4:52" ht="13.5" customHeight="1">
      <c r="D68" s="19" t="s">
        <v>137</v>
      </c>
      <c r="E68" s="19" t="s">
        <v>166</v>
      </c>
      <c r="F68" s="19">
        <v>6</v>
      </c>
      <c r="G68" s="694">
        <v>8500</v>
      </c>
      <c r="H68" s="694">
        <f t="shared" si="5"/>
        <v>51000</v>
      </c>
      <c r="J68" s="60" t="s">
        <v>167</v>
      </c>
      <c r="K68" s="60" t="s">
        <v>168</v>
      </c>
      <c r="L68" s="692">
        <v>5</v>
      </c>
      <c r="M68" s="694">
        <v>8500</v>
      </c>
      <c r="N68" s="694">
        <f t="shared" si="6"/>
        <v>42500</v>
      </c>
      <c r="P68" s="20"/>
      <c r="Q68" s="60" t="s">
        <v>170</v>
      </c>
      <c r="R68" s="60" t="s">
        <v>171</v>
      </c>
      <c r="S68" s="60">
        <v>1</v>
      </c>
      <c r="T68" s="60">
        <v>1</v>
      </c>
      <c r="U68" s="695">
        <v>14000</v>
      </c>
      <c r="V68" s="695">
        <f t="shared" si="7"/>
        <v>14000</v>
      </c>
      <c r="W68" s="20"/>
      <c r="X68" s="696" t="s">
        <v>170</v>
      </c>
      <c r="Y68" s="696" t="s">
        <v>171</v>
      </c>
      <c r="Z68" s="60">
        <v>1</v>
      </c>
      <c r="AA68" s="695">
        <v>14000</v>
      </c>
      <c r="AB68" s="695">
        <v>14000</v>
      </c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</row>
    <row r="69" spans="4:52" ht="13.5" customHeight="1">
      <c r="D69" s="19" t="s">
        <v>137</v>
      </c>
      <c r="E69" s="19" t="s">
        <v>169</v>
      </c>
      <c r="F69" s="19">
        <v>0.5</v>
      </c>
      <c r="G69" s="694">
        <v>14000</v>
      </c>
      <c r="H69" s="694">
        <f t="shared" si="5"/>
        <v>7000</v>
      </c>
      <c r="J69" s="60" t="s">
        <v>170</v>
      </c>
      <c r="K69" s="60" t="s">
        <v>171</v>
      </c>
      <c r="L69" s="692">
        <v>1</v>
      </c>
      <c r="M69" s="694">
        <v>14000</v>
      </c>
      <c r="N69" s="694">
        <f t="shared" si="6"/>
        <v>14000</v>
      </c>
      <c r="P69" s="20"/>
      <c r="Q69" s="60" t="s">
        <v>173</v>
      </c>
      <c r="R69" s="60" t="s">
        <v>174</v>
      </c>
      <c r="S69" s="60">
        <v>3</v>
      </c>
      <c r="T69" s="60">
        <v>3</v>
      </c>
      <c r="U69" s="695">
        <v>8500</v>
      </c>
      <c r="V69" s="695">
        <f t="shared" si="7"/>
        <v>25500</v>
      </c>
      <c r="W69" s="20"/>
      <c r="X69" s="696" t="s">
        <v>173</v>
      </c>
      <c r="Y69" s="696" t="s">
        <v>174</v>
      </c>
      <c r="Z69" s="60">
        <v>3</v>
      </c>
      <c r="AA69" s="695">
        <v>8500</v>
      </c>
      <c r="AB69" s="695">
        <v>25500</v>
      </c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</row>
    <row r="70" spans="4:52" ht="13.5" customHeight="1">
      <c r="D70" s="19" t="s">
        <v>137</v>
      </c>
      <c r="E70" s="19" t="s">
        <v>172</v>
      </c>
      <c r="F70" s="19">
        <v>3</v>
      </c>
      <c r="G70" s="694">
        <v>8500</v>
      </c>
      <c r="H70" s="694">
        <f t="shared" si="5"/>
        <v>25500</v>
      </c>
      <c r="J70" s="19" t="s">
        <v>173</v>
      </c>
      <c r="K70" s="19" t="s">
        <v>174</v>
      </c>
      <c r="L70" s="692">
        <v>3</v>
      </c>
      <c r="M70" s="694">
        <v>8500</v>
      </c>
      <c r="N70" s="694">
        <f t="shared" si="6"/>
        <v>25500</v>
      </c>
      <c r="P70" s="20"/>
      <c r="Q70" s="60" t="s">
        <v>175</v>
      </c>
      <c r="R70" s="60" t="s">
        <v>176</v>
      </c>
      <c r="S70" s="60">
        <v>2</v>
      </c>
      <c r="T70" s="60">
        <v>2</v>
      </c>
      <c r="U70" s="695">
        <v>8500</v>
      </c>
      <c r="V70" s="695">
        <f t="shared" si="7"/>
        <v>17000</v>
      </c>
      <c r="W70" s="20"/>
      <c r="X70" s="696" t="s">
        <v>175</v>
      </c>
      <c r="Y70" s="696" t="s">
        <v>176</v>
      </c>
      <c r="Z70" s="60">
        <v>2</v>
      </c>
      <c r="AA70" s="695">
        <v>8500</v>
      </c>
      <c r="AB70" s="695">
        <v>17000</v>
      </c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</row>
    <row r="71" spans="4:52" ht="13.5" customHeight="1">
      <c r="D71" s="19" t="s">
        <v>137</v>
      </c>
      <c r="E71" s="19" t="s">
        <v>35</v>
      </c>
      <c r="F71" s="19">
        <v>2</v>
      </c>
      <c r="G71" s="694">
        <v>8500</v>
      </c>
      <c r="H71" s="694">
        <f t="shared" si="5"/>
        <v>17000</v>
      </c>
      <c r="J71" s="697" t="s">
        <v>175</v>
      </c>
      <c r="K71" s="697" t="s">
        <v>176</v>
      </c>
      <c r="L71" s="692">
        <v>2</v>
      </c>
      <c r="M71" s="694">
        <v>8500</v>
      </c>
      <c r="N71" s="694">
        <f t="shared" si="6"/>
        <v>17000</v>
      </c>
      <c r="P71" s="20"/>
      <c r="Q71" s="60" t="s">
        <v>183</v>
      </c>
      <c r="R71" s="60" t="s">
        <v>178</v>
      </c>
      <c r="S71" s="60">
        <v>3</v>
      </c>
      <c r="T71" s="60">
        <v>3</v>
      </c>
      <c r="U71" s="695">
        <v>8500</v>
      </c>
      <c r="V71" s="695">
        <f t="shared" si="7"/>
        <v>25500</v>
      </c>
      <c r="W71" s="20"/>
      <c r="X71" s="696" t="s">
        <v>183</v>
      </c>
      <c r="Y71" s="696" t="s">
        <v>178</v>
      </c>
      <c r="Z71" s="60">
        <v>3</v>
      </c>
      <c r="AA71" s="695">
        <v>8500</v>
      </c>
      <c r="AB71" s="695">
        <v>25500</v>
      </c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</row>
    <row r="72" spans="4:52" ht="21.65" customHeight="1">
      <c r="D72" s="19" t="s">
        <v>137</v>
      </c>
      <c r="E72" s="19" t="s">
        <v>11</v>
      </c>
      <c r="F72" s="19">
        <v>3</v>
      </c>
      <c r="G72" s="694">
        <v>8500</v>
      </c>
      <c r="H72" s="694">
        <f t="shared" si="5"/>
        <v>25500</v>
      </c>
      <c r="J72" s="697" t="s">
        <v>177</v>
      </c>
      <c r="K72" s="60" t="s">
        <v>178</v>
      </c>
      <c r="L72" s="692">
        <v>3</v>
      </c>
      <c r="M72" s="694">
        <v>8500</v>
      </c>
      <c r="N72" s="694">
        <f>L72*M72</f>
        <v>25500</v>
      </c>
      <c r="P72" s="20"/>
      <c r="Q72" s="1073" t="s">
        <v>184</v>
      </c>
      <c r="R72" s="1073"/>
      <c r="S72" s="60">
        <v>145</v>
      </c>
      <c r="T72" s="60">
        <v>145</v>
      </c>
      <c r="U72" s="698"/>
      <c r="V72" s="695">
        <f>SUM(V55:V71)</f>
        <v>1574000</v>
      </c>
      <c r="W72" s="20"/>
      <c r="X72" s="1073" t="s">
        <v>184</v>
      </c>
      <c r="Y72" s="1073"/>
      <c r="Z72" s="60">
        <v>145</v>
      </c>
      <c r="AA72" s="698"/>
      <c r="AB72" s="695">
        <v>1574000</v>
      </c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</row>
    <row r="73" spans="4:52" ht="13.5" customHeight="1">
      <c r="F73" s="507">
        <f>SUM(F55:F72)</f>
        <v>159</v>
      </c>
      <c r="G73" s="694"/>
      <c r="H73" s="699">
        <f>SUM(H55:H72)</f>
        <v>1712250</v>
      </c>
      <c r="L73" s="568">
        <f>SUM(L55:L72)</f>
        <v>145</v>
      </c>
      <c r="M73" s="694"/>
      <c r="N73" s="699">
        <f>SUM(N55:N72)</f>
        <v>1574000</v>
      </c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</row>
    <row r="74" spans="4:52" ht="13.5" customHeight="1">
      <c r="H74" s="512">
        <f>H73-AZ50</f>
        <v>-1342509.375</v>
      </c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</row>
    <row r="75" spans="4:52" ht="19" customHeight="1"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</row>
    <row r="76" spans="4:52" ht="13.5" customHeight="1">
      <c r="N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</row>
    <row r="77" spans="4:52" ht="13.5" customHeight="1">
      <c r="N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</row>
    <row r="78" spans="4:52" ht="13.5" customHeight="1">
      <c r="N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</row>
    <row r="79" spans="4:52" ht="13.5" customHeight="1">
      <c r="N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</row>
    <row r="80" spans="4:52" ht="13.5" customHeight="1">
      <c r="N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</row>
    <row r="81" spans="13:52" ht="13.5" customHeight="1">
      <c r="N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</row>
    <row r="82" spans="13:52" ht="13.5" customHeight="1"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</row>
    <row r="83" spans="13:52" ht="13.5" customHeight="1"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</row>
    <row r="84" spans="13:52" ht="13.5" customHeight="1"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</row>
    <row r="85" spans="13:52" ht="13.5" customHeight="1"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</row>
    <row r="86" spans="13:52" ht="13.5" customHeight="1"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</row>
    <row r="87" spans="13:52" ht="13.5" customHeight="1"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</row>
    <row r="88" spans="13:52" ht="13.5" customHeight="1"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</row>
    <row r="89" spans="13:52" ht="13.5" customHeight="1"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</row>
    <row r="90" spans="13:52" ht="13.5" customHeight="1">
      <c r="M90" s="513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</row>
    <row r="91" spans="13:52" ht="13.5" customHeight="1"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</row>
    <row r="92" spans="13:52" ht="13.5" customHeight="1"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</row>
    <row r="93" spans="13:52" ht="13.5" customHeight="1"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</row>
    <row r="94" spans="13:52" ht="13.5" customHeight="1"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</row>
    <row r="95" spans="13:52" ht="13.5" customHeight="1"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</row>
    <row r="96" spans="13:52" ht="13.5" customHeight="1"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</row>
    <row r="97" spans="12:52" ht="13.5" customHeight="1"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</row>
    <row r="98" spans="12:52" ht="13.5" customHeight="1"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</row>
    <row r="99" spans="12:52" ht="13.5" customHeight="1"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</row>
    <row r="100" spans="12:52" ht="13.5" customHeight="1"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</row>
    <row r="101" spans="12:52" ht="13.5" customHeight="1"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</row>
    <row r="102" spans="12:52" ht="13.5" customHeight="1"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</row>
    <row r="103" spans="12:52" ht="13.5" customHeight="1"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</row>
    <row r="104" spans="12:52" ht="13.5" customHeight="1"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</row>
    <row r="105" spans="12:52" ht="13.5" customHeight="1"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</row>
    <row r="106" spans="12:52" ht="13.5" customHeight="1">
      <c r="L106" s="513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</row>
    <row r="107" spans="12:52" ht="13.5" customHeight="1"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</row>
    <row r="108" spans="12:52" ht="13.5" customHeight="1"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</row>
    <row r="109" spans="12:52" ht="13.5" customHeight="1"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</row>
    <row r="110" spans="12:52" ht="13.5" customHeight="1"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</row>
    <row r="111" spans="12:52" ht="13.5" customHeight="1"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</row>
    <row r="112" spans="12:52" ht="13.5" customHeight="1"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</row>
    <row r="113" spans="14:52" ht="13.5" customHeight="1"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</row>
    <row r="114" spans="14:52" ht="13.5" customHeight="1"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</row>
    <row r="115" spans="14:52" ht="13.5" customHeight="1"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</row>
    <row r="116" spans="14:52" ht="13.5" customHeight="1"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</row>
    <row r="117" spans="14:52" ht="13.5" customHeight="1"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</row>
    <row r="118" spans="14:52" ht="13.5" customHeight="1"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</row>
    <row r="119" spans="14:52" ht="13.5" customHeight="1"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</row>
    <row r="120" spans="14:52" ht="13.5" customHeight="1"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</row>
    <row r="121" spans="14:52" ht="13.5" customHeight="1"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</row>
    <row r="122" spans="14:52" ht="13.5" customHeight="1"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</row>
    <row r="123" spans="14:52" ht="13.5" customHeight="1"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</row>
    <row r="124" spans="14:52" ht="13.5" customHeight="1"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</row>
    <row r="125" spans="14:52" ht="13.5" customHeight="1"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</row>
    <row r="126" spans="14:52" ht="13.5" customHeight="1"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</row>
    <row r="127" spans="14:52" ht="13.5" customHeight="1"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</row>
    <row r="128" spans="14:52" ht="13.5" customHeight="1"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</row>
    <row r="129" spans="14:52" ht="13.5" customHeight="1"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</row>
    <row r="130" spans="14:52" ht="13.5" customHeight="1"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</row>
    <row r="131" spans="14:52" ht="13.5" customHeight="1"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</row>
    <row r="132" spans="14:52" ht="13.5" customHeight="1"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</row>
    <row r="133" spans="14:52" ht="13.5" customHeight="1"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</row>
    <row r="134" spans="14:52" ht="13.5" customHeight="1"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</row>
  </sheetData>
  <mergeCells count="23">
    <mergeCell ref="Q72:R72"/>
    <mergeCell ref="X72:Y72"/>
    <mergeCell ref="G28:G29"/>
    <mergeCell ref="I28:I29"/>
    <mergeCell ref="M33:M39"/>
    <mergeCell ref="F34:F39"/>
    <mergeCell ref="I34:I39"/>
    <mergeCell ref="D31:D33"/>
    <mergeCell ref="D8:D18"/>
    <mergeCell ref="D20:D23"/>
    <mergeCell ref="E20:E23"/>
    <mergeCell ref="F20:F23"/>
    <mergeCell ref="D25:D29"/>
    <mergeCell ref="E28:E29"/>
    <mergeCell ref="F28:F29"/>
    <mergeCell ref="AD1:AJ1"/>
    <mergeCell ref="AK1:AQ1"/>
    <mergeCell ref="AR1:AX1"/>
    <mergeCell ref="G20:G23"/>
    <mergeCell ref="L20:L22"/>
    <mergeCell ref="Q1:T1"/>
    <mergeCell ref="U1:V1"/>
    <mergeCell ref="W1:AC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088AD-ED51-4521-A5D3-09FCD705ED0B}">
  <dimension ref="A1:DX51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G10" sqref="G10:G30"/>
    </sheetView>
  </sheetViews>
  <sheetFormatPr defaultColWidth="8.6328125" defaultRowHeight="14.5"/>
  <cols>
    <col min="1" max="1" width="4.36328125" style="20" customWidth="1"/>
    <col min="2" max="2" width="5.08984375" style="87" customWidth="1"/>
    <col min="3" max="3" width="58.6328125" style="20" customWidth="1"/>
    <col min="4" max="4" width="11.90625" style="19" customWidth="1"/>
    <col min="5" max="5" width="12" style="19" customWidth="1"/>
    <col min="6" max="6" width="12.6328125" style="19" customWidth="1"/>
    <col min="7" max="7" width="14.90625" style="19" customWidth="1"/>
    <col min="8" max="8" width="16.6328125" style="19" customWidth="1"/>
    <col min="9" max="10" width="11.6328125" style="19" customWidth="1"/>
    <col min="11" max="11" width="12.6328125" style="19" customWidth="1"/>
    <col min="12" max="12" width="11.90625" style="19" customWidth="1"/>
    <col min="13" max="13" width="11.36328125" style="19" customWidth="1"/>
    <col min="14" max="14" width="9.90625" style="19" customWidth="1"/>
    <col min="15" max="15" width="11.36328125" style="19" customWidth="1"/>
    <col min="16" max="18" width="12.6328125" style="19" customWidth="1"/>
    <col min="19" max="49" width="13.08984375" style="19" customWidth="1"/>
    <col min="50" max="50" width="22.36328125" style="19" bestFit="1" customWidth="1"/>
    <col min="51" max="51" width="17.36328125" style="19" customWidth="1"/>
    <col min="52" max="52" width="11.08984375" style="20" bestFit="1" customWidth="1"/>
    <col min="53" max="53" width="14.36328125" style="20" customWidth="1"/>
    <col min="54" max="16384" width="8.6328125" style="20"/>
  </cols>
  <sheetData>
    <row r="1" spans="1:128" ht="15" customHeight="1" thickBot="1">
      <c r="Q1" s="1037" t="s">
        <v>60</v>
      </c>
      <c r="R1" s="1038"/>
      <c r="S1" s="1039"/>
      <c r="T1" s="1038" t="s">
        <v>61</v>
      </c>
      <c r="U1" s="1038"/>
      <c r="V1" s="1040" t="s">
        <v>62</v>
      </c>
      <c r="W1" s="1033"/>
      <c r="X1" s="1033"/>
      <c r="Y1" s="1033"/>
      <c r="Z1" s="1033"/>
      <c r="AA1" s="1033"/>
      <c r="AB1" s="1041"/>
      <c r="AC1" s="1033" t="s">
        <v>63</v>
      </c>
      <c r="AD1" s="1033"/>
      <c r="AE1" s="1033"/>
      <c r="AF1" s="1033"/>
      <c r="AG1" s="1033"/>
      <c r="AH1" s="1033"/>
      <c r="AI1" s="1041"/>
      <c r="AJ1" s="1033" t="s">
        <v>64</v>
      </c>
      <c r="AK1" s="1033"/>
      <c r="AL1" s="1033"/>
      <c r="AM1" s="1033"/>
      <c r="AN1" s="1033"/>
      <c r="AO1" s="1033"/>
      <c r="AP1" s="1041"/>
      <c r="AQ1" s="1033" t="s">
        <v>65</v>
      </c>
      <c r="AR1" s="1033"/>
      <c r="AS1" s="1033"/>
      <c r="AT1" s="1033"/>
      <c r="AU1" s="1033"/>
      <c r="AV1" s="1033"/>
      <c r="AW1" s="1033"/>
      <c r="AX1" s="285" t="s">
        <v>66</v>
      </c>
      <c r="AY1" s="20"/>
    </row>
    <row r="2" spans="1:128" ht="29.5" thickBot="1">
      <c r="B2" s="312" t="s">
        <v>29</v>
      </c>
      <c r="C2" s="313" t="s">
        <v>30</v>
      </c>
      <c r="D2" s="314" t="s">
        <v>3</v>
      </c>
      <c r="E2" s="315" t="s">
        <v>31</v>
      </c>
      <c r="F2" s="315" t="s">
        <v>5</v>
      </c>
      <c r="G2" s="315" t="s">
        <v>67</v>
      </c>
      <c r="H2" s="315" t="s">
        <v>32</v>
      </c>
      <c r="I2" s="315" t="s">
        <v>7</v>
      </c>
      <c r="J2" s="315" t="s">
        <v>68</v>
      </c>
      <c r="K2" s="315" t="s">
        <v>69</v>
      </c>
      <c r="L2" s="315" t="s">
        <v>8</v>
      </c>
      <c r="M2" s="315" t="s">
        <v>9</v>
      </c>
      <c r="N2" s="315" t="s">
        <v>10</v>
      </c>
      <c r="O2" s="315" t="s">
        <v>35</v>
      </c>
      <c r="P2" s="316" t="s">
        <v>11</v>
      </c>
      <c r="Q2" s="317" t="s">
        <v>70</v>
      </c>
      <c r="R2" s="318" t="s">
        <v>71</v>
      </c>
      <c r="S2" s="319" t="s">
        <v>34</v>
      </c>
      <c r="T2" s="269" t="s">
        <v>72</v>
      </c>
      <c r="U2" s="276" t="s">
        <v>73</v>
      </c>
      <c r="V2" s="274" t="s">
        <v>74</v>
      </c>
      <c r="W2" s="275" t="s">
        <v>31</v>
      </c>
      <c r="X2" s="275" t="s">
        <v>6</v>
      </c>
      <c r="Y2" s="275" t="s">
        <v>75</v>
      </c>
      <c r="Z2" s="275" t="s">
        <v>7</v>
      </c>
      <c r="AA2" s="275" t="s">
        <v>76</v>
      </c>
      <c r="AB2" s="280" t="s">
        <v>77</v>
      </c>
      <c r="AC2" s="274" t="s">
        <v>74</v>
      </c>
      <c r="AD2" s="275" t="s">
        <v>31</v>
      </c>
      <c r="AE2" s="275" t="s">
        <v>6</v>
      </c>
      <c r="AF2" s="275" t="s">
        <v>75</v>
      </c>
      <c r="AG2" s="275" t="s">
        <v>7</v>
      </c>
      <c r="AH2" s="275" t="s">
        <v>76</v>
      </c>
      <c r="AI2" s="280" t="s">
        <v>77</v>
      </c>
      <c r="AJ2" s="274" t="s">
        <v>74</v>
      </c>
      <c r="AK2" s="275" t="s">
        <v>31</v>
      </c>
      <c r="AL2" s="275" t="s">
        <v>6</v>
      </c>
      <c r="AM2" s="275" t="s">
        <v>75</v>
      </c>
      <c r="AN2" s="275" t="s">
        <v>7</v>
      </c>
      <c r="AO2" s="275" t="s">
        <v>76</v>
      </c>
      <c r="AP2" s="280" t="s">
        <v>77</v>
      </c>
      <c r="AQ2" s="274" t="s">
        <v>74</v>
      </c>
      <c r="AR2" s="275" t="s">
        <v>31</v>
      </c>
      <c r="AS2" s="275" t="s">
        <v>6</v>
      </c>
      <c r="AT2" s="275" t="s">
        <v>75</v>
      </c>
      <c r="AU2" s="275" t="s">
        <v>7</v>
      </c>
      <c r="AV2" s="275" t="s">
        <v>76</v>
      </c>
      <c r="AW2" s="280" t="s">
        <v>77</v>
      </c>
      <c r="AX2" s="286" t="s">
        <v>78</v>
      </c>
      <c r="AY2" s="20"/>
    </row>
    <row r="3" spans="1:128">
      <c r="B3" s="320">
        <v>1</v>
      </c>
      <c r="C3" s="321" t="s">
        <v>36</v>
      </c>
      <c r="D3" s="233">
        <v>2</v>
      </c>
      <c r="E3" s="62">
        <v>2</v>
      </c>
      <c r="F3" s="322"/>
      <c r="G3" s="322"/>
      <c r="H3" s="322"/>
      <c r="I3" s="322"/>
      <c r="J3" s="322"/>
      <c r="K3" s="322"/>
      <c r="L3" s="322"/>
      <c r="M3" s="322"/>
      <c r="N3" s="322"/>
      <c r="O3" s="322"/>
      <c r="P3" s="323"/>
      <c r="Q3" s="324"/>
      <c r="R3" s="325"/>
      <c r="S3" s="326"/>
      <c r="T3" s="327"/>
      <c r="U3" s="328"/>
      <c r="V3" s="329"/>
      <c r="W3" s="99"/>
      <c r="X3" s="99"/>
      <c r="Y3" s="99"/>
      <c r="Z3" s="99"/>
      <c r="AA3" s="99"/>
      <c r="AB3" s="330"/>
      <c r="AC3" s="329"/>
      <c r="AD3" s="99"/>
      <c r="AE3" s="99"/>
      <c r="AF3" s="99"/>
      <c r="AG3" s="99"/>
      <c r="AH3" s="99"/>
      <c r="AI3" s="330"/>
      <c r="AJ3" s="329"/>
      <c r="AK3" s="99"/>
      <c r="AL3" s="99"/>
      <c r="AM3" s="99"/>
      <c r="AN3" s="99"/>
      <c r="AO3" s="99"/>
      <c r="AP3" s="330"/>
      <c r="AQ3" s="329"/>
      <c r="AR3" s="99"/>
      <c r="AS3" s="99"/>
      <c r="AT3" s="99"/>
      <c r="AU3" s="99"/>
      <c r="AV3" s="99"/>
      <c r="AW3" s="330"/>
      <c r="AX3" s="331"/>
      <c r="AY3" s="20"/>
    </row>
    <row r="4" spans="1:128" s="108" customFormat="1">
      <c r="A4" s="20"/>
      <c r="B4" s="332">
        <v>2</v>
      </c>
      <c r="C4" s="333" t="s">
        <v>79</v>
      </c>
      <c r="D4" s="229">
        <v>1</v>
      </c>
      <c r="E4" s="230">
        <v>0.5</v>
      </c>
      <c r="F4" s="334"/>
      <c r="G4" s="334"/>
      <c r="H4" s="334"/>
      <c r="I4" s="334"/>
      <c r="J4" s="231"/>
      <c r="K4" s="231"/>
      <c r="L4" s="231"/>
      <c r="M4" s="231"/>
      <c r="N4" s="231"/>
      <c r="O4" s="231"/>
      <c r="P4" s="232"/>
      <c r="Q4" s="335"/>
      <c r="R4" s="334"/>
      <c r="S4" s="336"/>
      <c r="T4" s="337"/>
      <c r="U4" s="338"/>
      <c r="V4" s="337"/>
      <c r="W4" s="105"/>
      <c r="X4" s="105"/>
      <c r="Y4" s="105"/>
      <c r="Z4" s="105"/>
      <c r="AA4" s="105"/>
      <c r="AB4" s="338"/>
      <c r="AC4" s="337"/>
      <c r="AD4" s="105"/>
      <c r="AE4" s="105"/>
      <c r="AF4" s="105"/>
      <c r="AG4" s="105"/>
      <c r="AH4" s="105"/>
      <c r="AI4" s="338"/>
      <c r="AJ4" s="337"/>
      <c r="AK4" s="105"/>
      <c r="AL4" s="105"/>
      <c r="AM4" s="105"/>
      <c r="AN4" s="105"/>
      <c r="AO4" s="105"/>
      <c r="AP4" s="338"/>
      <c r="AQ4" s="337"/>
      <c r="AR4" s="105"/>
      <c r="AS4" s="105"/>
      <c r="AT4" s="105"/>
      <c r="AU4" s="105"/>
      <c r="AV4" s="105"/>
      <c r="AW4" s="338"/>
      <c r="AX4" s="339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</row>
    <row r="5" spans="1:128" s="108" customFormat="1">
      <c r="A5" s="20"/>
      <c r="B5" s="332">
        <v>2</v>
      </c>
      <c r="C5" s="333" t="s">
        <v>80</v>
      </c>
      <c r="D5" s="229">
        <v>5</v>
      </c>
      <c r="E5" s="230">
        <v>2</v>
      </c>
      <c r="F5" s="334"/>
      <c r="G5" s="334"/>
      <c r="H5" s="334"/>
      <c r="I5" s="334"/>
      <c r="J5" s="334"/>
      <c r="K5" s="334"/>
      <c r="L5" s="334"/>
      <c r="M5" s="334"/>
      <c r="N5" s="334"/>
      <c r="O5" s="334"/>
      <c r="P5" s="340"/>
      <c r="Q5" s="335"/>
      <c r="R5" s="334"/>
      <c r="S5" s="336"/>
      <c r="T5" s="337"/>
      <c r="U5" s="338"/>
      <c r="V5" s="337"/>
      <c r="W5" s="105"/>
      <c r="X5" s="105"/>
      <c r="Y5" s="105"/>
      <c r="Z5" s="105"/>
      <c r="AA5" s="105"/>
      <c r="AB5" s="338"/>
      <c r="AC5" s="337"/>
      <c r="AD5" s="105"/>
      <c r="AE5" s="105"/>
      <c r="AF5" s="105"/>
      <c r="AG5" s="105"/>
      <c r="AH5" s="105"/>
      <c r="AI5" s="338"/>
      <c r="AJ5" s="337"/>
      <c r="AK5" s="105"/>
      <c r="AL5" s="105"/>
      <c r="AM5" s="105"/>
      <c r="AN5" s="105"/>
      <c r="AO5" s="105"/>
      <c r="AP5" s="338"/>
      <c r="AQ5" s="337"/>
      <c r="AR5" s="105"/>
      <c r="AS5" s="105"/>
      <c r="AT5" s="105"/>
      <c r="AU5" s="105"/>
      <c r="AV5" s="105"/>
      <c r="AW5" s="338"/>
      <c r="AX5" s="339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</row>
    <row r="6" spans="1:128">
      <c r="B6" s="341">
        <v>3</v>
      </c>
      <c r="C6" s="342" t="s">
        <v>38</v>
      </c>
      <c r="D6" s="233">
        <v>0.5</v>
      </c>
      <c r="E6" s="62">
        <v>1</v>
      </c>
      <c r="F6" s="322">
        <v>1</v>
      </c>
      <c r="G6" s="322"/>
      <c r="H6" s="322"/>
      <c r="I6" s="322">
        <v>1</v>
      </c>
      <c r="J6" s="322"/>
      <c r="K6" s="322"/>
      <c r="L6" s="322"/>
      <c r="M6" s="322"/>
      <c r="N6" s="322"/>
      <c r="O6" s="322"/>
      <c r="P6" s="323"/>
      <c r="Q6" s="343"/>
      <c r="R6" s="322">
        <v>1</v>
      </c>
      <c r="S6" s="344"/>
      <c r="T6" s="345"/>
      <c r="U6" s="346"/>
      <c r="V6" s="239"/>
      <c r="W6" s="22"/>
      <c r="X6" s="22"/>
      <c r="Y6" s="22"/>
      <c r="Z6" s="22"/>
      <c r="AA6" s="22"/>
      <c r="AB6" s="76"/>
      <c r="AC6" s="239"/>
      <c r="AD6" s="22"/>
      <c r="AE6" s="22"/>
      <c r="AF6" s="22"/>
      <c r="AG6" s="22"/>
      <c r="AH6" s="22"/>
      <c r="AI6" s="76"/>
      <c r="AJ6" s="239"/>
      <c r="AK6" s="22"/>
      <c r="AL6" s="22"/>
      <c r="AM6" s="22"/>
      <c r="AN6" s="22"/>
      <c r="AO6" s="22"/>
      <c r="AP6" s="76"/>
      <c r="AQ6" s="239"/>
      <c r="AR6" s="22"/>
      <c r="AS6" s="22"/>
      <c r="AT6" s="22"/>
      <c r="AU6" s="22"/>
      <c r="AV6" s="22"/>
      <c r="AW6" s="76"/>
      <c r="AX6" s="287"/>
      <c r="AY6" s="20"/>
    </row>
    <row r="7" spans="1:128">
      <c r="B7" s="341">
        <v>4</v>
      </c>
      <c r="C7" s="342" t="s">
        <v>81</v>
      </c>
      <c r="D7" s="233">
        <v>2</v>
      </c>
      <c r="E7" s="62">
        <v>3</v>
      </c>
      <c r="F7" s="322"/>
      <c r="G7" s="322"/>
      <c r="H7" s="322"/>
      <c r="I7" s="322"/>
      <c r="J7" s="322"/>
      <c r="K7" s="322"/>
      <c r="L7" s="322"/>
      <c r="M7" s="322"/>
      <c r="N7" s="322"/>
      <c r="O7" s="322"/>
      <c r="P7" s="323"/>
      <c r="Q7" s="343"/>
      <c r="R7" s="322"/>
      <c r="S7" s="344"/>
      <c r="T7" s="345"/>
      <c r="U7" s="346"/>
      <c r="V7" s="239"/>
      <c r="W7" s="113"/>
      <c r="X7" s="113"/>
      <c r="Y7" s="113"/>
      <c r="Z7" s="113"/>
      <c r="AA7" s="113"/>
      <c r="AB7" s="346"/>
      <c r="AC7" s="239"/>
      <c r="AD7" s="113"/>
      <c r="AE7" s="113"/>
      <c r="AF7" s="113"/>
      <c r="AG7" s="113"/>
      <c r="AH7" s="113"/>
      <c r="AI7" s="346"/>
      <c r="AJ7" s="239"/>
      <c r="AK7" s="113"/>
      <c r="AL7" s="113"/>
      <c r="AM7" s="113"/>
      <c r="AN7" s="113"/>
      <c r="AO7" s="113"/>
      <c r="AP7" s="346"/>
      <c r="AQ7" s="239"/>
      <c r="AR7" s="113"/>
      <c r="AS7" s="113"/>
      <c r="AT7" s="113"/>
      <c r="AU7" s="113"/>
      <c r="AV7" s="113"/>
      <c r="AW7" s="346"/>
      <c r="AX7" s="287"/>
      <c r="AY7" s="20"/>
    </row>
    <row r="8" spans="1:128" s="120" customFormat="1">
      <c r="A8" s="20"/>
      <c r="B8" s="294">
        <v>5</v>
      </c>
      <c r="C8" s="347" t="s">
        <v>61</v>
      </c>
      <c r="D8" s="348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64"/>
      <c r="Q8" s="349"/>
      <c r="R8" s="254"/>
      <c r="S8" s="267"/>
      <c r="T8" s="350"/>
      <c r="U8" s="351"/>
      <c r="V8" s="350"/>
      <c r="W8" s="118"/>
      <c r="X8" s="118"/>
      <c r="Y8" s="118"/>
      <c r="Z8" s="118"/>
      <c r="AA8" s="118"/>
      <c r="AB8" s="351"/>
      <c r="AC8" s="350"/>
      <c r="AD8" s="118"/>
      <c r="AE8" s="118"/>
      <c r="AF8" s="118"/>
      <c r="AG8" s="118"/>
      <c r="AH8" s="118"/>
      <c r="AI8" s="351"/>
      <c r="AJ8" s="350"/>
      <c r="AK8" s="118"/>
      <c r="AL8" s="118"/>
      <c r="AM8" s="118"/>
      <c r="AN8" s="118"/>
      <c r="AO8" s="118"/>
      <c r="AP8" s="351"/>
      <c r="AQ8" s="350"/>
      <c r="AR8" s="118"/>
      <c r="AS8" s="118"/>
      <c r="AT8" s="118"/>
      <c r="AU8" s="118"/>
      <c r="AV8" s="118"/>
      <c r="AW8" s="351"/>
      <c r="AX8" s="352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</row>
    <row r="9" spans="1:128" s="128" customFormat="1">
      <c r="A9"/>
      <c r="B9" s="295">
        <v>5.0999999999999996</v>
      </c>
      <c r="C9" s="353" t="s">
        <v>40</v>
      </c>
      <c r="D9" s="266"/>
      <c r="E9" s="246"/>
      <c r="F9" s="246"/>
      <c r="G9" s="246"/>
      <c r="H9" s="246"/>
      <c r="I9" s="246"/>
      <c r="J9" s="354"/>
      <c r="K9" s="354"/>
      <c r="L9" s="354"/>
      <c r="M9" s="354"/>
      <c r="N9" s="354"/>
      <c r="O9" s="354"/>
      <c r="P9" s="355"/>
      <c r="Q9" s="356"/>
      <c r="R9" s="357"/>
      <c r="S9" s="358"/>
      <c r="T9" s="359">
        <v>6</v>
      </c>
      <c r="U9" s="360">
        <v>3</v>
      </c>
      <c r="V9" s="359"/>
      <c r="W9" s="127"/>
      <c r="X9" s="127"/>
      <c r="Y9" s="127"/>
      <c r="Z9" s="127"/>
      <c r="AA9" s="127"/>
      <c r="AB9" s="360"/>
      <c r="AC9" s="359"/>
      <c r="AD9" s="127"/>
      <c r="AE9" s="127"/>
      <c r="AF9" s="127"/>
      <c r="AG9" s="127"/>
      <c r="AH9" s="127"/>
      <c r="AI9" s="360"/>
      <c r="AJ9" s="359"/>
      <c r="AK9" s="127"/>
      <c r="AL9" s="127"/>
      <c r="AM9" s="127"/>
      <c r="AN9" s="127"/>
      <c r="AO9" s="127"/>
      <c r="AP9" s="360"/>
      <c r="AQ9" s="359"/>
      <c r="AR9" s="127"/>
      <c r="AS9" s="127"/>
      <c r="AT9" s="127"/>
      <c r="AU9" s="127"/>
      <c r="AV9" s="127"/>
      <c r="AW9" s="360"/>
      <c r="AX9" s="361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</row>
    <row r="10" spans="1:128" s="128" customFormat="1" ht="130.5">
      <c r="A10"/>
      <c r="B10" s="295">
        <v>5.2</v>
      </c>
      <c r="C10" s="353" t="s">
        <v>82</v>
      </c>
      <c r="D10" s="266">
        <v>2</v>
      </c>
      <c r="E10" s="246">
        <v>3</v>
      </c>
      <c r="F10" s="246">
        <v>2</v>
      </c>
      <c r="G10" s="246">
        <v>5</v>
      </c>
      <c r="H10" s="357"/>
      <c r="I10" s="246">
        <v>2</v>
      </c>
      <c r="J10" s="354"/>
      <c r="K10" s="246">
        <v>1</v>
      </c>
      <c r="L10" s="246"/>
      <c r="M10" s="246"/>
      <c r="N10" s="354"/>
      <c r="O10" s="354"/>
      <c r="P10" s="355"/>
      <c r="Q10" s="362"/>
      <c r="R10" s="246"/>
      <c r="S10" s="358"/>
      <c r="T10" s="359"/>
      <c r="U10" s="360"/>
      <c r="V10" s="359"/>
      <c r="W10" s="127"/>
      <c r="X10" s="127"/>
      <c r="Y10" s="127"/>
      <c r="Z10" s="127"/>
      <c r="AA10" s="127"/>
      <c r="AB10" s="360"/>
      <c r="AC10" s="359"/>
      <c r="AD10" s="127"/>
      <c r="AE10" s="127"/>
      <c r="AF10" s="127"/>
      <c r="AG10" s="127"/>
      <c r="AH10" s="127"/>
      <c r="AI10" s="360"/>
      <c r="AJ10" s="359"/>
      <c r="AK10" s="127"/>
      <c r="AL10" s="127"/>
      <c r="AM10" s="127"/>
      <c r="AN10" s="127"/>
      <c r="AO10" s="127"/>
      <c r="AP10" s="360"/>
      <c r="AQ10" s="359"/>
      <c r="AR10" s="127"/>
      <c r="AS10" s="127"/>
      <c r="AT10" s="127"/>
      <c r="AU10" s="127"/>
      <c r="AV10" s="127"/>
      <c r="AW10" s="360"/>
      <c r="AX10" s="361"/>
      <c r="AY10" s="129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</row>
    <row r="11" spans="1:128" s="135" customFormat="1" ht="29" hidden="1">
      <c r="A11" s="20"/>
      <c r="B11" s="363">
        <v>6</v>
      </c>
      <c r="C11" s="364" t="s">
        <v>83</v>
      </c>
      <c r="D11" s="365"/>
      <c r="E11" s="366"/>
      <c r="F11" s="366"/>
      <c r="G11" s="366"/>
      <c r="H11" s="366"/>
      <c r="I11" s="366"/>
      <c r="J11" s="366"/>
      <c r="K11" s="366"/>
      <c r="L11" s="366"/>
      <c r="M11" s="366"/>
      <c r="N11" s="366"/>
      <c r="O11" s="366"/>
      <c r="P11" s="367"/>
      <c r="Q11" s="368"/>
      <c r="R11" s="366"/>
      <c r="S11" s="369"/>
      <c r="T11" s="370"/>
      <c r="U11" s="371"/>
      <c r="V11" s="370"/>
      <c r="W11" s="198"/>
      <c r="X11" s="198"/>
      <c r="Y11" s="198"/>
      <c r="Z11" s="198"/>
      <c r="AA11" s="198"/>
      <c r="AB11" s="371"/>
      <c r="AC11" s="370"/>
      <c r="AD11" s="198"/>
      <c r="AE11" s="198"/>
      <c r="AF11" s="198"/>
      <c r="AG11" s="198"/>
      <c r="AH11" s="198"/>
      <c r="AI11" s="371"/>
      <c r="AJ11" s="370"/>
      <c r="AK11" s="198"/>
      <c r="AL11" s="198"/>
      <c r="AM11" s="198"/>
      <c r="AN11" s="198"/>
      <c r="AO11" s="198"/>
      <c r="AP11" s="371"/>
      <c r="AQ11" s="370"/>
      <c r="AR11" s="198"/>
      <c r="AS11" s="198"/>
      <c r="AT11" s="198"/>
      <c r="AU11" s="198"/>
      <c r="AV11" s="198"/>
      <c r="AW11" s="371"/>
      <c r="AX11" s="372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</row>
    <row r="12" spans="1:128" ht="18.75" hidden="1" customHeight="1">
      <c r="B12" s="373">
        <v>6.1</v>
      </c>
      <c r="C12" s="374" t="s">
        <v>84</v>
      </c>
      <c r="D12" s="375"/>
      <c r="E12" s="376"/>
      <c r="F12" s="376"/>
      <c r="G12" s="376"/>
      <c r="H12" s="376"/>
      <c r="I12" s="376"/>
      <c r="J12" s="377"/>
      <c r="K12" s="377"/>
      <c r="L12" s="376"/>
      <c r="M12" s="376"/>
      <c r="N12" s="376"/>
      <c r="O12" s="377"/>
      <c r="P12" s="378"/>
      <c r="Q12" s="379"/>
      <c r="R12" s="376"/>
      <c r="S12" s="380"/>
      <c r="T12" s="381"/>
      <c r="U12" s="382"/>
      <c r="V12" s="381"/>
      <c r="W12" s="133"/>
      <c r="X12" s="133"/>
      <c r="Y12" s="133"/>
      <c r="Z12" s="133"/>
      <c r="AA12" s="133"/>
      <c r="AB12" s="382"/>
      <c r="AC12" s="381"/>
      <c r="AD12" s="133"/>
      <c r="AE12" s="133"/>
      <c r="AF12" s="133"/>
      <c r="AG12" s="133"/>
      <c r="AH12" s="133"/>
      <c r="AI12" s="382"/>
      <c r="AJ12" s="381"/>
      <c r="AK12" s="133"/>
      <c r="AL12" s="133"/>
      <c r="AM12" s="133"/>
      <c r="AN12" s="133"/>
      <c r="AO12" s="133"/>
      <c r="AP12" s="382"/>
      <c r="AQ12" s="381"/>
      <c r="AR12" s="133"/>
      <c r="AS12" s="133"/>
      <c r="AT12" s="133"/>
      <c r="AU12" s="133"/>
      <c r="AV12" s="133"/>
      <c r="AW12" s="382"/>
      <c r="AX12" s="383"/>
      <c r="AY12" s="20"/>
    </row>
    <row r="13" spans="1:128" ht="87" hidden="1" customHeight="1">
      <c r="B13" s="373"/>
      <c r="C13" s="374" t="s">
        <v>85</v>
      </c>
      <c r="D13" s="375"/>
      <c r="E13" s="376"/>
      <c r="F13" s="376"/>
      <c r="G13" s="376"/>
      <c r="H13" s="376"/>
      <c r="I13" s="376"/>
      <c r="J13" s="377"/>
      <c r="K13" s="377"/>
      <c r="L13" s="376"/>
      <c r="M13" s="376"/>
      <c r="N13" s="376"/>
      <c r="O13" s="377"/>
      <c r="P13" s="378"/>
      <c r="Q13" s="379"/>
      <c r="R13" s="376"/>
      <c r="S13" s="380"/>
      <c r="T13" s="381"/>
      <c r="U13" s="382"/>
      <c r="V13" s="381"/>
      <c r="W13" s="133"/>
      <c r="X13" s="133"/>
      <c r="Y13" s="133"/>
      <c r="Z13" s="133"/>
      <c r="AA13" s="133"/>
      <c r="AB13" s="382"/>
      <c r="AC13" s="381"/>
      <c r="AD13" s="133"/>
      <c r="AE13" s="133"/>
      <c r="AF13" s="133"/>
      <c r="AG13" s="133"/>
      <c r="AH13" s="133"/>
      <c r="AI13" s="382"/>
      <c r="AJ13" s="381"/>
      <c r="AK13" s="133"/>
      <c r="AL13" s="133"/>
      <c r="AM13" s="133"/>
      <c r="AN13" s="133"/>
      <c r="AO13" s="133"/>
      <c r="AP13" s="382"/>
      <c r="AQ13" s="381"/>
      <c r="AR13" s="133"/>
      <c r="AS13" s="133"/>
      <c r="AT13" s="133"/>
      <c r="AU13" s="133"/>
      <c r="AV13" s="133"/>
      <c r="AW13" s="382"/>
      <c r="AX13" s="383"/>
      <c r="AY13" s="20"/>
    </row>
    <row r="14" spans="1:128" ht="18.5" hidden="1">
      <c r="B14" s="373">
        <v>6.2</v>
      </c>
      <c r="C14" s="374" t="s">
        <v>86</v>
      </c>
      <c r="D14" s="384"/>
      <c r="E14" s="376"/>
      <c r="F14" s="376"/>
      <c r="G14" s="376"/>
      <c r="H14" s="376"/>
      <c r="I14" s="376"/>
      <c r="J14" s="377"/>
      <c r="K14" s="377"/>
      <c r="L14" s="376"/>
      <c r="M14" s="376"/>
      <c r="N14" s="376"/>
      <c r="O14" s="377"/>
      <c r="P14" s="378"/>
      <c r="Q14" s="379"/>
      <c r="R14" s="376"/>
      <c r="S14" s="380"/>
      <c r="T14" s="381"/>
      <c r="U14" s="382"/>
      <c r="V14" s="381"/>
      <c r="W14" s="133"/>
      <c r="X14" s="133"/>
      <c r="Y14" s="133"/>
      <c r="Z14" s="133"/>
      <c r="AA14" s="133"/>
      <c r="AB14" s="382"/>
      <c r="AC14" s="381"/>
      <c r="AD14" s="133"/>
      <c r="AE14" s="133"/>
      <c r="AF14" s="133"/>
      <c r="AG14" s="133"/>
      <c r="AH14" s="133"/>
      <c r="AI14" s="382"/>
      <c r="AJ14" s="381"/>
      <c r="AK14" s="133"/>
      <c r="AL14" s="133"/>
      <c r="AM14" s="133"/>
      <c r="AN14" s="133"/>
      <c r="AO14" s="133"/>
      <c r="AP14" s="382"/>
      <c r="AQ14" s="381"/>
      <c r="AR14" s="133"/>
      <c r="AS14" s="133"/>
      <c r="AT14" s="133"/>
      <c r="AU14" s="133"/>
      <c r="AV14" s="133"/>
      <c r="AW14" s="382"/>
      <c r="AX14" s="383"/>
      <c r="AY14" s="20"/>
    </row>
    <row r="15" spans="1:128" ht="18.5" hidden="1">
      <c r="B15" s="373"/>
      <c r="C15" s="374" t="s">
        <v>87</v>
      </c>
      <c r="D15" s="384"/>
      <c r="E15" s="376"/>
      <c r="F15" s="376"/>
      <c r="G15" s="376"/>
      <c r="H15" s="376"/>
      <c r="I15" s="376"/>
      <c r="J15" s="377"/>
      <c r="K15" s="377"/>
      <c r="L15" s="376"/>
      <c r="M15" s="376"/>
      <c r="N15" s="376"/>
      <c r="O15" s="377"/>
      <c r="P15" s="378"/>
      <c r="Q15" s="379"/>
      <c r="R15" s="376"/>
      <c r="S15" s="380"/>
      <c r="T15" s="381"/>
      <c r="U15" s="382"/>
      <c r="V15" s="381"/>
      <c r="W15" s="133"/>
      <c r="X15" s="133"/>
      <c r="Y15" s="133"/>
      <c r="Z15" s="133"/>
      <c r="AA15" s="133"/>
      <c r="AB15" s="382"/>
      <c r="AC15" s="381"/>
      <c r="AD15" s="133"/>
      <c r="AE15" s="133"/>
      <c r="AF15" s="133"/>
      <c r="AG15" s="133"/>
      <c r="AH15" s="133"/>
      <c r="AI15" s="382"/>
      <c r="AJ15" s="381"/>
      <c r="AK15" s="133"/>
      <c r="AL15" s="133"/>
      <c r="AM15" s="133"/>
      <c r="AN15" s="133"/>
      <c r="AO15" s="133"/>
      <c r="AP15" s="382"/>
      <c r="AQ15" s="381"/>
      <c r="AR15" s="133"/>
      <c r="AS15" s="133"/>
      <c r="AT15" s="133"/>
      <c r="AU15" s="133"/>
      <c r="AV15" s="133"/>
      <c r="AW15" s="382"/>
      <c r="AX15" s="383"/>
      <c r="AY15" s="20"/>
    </row>
    <row r="16" spans="1:128" ht="18.5" hidden="1">
      <c r="B16" s="385">
        <v>7</v>
      </c>
      <c r="C16" s="386" t="s">
        <v>88</v>
      </c>
      <c r="D16" s="387"/>
      <c r="E16" s="388"/>
      <c r="F16" s="388"/>
      <c r="G16" s="388"/>
      <c r="H16" s="388"/>
      <c r="I16" s="388"/>
      <c r="J16" s="389"/>
      <c r="K16" s="389"/>
      <c r="L16" s="388"/>
      <c r="M16" s="388"/>
      <c r="N16" s="388"/>
      <c r="O16" s="389"/>
      <c r="P16" s="390"/>
      <c r="Q16" s="391"/>
      <c r="R16" s="388"/>
      <c r="S16" s="392"/>
      <c r="T16" s="393"/>
      <c r="U16" s="394"/>
      <c r="V16" s="393"/>
      <c r="W16" s="395"/>
      <c r="X16" s="395"/>
      <c r="Y16" s="395"/>
      <c r="Z16" s="395"/>
      <c r="AA16" s="395"/>
      <c r="AB16" s="394"/>
      <c r="AC16" s="393"/>
      <c r="AD16" s="395"/>
      <c r="AE16" s="395"/>
      <c r="AF16" s="395"/>
      <c r="AG16" s="395"/>
      <c r="AH16" s="395"/>
      <c r="AI16" s="394"/>
      <c r="AJ16" s="393"/>
      <c r="AK16" s="395"/>
      <c r="AL16" s="395"/>
      <c r="AM16" s="395"/>
      <c r="AN16" s="395"/>
      <c r="AO16" s="395"/>
      <c r="AP16" s="394"/>
      <c r="AQ16" s="393"/>
      <c r="AR16" s="395"/>
      <c r="AS16" s="395"/>
      <c r="AT16" s="395"/>
      <c r="AU16" s="395"/>
      <c r="AV16" s="395"/>
      <c r="AW16" s="394"/>
      <c r="AX16" s="396"/>
      <c r="AY16" s="20"/>
    </row>
    <row r="17" spans="2:54" ht="72.5" hidden="1">
      <c r="B17" s="397"/>
      <c r="C17" s="398" t="s">
        <v>89</v>
      </c>
      <c r="D17" s="399"/>
      <c r="E17" s="400"/>
      <c r="F17" s="401"/>
      <c r="G17" s="401"/>
      <c r="H17" s="401"/>
      <c r="I17" s="401"/>
      <c r="J17" s="402"/>
      <c r="K17" s="402"/>
      <c r="L17" s="401"/>
      <c r="M17" s="401"/>
      <c r="N17" s="401"/>
      <c r="O17" s="402"/>
      <c r="P17" s="403"/>
      <c r="Q17" s="400"/>
      <c r="R17" s="401"/>
      <c r="S17" s="404"/>
      <c r="T17" s="405"/>
      <c r="U17" s="406"/>
      <c r="V17" s="405"/>
      <c r="W17" s="179"/>
      <c r="X17" s="179"/>
      <c r="Y17" s="179"/>
      <c r="Z17" s="179"/>
      <c r="AA17" s="179"/>
      <c r="AB17" s="406"/>
      <c r="AC17" s="405"/>
      <c r="AD17" s="179"/>
      <c r="AE17" s="179"/>
      <c r="AF17" s="179"/>
      <c r="AG17" s="179"/>
      <c r="AH17" s="179"/>
      <c r="AI17" s="406"/>
      <c r="AJ17" s="405"/>
      <c r="AK17" s="179"/>
      <c r="AL17" s="179"/>
      <c r="AM17" s="179"/>
      <c r="AN17" s="179"/>
      <c r="AO17" s="179"/>
      <c r="AP17" s="406"/>
      <c r="AQ17" s="405"/>
      <c r="AR17" s="179"/>
      <c r="AS17" s="179"/>
      <c r="AT17" s="179"/>
      <c r="AU17" s="179"/>
      <c r="AV17" s="179"/>
      <c r="AW17" s="406"/>
      <c r="AX17" s="407"/>
      <c r="AY17" s="20"/>
    </row>
    <row r="18" spans="2:54" ht="29" hidden="1">
      <c r="B18" s="397"/>
      <c r="C18" s="398" t="s">
        <v>43</v>
      </c>
      <c r="D18" s="399"/>
      <c r="E18" s="400"/>
      <c r="F18" s="401"/>
      <c r="G18" s="401"/>
      <c r="H18" s="401"/>
      <c r="I18" s="401"/>
      <c r="J18" s="402"/>
      <c r="K18" s="402"/>
      <c r="L18" s="401"/>
      <c r="M18" s="401"/>
      <c r="N18" s="401"/>
      <c r="O18" s="402"/>
      <c r="P18" s="403"/>
      <c r="Q18" s="400"/>
      <c r="R18" s="401"/>
      <c r="S18" s="404"/>
      <c r="T18" s="405"/>
      <c r="U18" s="406"/>
      <c r="V18" s="405"/>
      <c r="W18" s="179"/>
      <c r="X18" s="179"/>
      <c r="Y18" s="179"/>
      <c r="Z18" s="179"/>
      <c r="AA18" s="179"/>
      <c r="AB18" s="406"/>
      <c r="AC18" s="405"/>
      <c r="AD18" s="179"/>
      <c r="AE18" s="179"/>
      <c r="AF18" s="179"/>
      <c r="AG18" s="179"/>
      <c r="AH18" s="179"/>
      <c r="AI18" s="406"/>
      <c r="AJ18" s="405"/>
      <c r="AK18" s="179"/>
      <c r="AL18" s="179"/>
      <c r="AM18" s="179"/>
      <c r="AN18" s="179"/>
      <c r="AO18" s="179"/>
      <c r="AP18" s="406"/>
      <c r="AQ18" s="405"/>
      <c r="AR18" s="179"/>
      <c r="AS18" s="179"/>
      <c r="AT18" s="179"/>
      <c r="AU18" s="179"/>
      <c r="AV18" s="179"/>
      <c r="AW18" s="406"/>
      <c r="AX18" s="407"/>
      <c r="AY18" s="20"/>
    </row>
    <row r="19" spans="2:54" ht="18.5" hidden="1">
      <c r="B19" s="397"/>
      <c r="C19" s="398" t="s">
        <v>44</v>
      </c>
      <c r="D19" s="399"/>
      <c r="E19" s="400"/>
      <c r="F19" s="401"/>
      <c r="G19" s="401"/>
      <c r="H19" s="401"/>
      <c r="I19" s="401"/>
      <c r="J19" s="402"/>
      <c r="K19" s="402"/>
      <c r="L19" s="401"/>
      <c r="M19" s="401"/>
      <c r="N19" s="401"/>
      <c r="O19" s="402"/>
      <c r="P19" s="403"/>
      <c r="Q19" s="400"/>
      <c r="R19" s="401"/>
      <c r="S19" s="404"/>
      <c r="T19" s="405"/>
      <c r="U19" s="406"/>
      <c r="V19" s="405"/>
      <c r="W19" s="179"/>
      <c r="X19" s="179"/>
      <c r="Y19" s="179"/>
      <c r="Z19" s="179"/>
      <c r="AA19" s="179"/>
      <c r="AB19" s="406"/>
      <c r="AC19" s="405"/>
      <c r="AD19" s="179"/>
      <c r="AE19" s="179"/>
      <c r="AF19" s="179"/>
      <c r="AG19" s="179"/>
      <c r="AH19" s="179"/>
      <c r="AI19" s="406"/>
      <c r="AJ19" s="405"/>
      <c r="AK19" s="179"/>
      <c r="AL19" s="179"/>
      <c r="AM19" s="179"/>
      <c r="AN19" s="179"/>
      <c r="AO19" s="179"/>
      <c r="AP19" s="406"/>
      <c r="AQ19" s="405"/>
      <c r="AR19" s="179"/>
      <c r="AS19" s="179"/>
      <c r="AT19" s="179"/>
      <c r="AU19" s="179"/>
      <c r="AV19" s="179"/>
      <c r="AW19" s="406"/>
      <c r="AX19" s="407"/>
      <c r="AY19" s="20"/>
    </row>
    <row r="20" spans="2:54" ht="18.5" hidden="1">
      <c r="B20" s="397"/>
      <c r="C20" s="398" t="s">
        <v>45</v>
      </c>
      <c r="D20" s="399"/>
      <c r="E20" s="400"/>
      <c r="F20" s="401"/>
      <c r="G20" s="401"/>
      <c r="H20" s="401"/>
      <c r="I20" s="401"/>
      <c r="J20" s="402"/>
      <c r="K20" s="402"/>
      <c r="L20" s="401"/>
      <c r="M20" s="401"/>
      <c r="N20" s="401"/>
      <c r="O20" s="402"/>
      <c r="P20" s="403"/>
      <c r="Q20" s="400"/>
      <c r="R20" s="401"/>
      <c r="S20" s="404"/>
      <c r="T20" s="405"/>
      <c r="U20" s="406"/>
      <c r="V20" s="405"/>
      <c r="W20" s="179"/>
      <c r="X20" s="179"/>
      <c r="Y20" s="179"/>
      <c r="Z20" s="179"/>
      <c r="AA20" s="179"/>
      <c r="AB20" s="406"/>
      <c r="AC20" s="405"/>
      <c r="AD20" s="179"/>
      <c r="AE20" s="179"/>
      <c r="AF20" s="179"/>
      <c r="AG20" s="179"/>
      <c r="AH20" s="179"/>
      <c r="AI20" s="406"/>
      <c r="AJ20" s="405"/>
      <c r="AK20" s="179"/>
      <c r="AL20" s="179"/>
      <c r="AM20" s="179"/>
      <c r="AN20" s="179"/>
      <c r="AO20" s="179"/>
      <c r="AP20" s="406"/>
      <c r="AQ20" s="405"/>
      <c r="AR20" s="179"/>
      <c r="AS20" s="179"/>
      <c r="AT20" s="179"/>
      <c r="AU20" s="179"/>
      <c r="AV20" s="179"/>
      <c r="AW20" s="406"/>
      <c r="AX20" s="407"/>
      <c r="AY20" s="20"/>
    </row>
    <row r="21" spans="2:54" ht="18.5" hidden="1">
      <c r="B21" s="397"/>
      <c r="C21" s="398" t="s">
        <v>46</v>
      </c>
      <c r="D21" s="399"/>
      <c r="E21" s="400"/>
      <c r="F21" s="401"/>
      <c r="G21" s="401"/>
      <c r="H21" s="401"/>
      <c r="I21" s="401"/>
      <c r="J21" s="402"/>
      <c r="K21" s="402"/>
      <c r="L21" s="401"/>
      <c r="M21" s="401"/>
      <c r="N21" s="401"/>
      <c r="O21" s="402"/>
      <c r="P21" s="403"/>
      <c r="Q21" s="400"/>
      <c r="R21" s="401"/>
      <c r="S21" s="404"/>
      <c r="T21" s="405"/>
      <c r="U21" s="406"/>
      <c r="V21" s="405"/>
      <c r="W21" s="179"/>
      <c r="X21" s="179"/>
      <c r="Y21" s="179"/>
      <c r="Z21" s="179"/>
      <c r="AA21" s="179"/>
      <c r="AB21" s="406"/>
      <c r="AC21" s="405"/>
      <c r="AD21" s="179"/>
      <c r="AE21" s="179"/>
      <c r="AF21" s="179"/>
      <c r="AG21" s="179"/>
      <c r="AH21" s="179"/>
      <c r="AI21" s="406"/>
      <c r="AJ21" s="405"/>
      <c r="AK21" s="179"/>
      <c r="AL21" s="179"/>
      <c r="AM21" s="179"/>
      <c r="AN21" s="179"/>
      <c r="AO21" s="179"/>
      <c r="AP21" s="406"/>
      <c r="AQ21" s="405"/>
      <c r="AR21" s="179"/>
      <c r="AS21" s="179"/>
      <c r="AT21" s="179"/>
      <c r="AU21" s="179"/>
      <c r="AV21" s="179"/>
      <c r="AW21" s="406"/>
      <c r="AX21" s="407"/>
      <c r="AY21" s="20"/>
    </row>
    <row r="22" spans="2:54" ht="18.5" hidden="1">
      <c r="B22" s="397"/>
      <c r="C22" s="398" t="s">
        <v>47</v>
      </c>
      <c r="D22" s="399"/>
      <c r="E22" s="400"/>
      <c r="F22" s="401"/>
      <c r="G22" s="401"/>
      <c r="H22" s="401"/>
      <c r="I22" s="401"/>
      <c r="J22" s="402"/>
      <c r="K22" s="402"/>
      <c r="L22" s="401"/>
      <c r="M22" s="401"/>
      <c r="N22" s="401"/>
      <c r="O22" s="402"/>
      <c r="P22" s="403"/>
      <c r="Q22" s="400"/>
      <c r="R22" s="401"/>
      <c r="S22" s="404"/>
      <c r="T22" s="405"/>
      <c r="U22" s="406"/>
      <c r="V22" s="405"/>
      <c r="W22" s="179"/>
      <c r="X22" s="179"/>
      <c r="Y22" s="179"/>
      <c r="Z22" s="179"/>
      <c r="AA22" s="179"/>
      <c r="AB22" s="406"/>
      <c r="AC22" s="405"/>
      <c r="AD22" s="179"/>
      <c r="AE22" s="179"/>
      <c r="AF22" s="179"/>
      <c r="AG22" s="179"/>
      <c r="AH22" s="179"/>
      <c r="AI22" s="406"/>
      <c r="AJ22" s="405"/>
      <c r="AK22" s="179"/>
      <c r="AL22" s="179"/>
      <c r="AM22" s="179"/>
      <c r="AN22" s="179"/>
      <c r="AO22" s="179"/>
      <c r="AP22" s="406"/>
      <c r="AQ22" s="405"/>
      <c r="AR22" s="179"/>
      <c r="AS22" s="179"/>
      <c r="AT22" s="179"/>
      <c r="AU22" s="179"/>
      <c r="AV22" s="179"/>
      <c r="AW22" s="406"/>
      <c r="AX22" s="407"/>
      <c r="AY22" s="20"/>
    </row>
    <row r="23" spans="2:54" ht="18.5" hidden="1">
      <c r="B23" s="397"/>
      <c r="C23" s="398" t="s">
        <v>48</v>
      </c>
      <c r="D23" s="399"/>
      <c r="E23" s="400"/>
      <c r="F23" s="401"/>
      <c r="G23" s="401"/>
      <c r="H23" s="401"/>
      <c r="I23" s="401"/>
      <c r="J23" s="402"/>
      <c r="K23" s="402"/>
      <c r="L23" s="401"/>
      <c r="M23" s="401"/>
      <c r="N23" s="401"/>
      <c r="O23" s="402"/>
      <c r="P23" s="403"/>
      <c r="Q23" s="400"/>
      <c r="R23" s="401"/>
      <c r="S23" s="404"/>
      <c r="T23" s="405"/>
      <c r="U23" s="406"/>
      <c r="V23" s="405"/>
      <c r="W23" s="179"/>
      <c r="X23" s="179"/>
      <c r="Y23" s="179"/>
      <c r="Z23" s="179"/>
      <c r="AA23" s="179"/>
      <c r="AB23" s="406"/>
      <c r="AC23" s="405"/>
      <c r="AD23" s="179"/>
      <c r="AE23" s="179"/>
      <c r="AF23" s="179"/>
      <c r="AG23" s="179"/>
      <c r="AH23" s="179"/>
      <c r="AI23" s="406"/>
      <c r="AJ23" s="405"/>
      <c r="AK23" s="179"/>
      <c r="AL23" s="179"/>
      <c r="AM23" s="179"/>
      <c r="AN23" s="179"/>
      <c r="AO23" s="179"/>
      <c r="AP23" s="406"/>
      <c r="AQ23" s="405"/>
      <c r="AR23" s="179"/>
      <c r="AS23" s="179"/>
      <c r="AT23" s="179"/>
      <c r="AU23" s="179"/>
      <c r="AV23" s="179"/>
      <c r="AW23" s="406"/>
      <c r="AX23" s="407"/>
      <c r="AY23" s="20"/>
    </row>
    <row r="24" spans="2:54" ht="18.5" hidden="1">
      <c r="B24" s="397"/>
      <c r="C24" s="398" t="s">
        <v>49</v>
      </c>
      <c r="D24" s="399"/>
      <c r="E24" s="400"/>
      <c r="F24" s="401"/>
      <c r="G24" s="401"/>
      <c r="H24" s="401"/>
      <c r="I24" s="401"/>
      <c r="J24" s="402"/>
      <c r="K24" s="402"/>
      <c r="L24" s="401"/>
      <c r="M24" s="401"/>
      <c r="N24" s="401"/>
      <c r="O24" s="402"/>
      <c r="P24" s="403"/>
      <c r="Q24" s="400"/>
      <c r="R24" s="401"/>
      <c r="S24" s="404"/>
      <c r="T24" s="405"/>
      <c r="U24" s="406"/>
      <c r="V24" s="405"/>
      <c r="W24" s="179"/>
      <c r="X24" s="179"/>
      <c r="Y24" s="179"/>
      <c r="Z24" s="179"/>
      <c r="AA24" s="179"/>
      <c r="AB24" s="406"/>
      <c r="AC24" s="405"/>
      <c r="AD24" s="179"/>
      <c r="AE24" s="179"/>
      <c r="AF24" s="179"/>
      <c r="AG24" s="179"/>
      <c r="AH24" s="179"/>
      <c r="AI24" s="406"/>
      <c r="AJ24" s="405"/>
      <c r="AK24" s="179"/>
      <c r="AL24" s="179"/>
      <c r="AM24" s="179"/>
      <c r="AN24" s="179"/>
      <c r="AO24" s="179"/>
      <c r="AP24" s="406"/>
      <c r="AQ24" s="405"/>
      <c r="AR24" s="179"/>
      <c r="AS24" s="179"/>
      <c r="AT24" s="179"/>
      <c r="AU24" s="179"/>
      <c r="AV24" s="179"/>
      <c r="AW24" s="406"/>
      <c r="AX24" s="407"/>
      <c r="AY24" s="20"/>
    </row>
    <row r="25" spans="2:54" ht="18.5" hidden="1">
      <c r="B25" s="397"/>
      <c r="C25" s="398" t="s">
        <v>50</v>
      </c>
      <c r="D25" s="399"/>
      <c r="E25" s="400"/>
      <c r="F25" s="401"/>
      <c r="G25" s="401"/>
      <c r="H25" s="401"/>
      <c r="I25" s="401"/>
      <c r="J25" s="402"/>
      <c r="K25" s="402"/>
      <c r="L25" s="401"/>
      <c r="M25" s="401"/>
      <c r="N25" s="401"/>
      <c r="O25" s="402"/>
      <c r="P25" s="403"/>
      <c r="Q25" s="400"/>
      <c r="R25" s="401"/>
      <c r="S25" s="404"/>
      <c r="T25" s="405"/>
      <c r="U25" s="406"/>
      <c r="V25" s="405"/>
      <c r="W25" s="179"/>
      <c r="X25" s="179"/>
      <c r="Y25" s="179"/>
      <c r="Z25" s="179"/>
      <c r="AA25" s="179"/>
      <c r="AB25" s="406"/>
      <c r="AC25" s="405"/>
      <c r="AD25" s="179"/>
      <c r="AE25" s="179"/>
      <c r="AF25" s="179"/>
      <c r="AG25" s="179"/>
      <c r="AH25" s="179"/>
      <c r="AI25" s="406"/>
      <c r="AJ25" s="405"/>
      <c r="AK25" s="179"/>
      <c r="AL25" s="179"/>
      <c r="AM25" s="179"/>
      <c r="AN25" s="179"/>
      <c r="AO25" s="179"/>
      <c r="AP25" s="406"/>
      <c r="AQ25" s="405"/>
      <c r="AR25" s="179"/>
      <c r="AS25" s="179"/>
      <c r="AT25" s="179"/>
      <c r="AU25" s="179"/>
      <c r="AV25" s="179"/>
      <c r="AW25" s="406"/>
      <c r="AX25" s="407"/>
      <c r="AY25" s="20"/>
    </row>
    <row r="26" spans="2:54" ht="18.5" hidden="1">
      <c r="B26" s="397"/>
      <c r="C26" s="398" t="s">
        <v>51</v>
      </c>
      <c r="D26" s="399"/>
      <c r="E26" s="400"/>
      <c r="F26" s="401"/>
      <c r="G26" s="401"/>
      <c r="H26" s="401"/>
      <c r="I26" s="401"/>
      <c r="J26" s="402"/>
      <c r="K26" s="402"/>
      <c r="L26" s="401"/>
      <c r="M26" s="401"/>
      <c r="N26" s="401"/>
      <c r="O26" s="402"/>
      <c r="P26" s="403"/>
      <c r="Q26" s="400"/>
      <c r="R26" s="401"/>
      <c r="S26" s="404"/>
      <c r="T26" s="405"/>
      <c r="U26" s="406"/>
      <c r="V26" s="405"/>
      <c r="W26" s="179"/>
      <c r="X26" s="179"/>
      <c r="Y26" s="179"/>
      <c r="Z26" s="179"/>
      <c r="AA26" s="179"/>
      <c r="AB26" s="406"/>
      <c r="AC26" s="405"/>
      <c r="AD26" s="179"/>
      <c r="AE26" s="179"/>
      <c r="AF26" s="179"/>
      <c r="AG26" s="179"/>
      <c r="AH26" s="179"/>
      <c r="AI26" s="406"/>
      <c r="AJ26" s="405"/>
      <c r="AK26" s="179"/>
      <c r="AL26" s="179"/>
      <c r="AM26" s="179"/>
      <c r="AN26" s="179"/>
      <c r="AO26" s="179"/>
      <c r="AP26" s="406"/>
      <c r="AQ26" s="405"/>
      <c r="AR26" s="179"/>
      <c r="AS26" s="179"/>
      <c r="AT26" s="179"/>
      <c r="AU26" s="179"/>
      <c r="AV26" s="179"/>
      <c r="AW26" s="406"/>
      <c r="AX26" s="407"/>
      <c r="AY26" s="20"/>
    </row>
    <row r="27" spans="2:54" ht="18.5" hidden="1">
      <c r="B27" s="397"/>
      <c r="C27" s="398" t="s">
        <v>52</v>
      </c>
      <c r="D27" s="399"/>
      <c r="E27" s="400"/>
      <c r="F27" s="401"/>
      <c r="G27" s="401"/>
      <c r="H27" s="401"/>
      <c r="I27" s="401"/>
      <c r="J27" s="402"/>
      <c r="K27" s="402"/>
      <c r="L27" s="401"/>
      <c r="M27" s="401"/>
      <c r="N27" s="401"/>
      <c r="O27" s="402"/>
      <c r="P27" s="403"/>
      <c r="Q27" s="400"/>
      <c r="R27" s="401"/>
      <c r="S27" s="404"/>
      <c r="T27" s="405"/>
      <c r="U27" s="406"/>
      <c r="V27" s="405"/>
      <c r="W27" s="179"/>
      <c r="X27" s="179"/>
      <c r="Y27" s="179"/>
      <c r="Z27" s="179"/>
      <c r="AA27" s="179"/>
      <c r="AB27" s="406"/>
      <c r="AC27" s="405"/>
      <c r="AD27" s="179"/>
      <c r="AE27" s="179"/>
      <c r="AF27" s="179"/>
      <c r="AG27" s="179"/>
      <c r="AH27" s="179"/>
      <c r="AI27" s="406"/>
      <c r="AJ27" s="405"/>
      <c r="AK27" s="179"/>
      <c r="AL27" s="179"/>
      <c r="AM27" s="179"/>
      <c r="AN27" s="179"/>
      <c r="AO27" s="179"/>
      <c r="AP27" s="406"/>
      <c r="AQ27" s="405"/>
      <c r="AR27" s="179"/>
      <c r="AS27" s="179"/>
      <c r="AT27" s="179"/>
      <c r="AU27" s="179"/>
      <c r="AV27" s="179"/>
      <c r="AW27" s="406"/>
      <c r="AX27" s="407"/>
      <c r="AY27" s="20"/>
    </row>
    <row r="28" spans="2:54" s="141" customFormat="1" ht="18.75" customHeight="1">
      <c r="B28" s="408">
        <v>8</v>
      </c>
      <c r="C28" s="409" t="s">
        <v>185</v>
      </c>
      <c r="D28" s="410">
        <v>2</v>
      </c>
      <c r="E28" s="411">
        <v>5</v>
      </c>
      <c r="F28" s="412">
        <v>8</v>
      </c>
      <c r="G28" s="412">
        <v>20</v>
      </c>
      <c r="H28" s="412"/>
      <c r="I28" s="1042">
        <v>4</v>
      </c>
      <c r="J28" s="413"/>
      <c r="K28" s="413"/>
      <c r="L28" s="412"/>
      <c r="M28" s="412"/>
      <c r="N28" s="412"/>
      <c r="O28" s="413"/>
      <c r="P28" s="414"/>
      <c r="Q28" s="415"/>
      <c r="R28" s="412"/>
      <c r="S28" s="416"/>
      <c r="T28" s="417"/>
      <c r="U28" s="418"/>
      <c r="V28" s="417"/>
      <c r="W28" s="191"/>
      <c r="X28" s="191"/>
      <c r="Y28" s="191"/>
      <c r="Z28" s="191"/>
      <c r="AA28" s="191"/>
      <c r="AB28" s="418"/>
      <c r="AC28" s="417"/>
      <c r="AD28" s="191"/>
      <c r="AE28" s="191"/>
      <c r="AF28" s="191"/>
      <c r="AG28" s="191"/>
      <c r="AH28" s="191"/>
      <c r="AI28" s="418"/>
      <c r="AJ28" s="417"/>
      <c r="AK28" s="191"/>
      <c r="AL28" s="191"/>
      <c r="AM28" s="191"/>
      <c r="AN28" s="191"/>
      <c r="AO28" s="191"/>
      <c r="AP28" s="418"/>
      <c r="AQ28" s="417"/>
      <c r="AR28" s="191"/>
      <c r="AS28" s="191"/>
      <c r="AT28" s="191"/>
      <c r="AU28" s="191"/>
      <c r="AV28" s="191"/>
      <c r="AW28" s="418"/>
      <c r="AX28" s="419"/>
    </row>
    <row r="29" spans="2:54" s="141" customFormat="1" ht="159.75" customHeight="1">
      <c r="B29" s="408"/>
      <c r="C29" s="244" t="s">
        <v>91</v>
      </c>
      <c r="D29" s="420">
        <v>0.5</v>
      </c>
      <c r="E29" s="411">
        <v>3</v>
      </c>
      <c r="F29" s="412">
        <v>2</v>
      </c>
      <c r="G29" s="412">
        <v>3</v>
      </c>
      <c r="H29" s="412"/>
      <c r="I29" s="1042"/>
      <c r="J29" s="413"/>
      <c r="K29" s="413"/>
      <c r="L29" s="412"/>
      <c r="M29" s="412"/>
      <c r="N29" s="412"/>
      <c r="O29" s="412">
        <v>5</v>
      </c>
      <c r="P29" s="414"/>
      <c r="Q29" s="415"/>
      <c r="R29" s="412"/>
      <c r="S29" s="416"/>
      <c r="T29" s="417"/>
      <c r="U29" s="418"/>
      <c r="V29" s="417"/>
      <c r="W29" s="191"/>
      <c r="X29" s="191"/>
      <c r="Y29" s="191"/>
      <c r="Z29" s="191"/>
      <c r="AA29" s="191"/>
      <c r="AB29" s="418"/>
      <c r="AC29" s="417"/>
      <c r="AD29" s="191"/>
      <c r="AE29" s="191"/>
      <c r="AF29" s="191"/>
      <c r="AG29" s="191"/>
      <c r="AH29" s="191"/>
      <c r="AI29" s="418"/>
      <c r="AJ29" s="417"/>
      <c r="AK29" s="191"/>
      <c r="AL29" s="191"/>
      <c r="AM29" s="191"/>
      <c r="AN29" s="191"/>
      <c r="AO29" s="191"/>
      <c r="AP29" s="418"/>
      <c r="AQ29" s="417"/>
      <c r="AR29" s="191"/>
      <c r="AS29" s="191"/>
      <c r="AT29" s="191"/>
      <c r="AU29" s="191"/>
      <c r="AV29" s="191"/>
      <c r="AW29" s="418"/>
      <c r="AX29" s="419"/>
    </row>
    <row r="30" spans="2:54" s="141" customFormat="1" ht="58">
      <c r="B30" s="363">
        <v>9</v>
      </c>
      <c r="C30" s="364" t="s">
        <v>92</v>
      </c>
      <c r="D30" s="365">
        <v>0.5</v>
      </c>
      <c r="E30" s="421">
        <v>2</v>
      </c>
      <c r="F30" s="366">
        <v>2</v>
      </c>
      <c r="G30" s="366">
        <v>3</v>
      </c>
      <c r="H30" s="366"/>
      <c r="I30" s="366"/>
      <c r="J30" s="422"/>
      <c r="K30" s="422"/>
      <c r="L30" s="366"/>
      <c r="M30" s="366"/>
      <c r="N30" s="366"/>
      <c r="O30" s="422"/>
      <c r="P30" s="423"/>
      <c r="Q30" s="368"/>
      <c r="R30" s="366"/>
      <c r="S30" s="369"/>
      <c r="T30" s="370"/>
      <c r="U30" s="371"/>
      <c r="V30" s="370"/>
      <c r="W30" s="198"/>
      <c r="X30" s="198"/>
      <c r="Y30" s="198"/>
      <c r="Z30" s="198"/>
      <c r="AA30" s="198"/>
      <c r="AB30" s="371"/>
      <c r="AC30" s="370"/>
      <c r="AD30" s="198"/>
      <c r="AE30" s="198"/>
      <c r="AF30" s="198"/>
      <c r="AG30" s="198"/>
      <c r="AH30" s="198"/>
      <c r="AI30" s="371"/>
      <c r="AJ30" s="370"/>
      <c r="AK30" s="198"/>
      <c r="AL30" s="198"/>
      <c r="AM30" s="198"/>
      <c r="AN30" s="198"/>
      <c r="AO30" s="198"/>
      <c r="AP30" s="371"/>
      <c r="AQ30" s="370"/>
      <c r="AR30" s="198"/>
      <c r="AS30" s="198"/>
      <c r="AT30" s="198"/>
      <c r="AU30" s="198"/>
      <c r="AV30" s="198"/>
      <c r="AW30" s="371"/>
      <c r="AX30" s="372"/>
    </row>
    <row r="31" spans="2:54" ht="18.75" customHeight="1">
      <c r="B31" s="294">
        <v>11</v>
      </c>
      <c r="C31" s="253" t="s">
        <v>94</v>
      </c>
      <c r="D31" s="256"/>
      <c r="E31" s="254"/>
      <c r="F31" s="254"/>
      <c r="G31" s="254"/>
      <c r="H31" s="254"/>
      <c r="I31" s="254"/>
      <c r="J31" s="255"/>
      <c r="K31" s="255"/>
      <c r="L31" s="254"/>
      <c r="M31" s="254"/>
      <c r="N31" s="254"/>
      <c r="O31" s="254"/>
      <c r="P31" s="264"/>
      <c r="Q31" s="437"/>
      <c r="R31" s="254"/>
      <c r="S31" s="267"/>
      <c r="T31" s="265"/>
      <c r="U31" s="277"/>
      <c r="V31" s="265"/>
      <c r="W31" s="248"/>
      <c r="X31" s="248"/>
      <c r="Y31" s="248"/>
      <c r="Z31" s="248"/>
      <c r="AA31" s="248"/>
      <c r="AB31" s="277"/>
      <c r="AC31" s="265"/>
      <c r="AD31" s="248"/>
      <c r="AE31" s="248"/>
      <c r="AF31" s="248"/>
      <c r="AG31" s="248"/>
      <c r="AH31" s="248"/>
      <c r="AI31" s="277"/>
      <c r="AJ31" s="265"/>
      <c r="AK31" s="248"/>
      <c r="AL31" s="248"/>
      <c r="AM31" s="248"/>
      <c r="AN31" s="248"/>
      <c r="AO31" s="248"/>
      <c r="AP31" s="277"/>
      <c r="AQ31" s="265"/>
      <c r="AR31" s="248"/>
      <c r="AS31" s="248"/>
      <c r="AT31" s="248"/>
      <c r="AU31" s="248"/>
      <c r="AV31" s="248"/>
      <c r="AW31" s="277"/>
      <c r="AX31" s="288"/>
      <c r="AY31" s="141"/>
      <c r="AZ31" s="141"/>
      <c r="BA31" s="141"/>
      <c r="BB31" s="141"/>
    </row>
    <row r="32" spans="2:54" ht="18.75" customHeight="1">
      <c r="B32" s="295"/>
      <c r="C32" s="245" t="s">
        <v>95</v>
      </c>
      <c r="D32" s="1043">
        <v>1</v>
      </c>
      <c r="E32" s="1044">
        <v>2</v>
      </c>
      <c r="F32" s="1044">
        <v>1</v>
      </c>
      <c r="G32" s="1044">
        <v>1</v>
      </c>
      <c r="H32" s="246"/>
      <c r="I32" s="246"/>
      <c r="J32" s="247"/>
      <c r="K32" s="247"/>
      <c r="L32" s="246"/>
      <c r="M32" s="246"/>
      <c r="N32" s="246"/>
      <c r="O32" s="246"/>
      <c r="P32" s="257"/>
      <c r="Q32" s="438"/>
      <c r="R32" s="246"/>
      <c r="S32" s="268"/>
      <c r="T32" s="266"/>
      <c r="U32" s="268"/>
      <c r="V32" s="266">
        <v>0.5</v>
      </c>
      <c r="W32" s="246">
        <v>1</v>
      </c>
      <c r="X32" s="246">
        <v>0.5</v>
      </c>
      <c r="Y32" s="246"/>
      <c r="Z32" s="246"/>
      <c r="AA32" s="246">
        <v>1</v>
      </c>
      <c r="AB32" s="268"/>
      <c r="AC32" s="266"/>
      <c r="AD32" s="246"/>
      <c r="AE32" s="246"/>
      <c r="AF32" s="246"/>
      <c r="AG32" s="246"/>
      <c r="AH32" s="246"/>
      <c r="AI32" s="268"/>
      <c r="AJ32" s="266"/>
      <c r="AK32" s="246"/>
      <c r="AL32" s="246"/>
      <c r="AM32" s="246"/>
      <c r="AN32" s="246"/>
      <c r="AO32" s="246"/>
      <c r="AP32" s="268"/>
      <c r="AQ32" s="266"/>
      <c r="AR32" s="246"/>
      <c r="AS32" s="246"/>
      <c r="AT32" s="246"/>
      <c r="AU32" s="246"/>
      <c r="AV32" s="246"/>
      <c r="AW32" s="268"/>
      <c r="AX32" s="289"/>
      <c r="AY32" s="141"/>
      <c r="AZ32" s="141"/>
      <c r="BA32" s="141"/>
      <c r="BB32" s="141"/>
    </row>
    <row r="33" spans="2:54" ht="18.75" customHeight="1">
      <c r="B33" s="295"/>
      <c r="C33" s="245" t="s">
        <v>96</v>
      </c>
      <c r="D33" s="1043"/>
      <c r="E33" s="1044"/>
      <c r="F33" s="1044"/>
      <c r="G33" s="1044"/>
      <c r="H33" s="246"/>
      <c r="I33" s="246"/>
      <c r="J33" s="247"/>
      <c r="K33" s="247"/>
      <c r="L33" s="246"/>
      <c r="M33" s="246"/>
      <c r="N33" s="246"/>
      <c r="O33" s="246"/>
      <c r="P33" s="257"/>
      <c r="Q33" s="438"/>
      <c r="R33" s="246"/>
      <c r="S33" s="268"/>
      <c r="T33" s="266"/>
      <c r="U33" s="268"/>
      <c r="V33" s="266"/>
      <c r="W33" s="246"/>
      <c r="X33" s="246"/>
      <c r="Y33" s="246"/>
      <c r="Z33" s="246"/>
      <c r="AA33" s="246"/>
      <c r="AB33" s="268"/>
      <c r="AC33" s="266">
        <v>0.5</v>
      </c>
      <c r="AD33" s="246">
        <v>1</v>
      </c>
      <c r="AE33" s="246">
        <v>0.5</v>
      </c>
      <c r="AF33" s="246"/>
      <c r="AG33" s="246"/>
      <c r="AH33" s="246">
        <v>1</v>
      </c>
      <c r="AI33" s="268"/>
      <c r="AJ33" s="266"/>
      <c r="AK33" s="246"/>
      <c r="AL33" s="246"/>
      <c r="AM33" s="246"/>
      <c r="AN33" s="246"/>
      <c r="AO33" s="246"/>
      <c r="AP33" s="268"/>
      <c r="AQ33" s="266"/>
      <c r="AR33" s="246"/>
      <c r="AS33" s="246"/>
      <c r="AT33" s="246"/>
      <c r="AU33" s="246"/>
      <c r="AV33" s="246"/>
      <c r="AW33" s="268"/>
      <c r="AX33" s="289"/>
      <c r="AY33" s="141"/>
      <c r="AZ33" s="141"/>
      <c r="BA33" s="141"/>
      <c r="BB33" s="141"/>
    </row>
    <row r="34" spans="2:54" ht="18.75" customHeight="1">
      <c r="B34" s="295"/>
      <c r="C34" s="245" t="s">
        <v>97</v>
      </c>
      <c r="D34" s="1043"/>
      <c r="E34" s="1044"/>
      <c r="F34" s="1044"/>
      <c r="G34" s="1044"/>
      <c r="H34" s="246"/>
      <c r="I34" s="246"/>
      <c r="J34" s="247"/>
      <c r="K34" s="247"/>
      <c r="L34" s="246"/>
      <c r="M34" s="246"/>
      <c r="N34" s="246"/>
      <c r="O34" s="246"/>
      <c r="P34" s="257"/>
      <c r="Q34" s="438"/>
      <c r="R34" s="246"/>
      <c r="S34" s="268"/>
      <c r="T34" s="266"/>
      <c r="U34" s="268"/>
      <c r="V34" s="266"/>
      <c r="W34" s="246"/>
      <c r="X34" s="246"/>
      <c r="Y34" s="246"/>
      <c r="Z34" s="246"/>
      <c r="AA34" s="246"/>
      <c r="AB34" s="268"/>
      <c r="AC34" s="266"/>
      <c r="AD34" s="246"/>
      <c r="AE34" s="246"/>
      <c r="AF34" s="246"/>
      <c r="AG34" s="246"/>
      <c r="AH34" s="246"/>
      <c r="AI34" s="268"/>
      <c r="AJ34" s="266">
        <v>0.5</v>
      </c>
      <c r="AK34" s="246">
        <v>1</v>
      </c>
      <c r="AL34" s="246">
        <v>0.5</v>
      </c>
      <c r="AM34" s="246"/>
      <c r="AN34" s="246"/>
      <c r="AO34" s="246">
        <v>1</v>
      </c>
      <c r="AP34" s="268"/>
      <c r="AQ34" s="266"/>
      <c r="AR34" s="246"/>
      <c r="AS34" s="246"/>
      <c r="AT34" s="246"/>
      <c r="AU34" s="246"/>
      <c r="AV34" s="246"/>
      <c r="AW34" s="268"/>
      <c r="AX34" s="289"/>
      <c r="AY34" s="141"/>
      <c r="AZ34" s="141"/>
      <c r="BA34" s="141"/>
      <c r="BB34" s="141"/>
    </row>
    <row r="35" spans="2:54" ht="18.75" customHeight="1">
      <c r="B35" s="295"/>
      <c r="C35" s="245" t="s">
        <v>98</v>
      </c>
      <c r="D35" s="1043"/>
      <c r="E35" s="1044"/>
      <c r="F35" s="1044"/>
      <c r="G35" s="1044"/>
      <c r="H35" s="246"/>
      <c r="I35" s="246"/>
      <c r="J35" s="247"/>
      <c r="K35" s="247"/>
      <c r="L35" s="246"/>
      <c r="M35" s="246"/>
      <c r="N35" s="246"/>
      <c r="O35" s="246"/>
      <c r="P35" s="257"/>
      <c r="Q35" s="438"/>
      <c r="R35" s="246"/>
      <c r="S35" s="268"/>
      <c r="T35" s="266"/>
      <c r="U35" s="268"/>
      <c r="V35" s="266"/>
      <c r="W35" s="246"/>
      <c r="X35" s="246"/>
      <c r="Y35" s="246"/>
      <c r="Z35" s="246"/>
      <c r="AA35" s="246"/>
      <c r="AB35" s="268"/>
      <c r="AC35" s="266"/>
      <c r="AD35" s="246"/>
      <c r="AE35" s="246"/>
      <c r="AF35" s="246"/>
      <c r="AG35" s="246"/>
      <c r="AH35" s="246"/>
      <c r="AI35" s="268"/>
      <c r="AJ35" s="266"/>
      <c r="AK35" s="246"/>
      <c r="AL35" s="246"/>
      <c r="AM35" s="246"/>
      <c r="AN35" s="246"/>
      <c r="AO35" s="246"/>
      <c r="AP35" s="268"/>
      <c r="AQ35" s="266"/>
      <c r="AR35" s="246"/>
      <c r="AS35" s="246">
        <v>2</v>
      </c>
      <c r="AT35" s="246"/>
      <c r="AU35" s="246"/>
      <c r="AV35" s="246"/>
      <c r="AW35" s="268"/>
      <c r="AX35" s="289">
        <v>3</v>
      </c>
      <c r="AY35" s="141"/>
      <c r="AZ35" s="141"/>
      <c r="BA35" s="141"/>
      <c r="BB35" s="141"/>
    </row>
    <row r="36" spans="2:54" ht="18.75" customHeight="1">
      <c r="B36" s="295"/>
      <c r="C36" s="245" t="s">
        <v>66</v>
      </c>
      <c r="D36" s="1043"/>
      <c r="E36" s="1044"/>
      <c r="F36" s="1044"/>
      <c r="G36" s="1044"/>
      <c r="H36" s="246"/>
      <c r="I36" s="246"/>
      <c r="J36" s="247"/>
      <c r="K36" s="247"/>
      <c r="L36" s="246"/>
      <c r="M36" s="246"/>
      <c r="N36" s="246"/>
      <c r="O36" s="246"/>
      <c r="P36" s="257"/>
      <c r="Q36" s="438"/>
      <c r="R36" s="246"/>
      <c r="S36" s="268"/>
      <c r="T36" s="266"/>
      <c r="U36" s="268"/>
      <c r="V36" s="266"/>
      <c r="W36" s="246"/>
      <c r="X36" s="246"/>
      <c r="Y36" s="246"/>
      <c r="Z36" s="246"/>
      <c r="AA36" s="246"/>
      <c r="AB36" s="268"/>
      <c r="AC36" s="266"/>
      <c r="AD36" s="246"/>
      <c r="AE36" s="246"/>
      <c r="AF36" s="246"/>
      <c r="AG36" s="246"/>
      <c r="AH36" s="246"/>
      <c r="AI36" s="268"/>
      <c r="AJ36" s="266"/>
      <c r="AK36" s="246"/>
      <c r="AL36" s="246"/>
      <c r="AM36" s="246"/>
      <c r="AN36" s="246"/>
      <c r="AO36" s="246"/>
      <c r="AP36" s="268"/>
      <c r="AQ36" s="266"/>
      <c r="AR36" s="246"/>
      <c r="AS36" s="246"/>
      <c r="AT36" s="246"/>
      <c r="AU36" s="246"/>
      <c r="AV36" s="246"/>
      <c r="AW36" s="268"/>
      <c r="AX36" s="289"/>
      <c r="AY36" s="141"/>
      <c r="AZ36" s="141"/>
      <c r="BA36" s="141"/>
      <c r="BB36" s="141"/>
    </row>
    <row r="37" spans="2:54">
      <c r="B37" s="341">
        <v>11</v>
      </c>
      <c r="C37" s="342" t="s">
        <v>53</v>
      </c>
      <c r="D37" s="234">
        <v>1</v>
      </c>
      <c r="E37" s="73">
        <v>5</v>
      </c>
      <c r="F37" s="73">
        <v>3</v>
      </c>
      <c r="G37" s="73">
        <v>5</v>
      </c>
      <c r="H37" s="73"/>
      <c r="I37" s="73">
        <v>1</v>
      </c>
      <c r="J37" s="73"/>
      <c r="K37" s="73"/>
      <c r="L37" s="73"/>
      <c r="M37" s="73"/>
      <c r="N37" s="73"/>
      <c r="O37" s="73"/>
      <c r="P37" s="235"/>
      <c r="Q37" s="270">
        <v>1</v>
      </c>
      <c r="R37" s="73">
        <v>2</v>
      </c>
      <c r="S37" s="261"/>
      <c r="T37" s="249"/>
      <c r="U37" s="278"/>
      <c r="V37" s="236"/>
      <c r="W37" s="23">
        <v>0.5</v>
      </c>
      <c r="X37" s="23">
        <v>0.5</v>
      </c>
      <c r="Y37" s="62"/>
      <c r="Z37" s="73"/>
      <c r="AA37" s="282"/>
      <c r="AB37" s="237"/>
      <c r="AC37" s="249"/>
      <c r="AD37" s="23">
        <v>0.5</v>
      </c>
      <c r="AE37" s="23">
        <v>0.5</v>
      </c>
      <c r="AF37" s="65"/>
      <c r="AG37" s="65"/>
      <c r="AH37" s="65"/>
      <c r="AI37" s="278"/>
      <c r="AJ37" s="249"/>
      <c r="AK37" s="23">
        <v>0.5</v>
      </c>
      <c r="AL37" s="23">
        <v>0.5</v>
      </c>
      <c r="AM37" s="65"/>
      <c r="AN37" s="65"/>
      <c r="AO37" s="65"/>
      <c r="AP37" s="278"/>
      <c r="AQ37" s="249"/>
      <c r="AR37" s="65">
        <v>1</v>
      </c>
      <c r="AS37" s="284"/>
      <c r="AT37" s="284"/>
      <c r="AU37" s="284"/>
      <c r="AV37" s="65"/>
      <c r="AW37" s="278"/>
      <c r="AX37" s="290"/>
      <c r="AY37" s="20"/>
    </row>
    <row r="38" spans="2:54">
      <c r="B38" s="341">
        <v>12</v>
      </c>
      <c r="C38" s="342" t="s">
        <v>54</v>
      </c>
      <c r="D38" s="234">
        <v>1</v>
      </c>
      <c r="E38" s="73">
        <v>1</v>
      </c>
      <c r="F38" s="73">
        <v>1</v>
      </c>
      <c r="G38" s="73">
        <v>2</v>
      </c>
      <c r="H38" s="73"/>
      <c r="I38" s="62">
        <v>1</v>
      </c>
      <c r="J38" s="73"/>
      <c r="K38" s="73"/>
      <c r="L38" s="73"/>
      <c r="M38" s="73"/>
      <c r="N38" s="73"/>
      <c r="O38" s="73"/>
      <c r="P38" s="235"/>
      <c r="Q38" s="270">
        <v>1</v>
      </c>
      <c r="R38" s="73">
        <v>2</v>
      </c>
      <c r="S38" s="261"/>
      <c r="T38" s="236"/>
      <c r="U38" s="78"/>
      <c r="V38" s="236"/>
      <c r="W38" s="23">
        <v>0.25</v>
      </c>
      <c r="X38" s="23">
        <v>0.25</v>
      </c>
      <c r="Y38" s="62"/>
      <c r="Z38" s="73"/>
      <c r="AA38" s="282"/>
      <c r="AB38" s="237"/>
      <c r="AC38" s="236"/>
      <c r="AD38" s="23">
        <v>0.25</v>
      </c>
      <c r="AE38" s="23">
        <v>0.25</v>
      </c>
      <c r="AF38" s="23"/>
      <c r="AG38" s="23"/>
      <c r="AH38" s="23"/>
      <c r="AI38" s="78"/>
      <c r="AJ38" s="236"/>
      <c r="AK38" s="23">
        <v>0.25</v>
      </c>
      <c r="AL38" s="23">
        <v>0.25</v>
      </c>
      <c r="AM38" s="23"/>
      <c r="AN38" s="23"/>
      <c r="AO38" s="23"/>
      <c r="AP38" s="78"/>
      <c r="AQ38" s="236"/>
      <c r="AR38" s="78">
        <v>1</v>
      </c>
      <c r="AS38" s="73"/>
      <c r="AT38" s="73"/>
      <c r="AU38" s="73"/>
      <c r="AV38" s="206"/>
      <c r="AW38" s="78"/>
      <c r="AX38" s="291"/>
      <c r="AY38" s="20"/>
    </row>
    <row r="39" spans="2:54">
      <c r="B39" s="341">
        <v>13</v>
      </c>
      <c r="C39" s="342" t="s">
        <v>55</v>
      </c>
      <c r="D39" s="234">
        <v>1</v>
      </c>
      <c r="E39" s="73">
        <v>1</v>
      </c>
      <c r="F39" s="73">
        <v>1</v>
      </c>
      <c r="G39" s="73">
        <v>1</v>
      </c>
      <c r="H39" s="73"/>
      <c r="I39" s="73">
        <v>1</v>
      </c>
      <c r="J39" s="73"/>
      <c r="K39" s="73"/>
      <c r="L39" s="73"/>
      <c r="M39" s="73"/>
      <c r="N39" s="73"/>
      <c r="O39" s="73"/>
      <c r="P39" s="235"/>
      <c r="Q39" s="270"/>
      <c r="R39" s="73">
        <v>1</v>
      </c>
      <c r="S39" s="261"/>
      <c r="T39" s="236"/>
      <c r="U39" s="78"/>
      <c r="V39" s="236"/>
      <c r="W39" s="23">
        <v>0.25</v>
      </c>
      <c r="X39" s="23">
        <v>0.25</v>
      </c>
      <c r="Y39" s="62"/>
      <c r="Z39" s="73"/>
      <c r="AA39" s="282"/>
      <c r="AB39" s="237"/>
      <c r="AC39" s="236"/>
      <c r="AD39" s="23">
        <v>0.25</v>
      </c>
      <c r="AE39" s="23">
        <v>0.25</v>
      </c>
      <c r="AF39" s="23"/>
      <c r="AG39" s="23"/>
      <c r="AH39" s="23"/>
      <c r="AI39" s="78"/>
      <c r="AJ39" s="236"/>
      <c r="AK39" s="23">
        <v>0.25</v>
      </c>
      <c r="AL39" s="23">
        <v>0.25</v>
      </c>
      <c r="AM39" s="23"/>
      <c r="AN39" s="23"/>
      <c r="AO39" s="23"/>
      <c r="AP39" s="78"/>
      <c r="AQ39" s="236"/>
      <c r="AR39" s="78">
        <v>1</v>
      </c>
      <c r="AS39" s="73"/>
      <c r="AT39" s="73"/>
      <c r="AU39" s="73"/>
      <c r="AV39" s="206"/>
      <c r="AW39" s="78"/>
      <c r="AX39" s="291"/>
      <c r="AY39" s="20"/>
    </row>
    <row r="40" spans="2:54">
      <c r="B40" s="341">
        <v>14</v>
      </c>
      <c r="C40" s="342" t="s">
        <v>56</v>
      </c>
      <c r="D40" s="234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235"/>
      <c r="R40" s="73"/>
      <c r="S40" s="261"/>
      <c r="T40" s="236"/>
      <c r="U40" s="78"/>
      <c r="V40" s="236"/>
      <c r="W40" s="23">
        <v>0.5</v>
      </c>
      <c r="X40" s="23">
        <v>1</v>
      </c>
      <c r="Y40" s="73"/>
      <c r="Z40" s="73"/>
      <c r="AA40" s="282"/>
      <c r="AB40" s="237"/>
      <c r="AC40" s="236"/>
      <c r="AD40" s="23"/>
      <c r="AE40" s="23"/>
      <c r="AF40" s="23"/>
      <c r="AG40" s="23"/>
      <c r="AH40" s="23"/>
      <c r="AI40" s="78"/>
      <c r="AJ40" s="236"/>
      <c r="AK40" s="23"/>
      <c r="AL40" s="23"/>
      <c r="AM40" s="23"/>
      <c r="AN40" s="23"/>
      <c r="AO40" s="23"/>
      <c r="AP40" s="78"/>
      <c r="AQ40" s="236"/>
      <c r="AR40" s="23"/>
      <c r="AS40" s="65"/>
      <c r="AT40" s="65"/>
      <c r="AU40" s="65"/>
      <c r="AV40" s="23"/>
      <c r="AW40" s="78"/>
      <c r="AX40" s="291"/>
      <c r="AY40" s="20"/>
    </row>
    <row r="41" spans="2:54">
      <c r="B41" s="341">
        <v>15</v>
      </c>
      <c r="C41" s="342" t="s">
        <v>57</v>
      </c>
      <c r="D41" s="233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238">
        <v>3</v>
      </c>
      <c r="Q41" s="271"/>
      <c r="R41" s="62"/>
      <c r="S41" s="262"/>
      <c r="T41" s="239"/>
      <c r="U41" s="76"/>
      <c r="V41" s="239"/>
      <c r="W41" s="23">
        <v>0.5</v>
      </c>
      <c r="X41" s="22">
        <v>1</v>
      </c>
      <c r="Y41" s="64"/>
      <c r="Z41" s="64"/>
      <c r="AA41" s="76"/>
      <c r="AB41" s="240">
        <v>3</v>
      </c>
      <c r="AC41" s="239"/>
      <c r="AD41" s="22"/>
      <c r="AE41" s="22"/>
      <c r="AF41" s="22"/>
      <c r="AG41" s="22"/>
      <c r="AH41" s="22"/>
      <c r="AI41" s="76"/>
      <c r="AJ41" s="239"/>
      <c r="AK41" s="22"/>
      <c r="AL41" s="22"/>
      <c r="AM41" s="22"/>
      <c r="AN41" s="22"/>
      <c r="AO41" s="22"/>
      <c r="AP41" s="76"/>
      <c r="AQ41" s="239"/>
      <c r="AR41" s="22"/>
      <c r="AS41" s="22"/>
      <c r="AT41" s="22"/>
      <c r="AU41" s="22"/>
      <c r="AV41" s="22"/>
      <c r="AW41" s="76"/>
      <c r="AX41" s="287"/>
      <c r="AY41" s="20"/>
    </row>
    <row r="42" spans="2:54" ht="15" thickBot="1">
      <c r="B42" s="439">
        <v>16</v>
      </c>
      <c r="C42" s="311" t="s">
        <v>106</v>
      </c>
      <c r="D42" s="250">
        <v>0.5</v>
      </c>
      <c r="E42" s="251">
        <f>2+5</f>
        <v>7</v>
      </c>
      <c r="F42" s="251"/>
      <c r="G42" s="251">
        <f>2+2</f>
        <v>4</v>
      </c>
      <c r="H42" s="251"/>
      <c r="I42" s="251"/>
      <c r="J42" s="251"/>
      <c r="K42" s="251"/>
      <c r="L42" s="251"/>
      <c r="M42" s="251"/>
      <c r="N42" s="251"/>
      <c r="O42" s="251">
        <v>2</v>
      </c>
      <c r="P42" s="252"/>
      <c r="Q42" s="272">
        <v>1</v>
      </c>
      <c r="R42" s="251">
        <v>1</v>
      </c>
      <c r="S42" s="263">
        <v>0.5</v>
      </c>
      <c r="T42" s="258"/>
      <c r="U42" s="279"/>
      <c r="V42" s="258"/>
      <c r="W42" s="259">
        <v>0.5</v>
      </c>
      <c r="X42" s="259">
        <v>0.5</v>
      </c>
      <c r="Y42" s="283"/>
      <c r="Z42" s="259"/>
      <c r="AA42" s="279"/>
      <c r="AB42" s="260"/>
      <c r="AC42" s="242"/>
      <c r="AD42" s="259">
        <v>0.5</v>
      </c>
      <c r="AE42" s="259">
        <v>0.5</v>
      </c>
      <c r="AF42" s="86"/>
      <c r="AG42" s="86"/>
      <c r="AH42" s="86"/>
      <c r="AI42" s="241"/>
      <c r="AJ42" s="242"/>
      <c r="AK42" s="259">
        <v>0.5</v>
      </c>
      <c r="AL42" s="259">
        <v>0.5</v>
      </c>
      <c r="AM42" s="86"/>
      <c r="AN42" s="86"/>
      <c r="AO42" s="86"/>
      <c r="AP42" s="241"/>
      <c r="AQ42" s="242"/>
      <c r="AR42" s="86">
        <v>0.5</v>
      </c>
      <c r="AS42" s="86"/>
      <c r="AT42" s="86"/>
      <c r="AU42" s="86"/>
      <c r="AV42" s="86"/>
      <c r="AW42" s="241"/>
      <c r="AX42" s="292"/>
      <c r="AY42" s="20"/>
    </row>
    <row r="43" spans="2:54" ht="15" thickBot="1">
      <c r="B43" s="439">
        <v>17</v>
      </c>
      <c r="C43" s="311" t="s">
        <v>113</v>
      </c>
      <c r="D43" s="250">
        <v>3</v>
      </c>
      <c r="E43" s="251">
        <v>6</v>
      </c>
      <c r="F43" s="251">
        <v>3</v>
      </c>
      <c r="G43" s="251">
        <v>7</v>
      </c>
      <c r="H43" s="251"/>
      <c r="I43" s="251">
        <v>2</v>
      </c>
      <c r="J43" s="251"/>
      <c r="K43" s="251"/>
      <c r="L43" s="251"/>
      <c r="M43" s="251"/>
      <c r="N43" s="251"/>
      <c r="O43" s="251"/>
      <c r="P43" s="252"/>
      <c r="Q43" s="272">
        <v>1</v>
      </c>
      <c r="R43" s="251"/>
      <c r="S43" s="263">
        <v>0.5</v>
      </c>
      <c r="T43" s="258"/>
      <c r="U43" s="279"/>
      <c r="V43" s="258">
        <v>0.5</v>
      </c>
      <c r="W43" s="259">
        <v>0.5</v>
      </c>
      <c r="X43" s="259"/>
      <c r="Y43" s="283"/>
      <c r="Z43" s="259"/>
      <c r="AA43" s="279"/>
      <c r="AB43" s="260"/>
      <c r="AC43" s="258">
        <v>0.5</v>
      </c>
      <c r="AD43" s="259">
        <v>0.5</v>
      </c>
      <c r="AE43" s="259"/>
      <c r="AF43" s="86"/>
      <c r="AG43" s="86"/>
      <c r="AH43" s="86"/>
      <c r="AI43" s="241"/>
      <c r="AJ43" s="258">
        <v>0.5</v>
      </c>
      <c r="AK43" s="259">
        <v>0.5</v>
      </c>
      <c r="AL43" s="259"/>
      <c r="AM43" s="86"/>
      <c r="AN43" s="86"/>
      <c r="AO43" s="86"/>
      <c r="AP43" s="241"/>
      <c r="AQ43" s="258"/>
      <c r="AR43" s="259">
        <v>0.5</v>
      </c>
      <c r="AS43" s="86">
        <v>0.5</v>
      </c>
      <c r="AT43" s="86"/>
      <c r="AU43" s="86"/>
      <c r="AV43" s="86"/>
      <c r="AW43" s="241"/>
      <c r="AX43" s="292">
        <v>1</v>
      </c>
      <c r="AY43" s="20"/>
    </row>
    <row r="44" spans="2:54">
      <c r="B44" s="440"/>
      <c r="C44" s="441" t="s">
        <v>26</v>
      </c>
      <c r="D44" s="442">
        <f t="shared" ref="D44:AX44" si="0">SUM(D3:D43)</f>
        <v>23</v>
      </c>
      <c r="E44" s="443">
        <f t="shared" si="0"/>
        <v>43.5</v>
      </c>
      <c r="F44" s="443">
        <f t="shared" si="0"/>
        <v>24</v>
      </c>
      <c r="G44" s="443">
        <f t="shared" si="0"/>
        <v>51</v>
      </c>
      <c r="H44" s="443">
        <f t="shared" si="0"/>
        <v>0</v>
      </c>
      <c r="I44" s="443">
        <f t="shared" si="0"/>
        <v>12</v>
      </c>
      <c r="J44" s="443">
        <f t="shared" si="0"/>
        <v>0</v>
      </c>
      <c r="K44" s="443">
        <f t="shared" si="0"/>
        <v>1</v>
      </c>
      <c r="L44" s="443">
        <f t="shared" si="0"/>
        <v>0</v>
      </c>
      <c r="M44" s="443">
        <f t="shared" si="0"/>
        <v>0</v>
      </c>
      <c r="N44" s="443">
        <f t="shared" si="0"/>
        <v>0</v>
      </c>
      <c r="O44" s="443">
        <f t="shared" si="0"/>
        <v>7</v>
      </c>
      <c r="P44" s="444">
        <f t="shared" si="0"/>
        <v>3</v>
      </c>
      <c r="Q44" s="445">
        <f t="shared" si="0"/>
        <v>4</v>
      </c>
      <c r="R44" s="446">
        <f t="shared" si="0"/>
        <v>7</v>
      </c>
      <c r="S44" s="447">
        <f t="shared" si="0"/>
        <v>1</v>
      </c>
      <c r="T44" s="446">
        <f t="shared" si="0"/>
        <v>6</v>
      </c>
      <c r="U44" s="447">
        <f t="shared" si="0"/>
        <v>3</v>
      </c>
      <c r="V44" s="448">
        <f t="shared" si="0"/>
        <v>1</v>
      </c>
      <c r="W44" s="215">
        <f t="shared" si="0"/>
        <v>4</v>
      </c>
      <c r="X44" s="215">
        <f t="shared" si="0"/>
        <v>4</v>
      </c>
      <c r="Y44" s="215">
        <f t="shared" si="0"/>
        <v>0</v>
      </c>
      <c r="Z44" s="215">
        <f t="shared" si="0"/>
        <v>0</v>
      </c>
      <c r="AA44" s="215">
        <f t="shared" si="0"/>
        <v>1</v>
      </c>
      <c r="AB44" s="449">
        <f t="shared" si="0"/>
        <v>3</v>
      </c>
      <c r="AC44" s="448">
        <f t="shared" si="0"/>
        <v>1</v>
      </c>
      <c r="AD44" s="215">
        <f t="shared" si="0"/>
        <v>3</v>
      </c>
      <c r="AE44" s="215">
        <f t="shared" si="0"/>
        <v>2</v>
      </c>
      <c r="AF44" s="215">
        <f t="shared" si="0"/>
        <v>0</v>
      </c>
      <c r="AG44" s="215">
        <f t="shared" si="0"/>
        <v>0</v>
      </c>
      <c r="AH44" s="215">
        <f t="shared" si="0"/>
        <v>1</v>
      </c>
      <c r="AI44" s="449">
        <f t="shared" si="0"/>
        <v>0</v>
      </c>
      <c r="AJ44" s="448">
        <f t="shared" si="0"/>
        <v>1</v>
      </c>
      <c r="AK44" s="215">
        <f t="shared" si="0"/>
        <v>3</v>
      </c>
      <c r="AL44" s="215">
        <f t="shared" si="0"/>
        <v>2</v>
      </c>
      <c r="AM44" s="215">
        <f t="shared" si="0"/>
        <v>0</v>
      </c>
      <c r="AN44" s="215">
        <f t="shared" si="0"/>
        <v>0</v>
      </c>
      <c r="AO44" s="215">
        <f t="shared" si="0"/>
        <v>1</v>
      </c>
      <c r="AP44" s="449">
        <f t="shared" si="0"/>
        <v>0</v>
      </c>
      <c r="AQ44" s="448">
        <f t="shared" si="0"/>
        <v>0</v>
      </c>
      <c r="AR44" s="215">
        <f t="shared" si="0"/>
        <v>4</v>
      </c>
      <c r="AS44" s="215">
        <f t="shared" si="0"/>
        <v>2.5</v>
      </c>
      <c r="AT44" s="215">
        <f t="shared" si="0"/>
        <v>0</v>
      </c>
      <c r="AU44" s="215">
        <f t="shared" si="0"/>
        <v>0</v>
      </c>
      <c r="AV44" s="215">
        <f t="shared" si="0"/>
        <v>0</v>
      </c>
      <c r="AW44" s="449">
        <f t="shared" si="0"/>
        <v>0</v>
      </c>
      <c r="AX44" s="450">
        <f t="shared" si="0"/>
        <v>4</v>
      </c>
      <c r="AY44" s="19">
        <f>SUM(D44:AX44)</f>
        <v>223</v>
      </c>
    </row>
    <row r="45" spans="2:54">
      <c r="B45" s="341"/>
      <c r="C45" s="451" t="s">
        <v>27</v>
      </c>
      <c r="D45" s="452">
        <v>14000</v>
      </c>
      <c r="E45" s="453">
        <v>8500</v>
      </c>
      <c r="F45" s="453">
        <v>14000</v>
      </c>
      <c r="G45" s="453">
        <v>14000</v>
      </c>
      <c r="H45" s="453">
        <v>8500</v>
      </c>
      <c r="I45" s="453">
        <v>8500</v>
      </c>
      <c r="J45" s="453">
        <v>8500</v>
      </c>
      <c r="K45" s="453">
        <v>8500</v>
      </c>
      <c r="L45" s="453">
        <v>8500</v>
      </c>
      <c r="M45" s="453">
        <v>14000</v>
      </c>
      <c r="N45" s="453">
        <v>8500</v>
      </c>
      <c r="O45" s="453">
        <v>8500</v>
      </c>
      <c r="P45" s="454">
        <v>8500</v>
      </c>
      <c r="Q45" s="219">
        <v>14000</v>
      </c>
      <c r="R45" s="220">
        <v>14000</v>
      </c>
      <c r="S45" s="455">
        <v>7500</v>
      </c>
      <c r="T45" s="220">
        <v>8500</v>
      </c>
      <c r="U45" s="455">
        <v>8500</v>
      </c>
      <c r="V45" s="273">
        <v>14000</v>
      </c>
      <c r="W45" s="220">
        <v>8500</v>
      </c>
      <c r="X45" s="220">
        <v>14000</v>
      </c>
      <c r="Y45" s="220">
        <v>8500</v>
      </c>
      <c r="Z45" s="220">
        <v>8500</v>
      </c>
      <c r="AA45" s="220">
        <v>8500</v>
      </c>
      <c r="AB45" s="455">
        <v>8500</v>
      </c>
      <c r="AC45" s="273">
        <v>14000</v>
      </c>
      <c r="AD45" s="220">
        <v>8500</v>
      </c>
      <c r="AE45" s="220">
        <v>14000</v>
      </c>
      <c r="AF45" s="220">
        <v>8500</v>
      </c>
      <c r="AG45" s="220">
        <v>8500</v>
      </c>
      <c r="AH45" s="220">
        <v>8500</v>
      </c>
      <c r="AI45" s="455">
        <v>8500</v>
      </c>
      <c r="AJ45" s="273">
        <v>14000</v>
      </c>
      <c r="AK45" s="220">
        <v>8500</v>
      </c>
      <c r="AL45" s="220">
        <v>14000</v>
      </c>
      <c r="AM45" s="220">
        <v>8500</v>
      </c>
      <c r="AN45" s="220">
        <v>8500</v>
      </c>
      <c r="AO45" s="220">
        <v>8500</v>
      </c>
      <c r="AP45" s="455">
        <v>8500</v>
      </c>
      <c r="AQ45" s="273">
        <v>14000</v>
      </c>
      <c r="AR45" s="220">
        <v>8500</v>
      </c>
      <c r="AS45" s="220">
        <v>14000</v>
      </c>
      <c r="AT45" s="220">
        <v>8500</v>
      </c>
      <c r="AU45" s="220">
        <v>8500</v>
      </c>
      <c r="AV45" s="220">
        <v>8500</v>
      </c>
      <c r="AW45" s="455">
        <v>8500</v>
      </c>
      <c r="AX45" s="293">
        <v>8500</v>
      </c>
      <c r="AY45" s="112"/>
    </row>
    <row r="46" spans="2:54" ht="16.5" thickBot="1">
      <c r="B46" s="456"/>
      <c r="C46" s="457" t="s">
        <v>28</v>
      </c>
      <c r="D46" s="458">
        <f t="shared" ref="D46:AX46" si="1">D44*D45</f>
        <v>322000</v>
      </c>
      <c r="E46" s="459">
        <f t="shared" si="1"/>
        <v>369750</v>
      </c>
      <c r="F46" s="459">
        <f t="shared" si="1"/>
        <v>336000</v>
      </c>
      <c r="G46" s="459">
        <f t="shared" si="1"/>
        <v>714000</v>
      </c>
      <c r="H46" s="459">
        <f t="shared" si="1"/>
        <v>0</v>
      </c>
      <c r="I46" s="459">
        <f t="shared" si="1"/>
        <v>102000</v>
      </c>
      <c r="J46" s="459">
        <f t="shared" si="1"/>
        <v>0</v>
      </c>
      <c r="K46" s="459">
        <f t="shared" si="1"/>
        <v>8500</v>
      </c>
      <c r="L46" s="459">
        <f t="shared" si="1"/>
        <v>0</v>
      </c>
      <c r="M46" s="459">
        <f t="shared" si="1"/>
        <v>0</v>
      </c>
      <c r="N46" s="459">
        <f t="shared" si="1"/>
        <v>0</v>
      </c>
      <c r="O46" s="459">
        <f t="shared" si="1"/>
        <v>59500</v>
      </c>
      <c r="P46" s="460">
        <f t="shared" si="1"/>
        <v>25500</v>
      </c>
      <c r="Q46" s="224">
        <f t="shared" si="1"/>
        <v>56000</v>
      </c>
      <c r="R46" s="225">
        <f t="shared" si="1"/>
        <v>98000</v>
      </c>
      <c r="S46" s="461">
        <f t="shared" si="1"/>
        <v>7500</v>
      </c>
      <c r="T46" s="225">
        <f t="shared" si="1"/>
        <v>51000</v>
      </c>
      <c r="U46" s="461">
        <f t="shared" si="1"/>
        <v>25500</v>
      </c>
      <c r="V46" s="462">
        <f t="shared" si="1"/>
        <v>14000</v>
      </c>
      <c r="W46" s="463">
        <f t="shared" si="1"/>
        <v>34000</v>
      </c>
      <c r="X46" s="463">
        <f t="shared" si="1"/>
        <v>56000</v>
      </c>
      <c r="Y46" s="463">
        <f t="shared" si="1"/>
        <v>0</v>
      </c>
      <c r="Z46" s="463">
        <f t="shared" si="1"/>
        <v>0</v>
      </c>
      <c r="AA46" s="463">
        <f t="shared" si="1"/>
        <v>8500</v>
      </c>
      <c r="AB46" s="464">
        <f t="shared" si="1"/>
        <v>25500</v>
      </c>
      <c r="AC46" s="462">
        <f t="shared" si="1"/>
        <v>14000</v>
      </c>
      <c r="AD46" s="463">
        <f t="shared" si="1"/>
        <v>25500</v>
      </c>
      <c r="AE46" s="463">
        <f t="shared" si="1"/>
        <v>28000</v>
      </c>
      <c r="AF46" s="463">
        <f t="shared" si="1"/>
        <v>0</v>
      </c>
      <c r="AG46" s="463">
        <f t="shared" si="1"/>
        <v>0</v>
      </c>
      <c r="AH46" s="463">
        <f t="shared" si="1"/>
        <v>8500</v>
      </c>
      <c r="AI46" s="464">
        <f t="shared" si="1"/>
        <v>0</v>
      </c>
      <c r="AJ46" s="462">
        <f t="shared" si="1"/>
        <v>14000</v>
      </c>
      <c r="AK46" s="463">
        <f t="shared" si="1"/>
        <v>25500</v>
      </c>
      <c r="AL46" s="463">
        <f t="shared" si="1"/>
        <v>28000</v>
      </c>
      <c r="AM46" s="463">
        <f t="shared" si="1"/>
        <v>0</v>
      </c>
      <c r="AN46" s="463">
        <f t="shared" si="1"/>
        <v>0</v>
      </c>
      <c r="AO46" s="463">
        <f t="shared" si="1"/>
        <v>8500</v>
      </c>
      <c r="AP46" s="464">
        <f t="shared" si="1"/>
        <v>0</v>
      </c>
      <c r="AQ46" s="462">
        <f t="shared" si="1"/>
        <v>0</v>
      </c>
      <c r="AR46" s="463">
        <f t="shared" si="1"/>
        <v>34000</v>
      </c>
      <c r="AS46" s="463">
        <f t="shared" si="1"/>
        <v>35000</v>
      </c>
      <c r="AT46" s="463">
        <f t="shared" si="1"/>
        <v>0</v>
      </c>
      <c r="AU46" s="463">
        <f t="shared" si="1"/>
        <v>0</v>
      </c>
      <c r="AV46" s="463">
        <f t="shared" si="1"/>
        <v>0</v>
      </c>
      <c r="AW46" s="464">
        <f t="shared" si="1"/>
        <v>0</v>
      </c>
      <c r="AX46" s="465">
        <f t="shared" si="1"/>
        <v>34000</v>
      </c>
      <c r="AY46" s="243">
        <f>SUM(D46:AX46)</f>
        <v>2568250</v>
      </c>
      <c r="AZ46" s="281">
        <f>AY46*0.15</f>
        <v>385237.5</v>
      </c>
      <c r="BA46" s="281">
        <f>AY46+AZ46</f>
        <v>2953487.5</v>
      </c>
    </row>
    <row r="47" spans="2:54" ht="13.5" customHeight="1">
      <c r="BA47" s="281">
        <v>3900000</v>
      </c>
    </row>
    <row r="48" spans="2:54">
      <c r="D48" s="19">
        <f t="shared" ref="D48:P48" si="2">D44*8</f>
        <v>184</v>
      </c>
      <c r="E48" s="19">
        <f t="shared" si="2"/>
        <v>348</v>
      </c>
      <c r="F48" s="19">
        <f t="shared" si="2"/>
        <v>192</v>
      </c>
      <c r="G48" s="19">
        <f t="shared" si="2"/>
        <v>408</v>
      </c>
      <c r="H48" s="19">
        <f t="shared" si="2"/>
        <v>0</v>
      </c>
      <c r="I48" s="19">
        <f t="shared" si="2"/>
        <v>96</v>
      </c>
      <c r="J48" s="19">
        <f t="shared" si="2"/>
        <v>0</v>
      </c>
      <c r="K48" s="19">
        <f t="shared" si="2"/>
        <v>8</v>
      </c>
      <c r="L48" s="19">
        <f t="shared" si="2"/>
        <v>0</v>
      </c>
      <c r="M48" s="19">
        <f t="shared" si="2"/>
        <v>0</v>
      </c>
      <c r="N48" s="19">
        <f t="shared" si="2"/>
        <v>0</v>
      </c>
      <c r="O48" s="19">
        <f t="shared" si="2"/>
        <v>56</v>
      </c>
      <c r="P48" s="19">
        <f t="shared" si="2"/>
        <v>24</v>
      </c>
      <c r="R48" s="19">
        <f>R44*8</f>
        <v>56</v>
      </c>
      <c r="S48" s="19">
        <f>S44*8</f>
        <v>8</v>
      </c>
      <c r="V48" s="19">
        <f>V44*8</f>
        <v>8</v>
      </c>
      <c r="W48" s="19">
        <f>W44*8</f>
        <v>32</v>
      </c>
      <c r="AB48" s="19">
        <f>AB44*8</f>
        <v>24</v>
      </c>
      <c r="AC48" s="19">
        <f>AC44*8</f>
        <v>8</v>
      </c>
      <c r="AD48" s="19">
        <f>AD44*8</f>
        <v>24</v>
      </c>
      <c r="AI48" s="19">
        <f>AI44*8</f>
        <v>0</v>
      </c>
      <c r="AJ48" s="19">
        <f>AJ44*8</f>
        <v>8</v>
      </c>
      <c r="AK48" s="19">
        <f>AK44*8</f>
        <v>24</v>
      </c>
      <c r="AP48" s="19">
        <f>AP44*8</f>
        <v>0</v>
      </c>
      <c r="AQ48" s="19">
        <f>AQ44*8</f>
        <v>0</v>
      </c>
      <c r="AR48" s="19">
        <f>AR44*8</f>
        <v>32</v>
      </c>
      <c r="AW48" s="19">
        <f>AW44*8</f>
        <v>0</v>
      </c>
      <c r="AX48" s="19">
        <f>AX44*8</f>
        <v>32</v>
      </c>
    </row>
    <row r="50" spans="3:51">
      <c r="AY50" s="19">
        <f>1600000+2600000</f>
        <v>4200000</v>
      </c>
    </row>
    <row r="51" spans="3:51" ht="43.5">
      <c r="C51" s="228" t="s">
        <v>107</v>
      </c>
    </row>
  </sheetData>
  <mergeCells count="11">
    <mergeCell ref="AQ1:AW1"/>
    <mergeCell ref="Q1:S1"/>
    <mergeCell ref="T1:U1"/>
    <mergeCell ref="V1:AB1"/>
    <mergeCell ref="AC1:AI1"/>
    <mergeCell ref="AJ1:AP1"/>
    <mergeCell ref="I28:I29"/>
    <mergeCell ref="D32:D36"/>
    <mergeCell ref="E32:E36"/>
    <mergeCell ref="F32:F36"/>
    <mergeCell ref="G32:G3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414AB-25AE-4ECC-8F5D-17440B6B53D7}">
  <dimension ref="B2:U28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3" sqref="F3"/>
    </sheetView>
  </sheetViews>
  <sheetFormatPr defaultColWidth="9.08984375" defaultRowHeight="14.5"/>
  <cols>
    <col min="1" max="1" width="4.36328125" style="20" customWidth="1"/>
    <col min="2" max="2" width="3.90625" style="20" customWidth="1"/>
    <col min="3" max="3" width="72.36328125" style="20" customWidth="1"/>
    <col min="4" max="5" width="11.90625" style="19" customWidth="1"/>
    <col min="6" max="6" width="12" style="19" customWidth="1"/>
    <col min="7" max="7" width="12.6328125" style="19" customWidth="1"/>
    <col min="8" max="8" width="14.90625" style="19" customWidth="1"/>
    <col min="9" max="9" width="16.6328125" style="19" customWidth="1"/>
    <col min="10" max="11" width="11.6328125" style="19" customWidth="1"/>
    <col min="12" max="12" width="12.6328125" style="19" customWidth="1"/>
    <col min="13" max="13" width="13.36328125" style="19" customWidth="1"/>
    <col min="14" max="14" width="11.90625" style="19" customWidth="1"/>
    <col min="15" max="16" width="11.36328125" style="19" customWidth="1"/>
    <col min="17" max="17" width="9.90625" style="19" hidden="1" customWidth="1"/>
    <col min="18" max="18" width="11.36328125" style="19" customWidth="1"/>
    <col min="19" max="19" width="17.36328125" style="19" customWidth="1"/>
    <col min="20" max="20" width="11.36328125" style="20" bestFit="1" customWidth="1"/>
    <col min="21" max="21" width="11.6328125" style="20" bestFit="1" customWidth="1"/>
    <col min="22" max="16384" width="9.08984375" style="20"/>
  </cols>
  <sheetData>
    <row r="2" spans="2:19">
      <c r="B2" s="296" t="s">
        <v>29</v>
      </c>
      <c r="C2" s="296" t="s">
        <v>30</v>
      </c>
      <c r="D2" s="297" t="s">
        <v>3</v>
      </c>
      <c r="E2" s="297" t="s">
        <v>74</v>
      </c>
      <c r="F2" s="297" t="s">
        <v>31</v>
      </c>
      <c r="G2" s="297" t="s">
        <v>5</v>
      </c>
      <c r="H2" s="297" t="s">
        <v>6</v>
      </c>
      <c r="I2" s="297" t="s">
        <v>32</v>
      </c>
      <c r="J2" s="297" t="s">
        <v>7</v>
      </c>
      <c r="K2" s="297" t="s">
        <v>70</v>
      </c>
      <c r="L2" s="297" t="s">
        <v>33</v>
      </c>
      <c r="M2" s="297" t="s">
        <v>34</v>
      </c>
      <c r="N2" s="297" t="s">
        <v>8</v>
      </c>
      <c r="O2" s="297" t="s">
        <v>9</v>
      </c>
      <c r="P2" s="297" t="s">
        <v>35</v>
      </c>
      <c r="Q2" s="297" t="s">
        <v>10</v>
      </c>
      <c r="R2" s="297" t="s">
        <v>11</v>
      </c>
    </row>
    <row r="3" spans="2:19">
      <c r="B3" s="298">
        <v>1</v>
      </c>
      <c r="C3" s="298" t="s">
        <v>36</v>
      </c>
      <c r="D3" s="62">
        <v>2</v>
      </c>
      <c r="E3" s="62"/>
      <c r="F3" s="62">
        <v>1</v>
      </c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</row>
    <row r="4" spans="2:19">
      <c r="B4" s="298">
        <v>2</v>
      </c>
      <c r="C4" s="298" t="s">
        <v>37</v>
      </c>
      <c r="D4" s="62">
        <v>10</v>
      </c>
      <c r="E4" s="62"/>
      <c r="F4" s="62">
        <v>4</v>
      </c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</row>
    <row r="5" spans="2:19">
      <c r="B5" s="298">
        <v>3</v>
      </c>
      <c r="C5" s="298" t="s">
        <v>38</v>
      </c>
      <c r="D5" s="62">
        <v>2</v>
      </c>
      <c r="E5" s="62"/>
      <c r="F5" s="62">
        <v>2</v>
      </c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</row>
    <row r="6" spans="2:19">
      <c r="B6" s="298">
        <v>4</v>
      </c>
      <c r="C6" s="298" t="s">
        <v>39</v>
      </c>
      <c r="D6" s="62">
        <v>1</v>
      </c>
      <c r="E6" s="62"/>
      <c r="F6" s="62">
        <v>2</v>
      </c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</row>
    <row r="7" spans="2:19" ht="58">
      <c r="B7" s="298">
        <v>5</v>
      </c>
      <c r="C7" s="299" t="s">
        <v>42</v>
      </c>
      <c r="D7" s="1087">
        <v>3</v>
      </c>
      <c r="E7" s="62"/>
      <c r="F7" s="300">
        <v>5</v>
      </c>
      <c r="G7" s="300">
        <v>4</v>
      </c>
      <c r="H7" s="300">
        <v>20</v>
      </c>
      <c r="I7" s="300"/>
      <c r="J7" s="300">
        <v>5</v>
      </c>
      <c r="K7" s="300"/>
      <c r="L7" s="300"/>
      <c r="M7" s="300"/>
      <c r="N7" s="300"/>
      <c r="O7" s="300"/>
      <c r="P7" s="300"/>
      <c r="Q7" s="300"/>
      <c r="R7" s="300"/>
      <c r="S7" s="20"/>
    </row>
    <row r="8" spans="2:19">
      <c r="B8" s="298"/>
      <c r="C8" s="72" t="s">
        <v>43</v>
      </c>
      <c r="D8" s="1087"/>
      <c r="E8" s="62"/>
      <c r="F8" s="62">
        <v>2</v>
      </c>
      <c r="G8" s="62">
        <v>1</v>
      </c>
      <c r="H8" s="73">
        <v>2</v>
      </c>
      <c r="I8" s="62"/>
      <c r="J8" s="62">
        <v>1</v>
      </c>
      <c r="K8" s="62"/>
      <c r="L8" s="62"/>
      <c r="M8" s="73"/>
      <c r="N8" s="73"/>
      <c r="O8" s="73"/>
      <c r="P8" s="73"/>
      <c r="Q8" s="73"/>
      <c r="R8" s="62"/>
      <c r="S8" s="20"/>
    </row>
    <row r="9" spans="2:19">
      <c r="B9" s="298"/>
      <c r="C9" s="72" t="s">
        <v>44</v>
      </c>
      <c r="D9" s="1087"/>
      <c r="E9" s="62"/>
      <c r="F9" s="62">
        <v>5</v>
      </c>
      <c r="G9" s="62">
        <v>3</v>
      </c>
      <c r="H9" s="73">
        <v>10</v>
      </c>
      <c r="I9" s="62"/>
      <c r="J9" s="62">
        <v>5</v>
      </c>
      <c r="K9" s="62"/>
      <c r="L9" s="62"/>
      <c r="M9" s="73"/>
      <c r="N9" s="73"/>
      <c r="O9" s="73"/>
      <c r="P9" s="73"/>
      <c r="Q9" s="73"/>
      <c r="R9" s="62"/>
      <c r="S9" s="20"/>
    </row>
    <row r="10" spans="2:19">
      <c r="B10" s="301"/>
      <c r="C10" s="72" t="s">
        <v>45</v>
      </c>
      <c r="D10" s="1087"/>
      <c r="E10" s="62">
        <v>2</v>
      </c>
      <c r="F10" s="62">
        <v>2</v>
      </c>
      <c r="G10" s="62"/>
      <c r="H10" s="73">
        <v>4</v>
      </c>
      <c r="I10" s="62"/>
      <c r="J10" s="62">
        <v>2</v>
      </c>
      <c r="K10" s="62"/>
      <c r="L10" s="62"/>
      <c r="M10" s="62"/>
      <c r="N10" s="73"/>
      <c r="O10" s="73"/>
      <c r="P10" s="73"/>
      <c r="Q10" s="73"/>
      <c r="R10" s="73"/>
    </row>
    <row r="11" spans="2:19">
      <c r="B11" s="301"/>
      <c r="C11" s="72" t="s">
        <v>46</v>
      </c>
      <c r="D11" s="1087"/>
      <c r="E11" s="62"/>
      <c r="F11" s="62">
        <v>2</v>
      </c>
      <c r="G11" s="62"/>
      <c r="H11" s="73">
        <v>4</v>
      </c>
      <c r="I11" s="62"/>
      <c r="J11" s="62">
        <v>2</v>
      </c>
      <c r="K11" s="62"/>
      <c r="L11" s="62"/>
      <c r="M11" s="62"/>
      <c r="N11" s="73"/>
      <c r="O11" s="73"/>
      <c r="P11" s="73"/>
      <c r="Q11" s="73"/>
      <c r="R11" s="73"/>
    </row>
    <row r="12" spans="2:19">
      <c r="B12" s="301"/>
      <c r="C12" s="72" t="s">
        <v>47</v>
      </c>
      <c r="D12" s="1087"/>
      <c r="E12" s="62">
        <v>2</v>
      </c>
      <c r="F12" s="62">
        <v>2</v>
      </c>
      <c r="G12" s="62"/>
      <c r="H12" s="73">
        <v>4</v>
      </c>
      <c r="I12" s="62"/>
      <c r="J12" s="62">
        <v>2</v>
      </c>
      <c r="K12" s="62"/>
      <c r="L12" s="62"/>
      <c r="M12" s="62"/>
      <c r="N12" s="73"/>
      <c r="O12" s="73"/>
      <c r="P12" s="73"/>
      <c r="Q12" s="73"/>
      <c r="R12" s="73"/>
    </row>
    <row r="13" spans="2:19">
      <c r="B13" s="301"/>
      <c r="C13" s="72" t="s">
        <v>48</v>
      </c>
      <c r="D13" s="1087"/>
      <c r="E13" s="62"/>
      <c r="F13" s="62">
        <v>2</v>
      </c>
      <c r="G13" s="62"/>
      <c r="H13" s="73">
        <v>4</v>
      </c>
      <c r="I13" s="62"/>
      <c r="J13" s="62">
        <v>2</v>
      </c>
      <c r="K13" s="62"/>
      <c r="L13" s="62"/>
      <c r="M13" s="62"/>
      <c r="N13" s="73"/>
      <c r="O13" s="73"/>
      <c r="P13" s="73"/>
      <c r="Q13" s="73"/>
      <c r="R13" s="73"/>
    </row>
    <row r="14" spans="2:19">
      <c r="B14" s="301"/>
      <c r="C14" s="72" t="s">
        <v>49</v>
      </c>
      <c r="D14" s="1087"/>
      <c r="E14" s="62"/>
      <c r="F14" s="62">
        <v>2</v>
      </c>
      <c r="G14" s="62"/>
      <c r="H14" s="73">
        <v>4</v>
      </c>
      <c r="I14" s="62"/>
      <c r="J14" s="62">
        <v>2</v>
      </c>
      <c r="K14" s="62"/>
      <c r="L14" s="62"/>
      <c r="M14" s="62"/>
      <c r="N14" s="73"/>
      <c r="O14" s="73"/>
      <c r="P14" s="73"/>
      <c r="Q14" s="73"/>
      <c r="R14" s="73"/>
    </row>
    <row r="15" spans="2:19">
      <c r="B15" s="301"/>
      <c r="C15" s="72" t="s">
        <v>50</v>
      </c>
      <c r="D15" s="1087"/>
      <c r="E15" s="62"/>
      <c r="F15" s="62">
        <v>2</v>
      </c>
      <c r="G15" s="62">
        <v>1</v>
      </c>
      <c r="H15" s="73">
        <v>2</v>
      </c>
      <c r="I15" s="62"/>
      <c r="J15" s="62">
        <v>1</v>
      </c>
      <c r="K15" s="62"/>
      <c r="L15" s="62"/>
      <c r="M15" s="62"/>
      <c r="N15" s="73"/>
      <c r="O15" s="73"/>
      <c r="P15" s="73"/>
      <c r="Q15" s="73"/>
      <c r="R15" s="73"/>
    </row>
    <row r="16" spans="2:19" ht="21.5">
      <c r="B16" s="298">
        <v>4.5999999999999996</v>
      </c>
      <c r="C16" s="302" t="s">
        <v>51</v>
      </c>
      <c r="D16" s="1087"/>
      <c r="E16" s="62"/>
      <c r="F16" s="62">
        <v>1</v>
      </c>
      <c r="G16" s="62">
        <v>0.5</v>
      </c>
      <c r="H16" s="73">
        <v>1</v>
      </c>
      <c r="I16" s="62"/>
      <c r="J16" s="62">
        <v>1</v>
      </c>
      <c r="K16" s="62"/>
      <c r="L16" s="73"/>
      <c r="M16" s="73"/>
      <c r="N16" s="73"/>
      <c r="O16" s="73"/>
      <c r="P16" s="73"/>
      <c r="Q16" s="73"/>
      <c r="R16" s="303"/>
      <c r="S16" s="20"/>
    </row>
    <row r="17" spans="2:21" ht="21.5">
      <c r="B17" s="298">
        <v>4.7</v>
      </c>
      <c r="C17" s="72" t="s">
        <v>52</v>
      </c>
      <c r="D17" s="1087"/>
      <c r="E17" s="62"/>
      <c r="F17" s="62"/>
      <c r="G17" s="73"/>
      <c r="H17" s="73"/>
      <c r="I17" s="73"/>
      <c r="J17" s="62"/>
      <c r="K17" s="62">
        <v>5</v>
      </c>
      <c r="L17" s="73">
        <v>8</v>
      </c>
      <c r="M17" s="73">
        <v>6</v>
      </c>
      <c r="N17" s="73"/>
      <c r="O17" s="73"/>
      <c r="P17" s="73"/>
      <c r="Q17" s="73"/>
      <c r="R17" s="303"/>
      <c r="S17" s="20"/>
    </row>
    <row r="18" spans="2:21" ht="21.5">
      <c r="B18" s="298">
        <v>6</v>
      </c>
      <c r="C18" s="298" t="s">
        <v>53</v>
      </c>
      <c r="D18" s="73">
        <v>1</v>
      </c>
      <c r="E18" s="73"/>
      <c r="F18" s="73">
        <v>2</v>
      </c>
      <c r="G18" s="73">
        <v>2</v>
      </c>
      <c r="H18" s="73">
        <v>2</v>
      </c>
      <c r="I18" s="73"/>
      <c r="J18" s="73"/>
      <c r="K18" s="73">
        <v>1</v>
      </c>
      <c r="L18" s="73">
        <v>2</v>
      </c>
      <c r="M18" s="73"/>
      <c r="N18" s="73"/>
      <c r="O18" s="73"/>
      <c r="P18" s="73"/>
      <c r="Q18" s="73"/>
      <c r="R18" s="73"/>
      <c r="S18" s="309"/>
    </row>
    <row r="19" spans="2:21" ht="21.75" customHeight="1">
      <c r="B19" s="298">
        <v>7</v>
      </c>
      <c r="C19" s="298" t="s">
        <v>54</v>
      </c>
      <c r="D19" s="73">
        <v>1</v>
      </c>
      <c r="E19" s="73"/>
      <c r="F19" s="73">
        <f>2+4</f>
        <v>6</v>
      </c>
      <c r="G19" s="73">
        <v>1</v>
      </c>
      <c r="H19" s="73">
        <f>2+4</f>
        <v>6</v>
      </c>
      <c r="I19" s="73"/>
      <c r="J19" s="62">
        <v>2</v>
      </c>
      <c r="K19" s="62">
        <v>1</v>
      </c>
      <c r="L19" s="73">
        <v>2</v>
      </c>
      <c r="M19" s="73"/>
      <c r="N19" s="73"/>
      <c r="O19" s="73"/>
      <c r="P19" s="73"/>
      <c r="Q19" s="73"/>
      <c r="R19" s="73"/>
      <c r="S19" s="309"/>
    </row>
    <row r="20" spans="2:21">
      <c r="B20" s="298">
        <v>8</v>
      </c>
      <c r="C20" s="298" t="s">
        <v>55</v>
      </c>
      <c r="D20" s="73">
        <v>2</v>
      </c>
      <c r="E20" s="73"/>
      <c r="F20" s="73">
        <f>2+4</f>
        <v>6</v>
      </c>
      <c r="G20" s="73">
        <v>1</v>
      </c>
      <c r="H20" s="73">
        <f>1+4</f>
        <v>5</v>
      </c>
      <c r="I20" s="73"/>
      <c r="J20" s="73">
        <v>1</v>
      </c>
      <c r="K20" s="73">
        <v>1</v>
      </c>
      <c r="L20" s="73">
        <v>1</v>
      </c>
      <c r="M20" s="73"/>
      <c r="N20" s="73"/>
      <c r="O20" s="73"/>
      <c r="P20" s="73"/>
      <c r="Q20" s="73"/>
      <c r="R20" s="73"/>
    </row>
    <row r="21" spans="2:21">
      <c r="B21" s="298">
        <v>9</v>
      </c>
      <c r="C21" s="298" t="s">
        <v>56</v>
      </c>
      <c r="D21" s="73"/>
      <c r="E21" s="73"/>
      <c r="F21" s="73"/>
      <c r="G21" s="73"/>
      <c r="H21" s="73">
        <v>2</v>
      </c>
      <c r="I21" s="73"/>
      <c r="J21" s="73"/>
      <c r="K21" s="73"/>
      <c r="L21" s="73"/>
      <c r="M21" s="73"/>
      <c r="N21" s="73"/>
      <c r="O21" s="73"/>
      <c r="P21" s="73"/>
      <c r="Q21" s="73"/>
      <c r="R21" s="73"/>
    </row>
    <row r="22" spans="2:21">
      <c r="B22" s="298">
        <v>10</v>
      </c>
      <c r="C22" s="298" t="s">
        <v>57</v>
      </c>
      <c r="D22" s="62"/>
      <c r="E22" s="62"/>
      <c r="F22" s="62">
        <v>1</v>
      </c>
      <c r="G22" s="62"/>
      <c r="H22" s="62">
        <v>2</v>
      </c>
      <c r="I22" s="62"/>
      <c r="J22" s="62"/>
      <c r="K22" s="62"/>
      <c r="L22" s="62"/>
      <c r="M22" s="62"/>
      <c r="N22" s="62"/>
      <c r="O22" s="62"/>
      <c r="P22" s="62">
        <v>5</v>
      </c>
      <c r="Q22" s="62"/>
      <c r="R22" s="62">
        <v>9</v>
      </c>
    </row>
    <row r="23" spans="2:21">
      <c r="B23" s="298">
        <v>11</v>
      </c>
      <c r="C23" s="298" t="s">
        <v>58</v>
      </c>
      <c r="D23" s="62">
        <v>0.5</v>
      </c>
      <c r="E23" s="62"/>
      <c r="F23" s="62">
        <f>1+2</f>
        <v>3</v>
      </c>
      <c r="G23" s="62"/>
      <c r="H23" s="62">
        <f>1+2</f>
        <v>3</v>
      </c>
      <c r="I23" s="62"/>
      <c r="J23" s="62"/>
      <c r="K23" s="62">
        <v>1</v>
      </c>
      <c r="L23" s="62">
        <v>1</v>
      </c>
      <c r="M23" s="62">
        <v>0.5</v>
      </c>
      <c r="N23" s="62"/>
      <c r="O23" s="62"/>
      <c r="P23" s="62"/>
      <c r="Q23" s="62"/>
      <c r="R23" s="62"/>
    </row>
    <row r="24" spans="2:21" ht="13.5" customHeight="1">
      <c r="B24" s="298"/>
      <c r="C24" s="304" t="s">
        <v>26</v>
      </c>
      <c r="D24" s="300">
        <f t="shared" ref="D24:J24" si="0">SUM(D3:D23)</f>
        <v>22.5</v>
      </c>
      <c r="E24" s="300">
        <f t="shared" si="0"/>
        <v>4</v>
      </c>
      <c r="F24" s="300">
        <f t="shared" si="0"/>
        <v>52</v>
      </c>
      <c r="G24" s="300">
        <f t="shared" si="0"/>
        <v>13.5</v>
      </c>
      <c r="H24" s="300">
        <f t="shared" si="0"/>
        <v>75</v>
      </c>
      <c r="I24" s="300">
        <f t="shared" si="0"/>
        <v>0</v>
      </c>
      <c r="J24" s="300">
        <f t="shared" si="0"/>
        <v>26</v>
      </c>
      <c r="K24" s="300">
        <f t="shared" ref="K24:L24" si="1">SUM(K3:K23)</f>
        <v>9</v>
      </c>
      <c r="L24" s="300">
        <f t="shared" si="1"/>
        <v>14</v>
      </c>
      <c r="M24" s="300">
        <f t="shared" ref="M24:R24" si="2">SUM(M3:M23)</f>
        <v>6.5</v>
      </c>
      <c r="N24" s="300">
        <f t="shared" si="2"/>
        <v>0</v>
      </c>
      <c r="O24" s="300">
        <f t="shared" si="2"/>
        <v>0</v>
      </c>
      <c r="P24" s="300">
        <f t="shared" si="2"/>
        <v>5</v>
      </c>
      <c r="Q24" s="300">
        <f t="shared" si="2"/>
        <v>0</v>
      </c>
      <c r="R24" s="300">
        <f t="shared" si="2"/>
        <v>9</v>
      </c>
      <c r="S24" s="19">
        <f>SUM(D24:R24)</f>
        <v>236.5</v>
      </c>
    </row>
    <row r="25" spans="2:21" ht="13.5" customHeight="1">
      <c r="B25" s="298"/>
      <c r="C25" s="305" t="s">
        <v>27</v>
      </c>
      <c r="D25" s="306">
        <v>14000</v>
      </c>
      <c r="E25" s="306">
        <v>14000</v>
      </c>
      <c r="F25" s="306">
        <v>8500</v>
      </c>
      <c r="G25" s="306">
        <v>14000</v>
      </c>
      <c r="H25" s="306">
        <v>14000</v>
      </c>
      <c r="I25" s="306">
        <v>8500</v>
      </c>
      <c r="J25" s="306">
        <v>8500</v>
      </c>
      <c r="K25" s="453">
        <v>14000</v>
      </c>
      <c r="L25" s="306">
        <v>14000</v>
      </c>
      <c r="M25" s="306">
        <v>7500</v>
      </c>
      <c r="N25" s="306">
        <v>8500</v>
      </c>
      <c r="O25" s="306">
        <v>14000</v>
      </c>
      <c r="P25" s="306">
        <v>8500</v>
      </c>
      <c r="Q25" s="306">
        <v>8500</v>
      </c>
      <c r="R25" s="306">
        <v>8500</v>
      </c>
      <c r="S25" s="112"/>
    </row>
    <row r="26" spans="2:21" ht="16">
      <c r="B26" s="298"/>
      <c r="C26" s="307" t="s">
        <v>28</v>
      </c>
      <c r="D26" s="308">
        <f>D24*D25</f>
        <v>315000</v>
      </c>
      <c r="E26" s="308">
        <f>E24*E25</f>
        <v>56000</v>
      </c>
      <c r="F26" s="308">
        <f t="shared" ref="F26:R26" si="3">F24*F25</f>
        <v>442000</v>
      </c>
      <c r="G26" s="308">
        <f t="shared" si="3"/>
        <v>189000</v>
      </c>
      <c r="H26" s="308">
        <f t="shared" si="3"/>
        <v>1050000</v>
      </c>
      <c r="I26" s="308">
        <f t="shared" si="3"/>
        <v>0</v>
      </c>
      <c r="J26" s="308">
        <f t="shared" si="3"/>
        <v>221000</v>
      </c>
      <c r="K26" s="466">
        <f>K24*K25</f>
        <v>126000</v>
      </c>
      <c r="L26" s="308">
        <f t="shared" si="3"/>
        <v>196000</v>
      </c>
      <c r="M26" s="308">
        <f t="shared" si="3"/>
        <v>48750</v>
      </c>
      <c r="N26" s="308">
        <f t="shared" si="3"/>
        <v>0</v>
      </c>
      <c r="O26" s="308">
        <f t="shared" si="3"/>
        <v>0</v>
      </c>
      <c r="P26" s="308">
        <f t="shared" si="3"/>
        <v>42500</v>
      </c>
      <c r="Q26" s="308">
        <f t="shared" si="3"/>
        <v>0</v>
      </c>
      <c r="R26" s="308">
        <f t="shared" si="3"/>
        <v>76500</v>
      </c>
      <c r="S26" s="310">
        <f>SUM(D26:R26)</f>
        <v>2762750</v>
      </c>
      <c r="T26" s="281">
        <f>S26*0.15</f>
        <v>414412.5</v>
      </c>
      <c r="U26" s="281">
        <f>S26+T26</f>
        <v>3177162.5</v>
      </c>
    </row>
    <row r="27" spans="2:21">
      <c r="U27" s="281">
        <v>3180000</v>
      </c>
    </row>
    <row r="28" spans="2:21">
      <c r="D28" s="19">
        <f>D24*8</f>
        <v>180</v>
      </c>
      <c r="E28" s="19">
        <f t="shared" ref="E28:L28" si="4">E24*8</f>
        <v>32</v>
      </c>
      <c r="F28" s="19">
        <f t="shared" si="4"/>
        <v>416</v>
      </c>
      <c r="G28" s="19">
        <f t="shared" si="4"/>
        <v>108</v>
      </c>
      <c r="H28" s="19">
        <f t="shared" si="4"/>
        <v>600</v>
      </c>
      <c r="I28" s="19">
        <f t="shared" si="4"/>
        <v>0</v>
      </c>
      <c r="J28" s="19">
        <f t="shared" si="4"/>
        <v>208</v>
      </c>
      <c r="K28" s="19">
        <f t="shared" si="4"/>
        <v>72</v>
      </c>
      <c r="L28" s="19">
        <f t="shared" si="4"/>
        <v>112</v>
      </c>
      <c r="M28" s="19">
        <f t="shared" ref="M28:R28" si="5">M24*8</f>
        <v>52</v>
      </c>
      <c r="N28" s="19">
        <f t="shared" si="5"/>
        <v>0</v>
      </c>
      <c r="O28" s="19">
        <f t="shared" si="5"/>
        <v>0</v>
      </c>
      <c r="P28" s="19">
        <f t="shared" si="5"/>
        <v>40</v>
      </c>
      <c r="Q28" s="19">
        <f t="shared" si="5"/>
        <v>0</v>
      </c>
      <c r="R28" s="19">
        <f t="shared" si="5"/>
        <v>72</v>
      </c>
    </row>
  </sheetData>
  <mergeCells count="1">
    <mergeCell ref="D7:D1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88D65-8DB7-48F1-9088-9C323FD4988F}">
  <dimension ref="A1:DC62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F49" sqref="F49"/>
    </sheetView>
  </sheetViews>
  <sheetFormatPr defaultColWidth="9.08984375" defaultRowHeight="14.5"/>
  <cols>
    <col min="1" max="1" width="4.36328125" style="20" customWidth="1"/>
    <col min="2" max="2" width="5.08984375" style="87" customWidth="1"/>
    <col min="3" max="3" width="63.90625" style="20" bestFit="1" customWidth="1"/>
    <col min="4" max="4" width="11.90625" style="19" customWidth="1"/>
    <col min="5" max="5" width="12" style="19" customWidth="1"/>
    <col min="6" max="6" width="12.6328125" style="19" customWidth="1"/>
    <col min="7" max="7" width="14.90625" style="19" customWidth="1"/>
    <col min="8" max="8" width="16.6328125" style="19" customWidth="1"/>
    <col min="9" max="9" width="11.6328125" style="19" customWidth="1"/>
    <col min="10" max="12" width="12.6328125" style="19" customWidth="1"/>
    <col min="13" max="13" width="13.08984375" style="19" customWidth="1"/>
    <col min="14" max="16" width="17.6328125" style="19" customWidth="1"/>
    <col min="17" max="17" width="13.08984375" style="19" customWidth="1"/>
    <col min="18" max="21" width="17.6328125" style="19" customWidth="1"/>
    <col min="22" max="24" width="13.08984375" style="19" customWidth="1"/>
    <col min="25" max="25" width="11.36328125" style="19" customWidth="1"/>
    <col min="26" max="26" width="11.90625" style="19" customWidth="1"/>
    <col min="27" max="27" width="9.90625" style="19" customWidth="1"/>
    <col min="28" max="28" width="11.36328125" style="19" customWidth="1"/>
    <col min="29" max="29" width="12.6328125" style="19" customWidth="1"/>
    <col min="30" max="30" width="17.36328125" style="19" customWidth="1"/>
    <col min="31" max="31" width="11.08984375" style="20" bestFit="1" customWidth="1"/>
    <col min="32" max="16384" width="9.08984375" style="20"/>
  </cols>
  <sheetData>
    <row r="1" spans="1:107" ht="15" thickBot="1">
      <c r="E1" s="1091" t="s">
        <v>141</v>
      </c>
      <c r="F1" s="1091"/>
      <c r="G1" s="1091"/>
      <c r="H1" s="1091"/>
      <c r="I1" s="1091"/>
      <c r="J1" s="1091"/>
      <c r="K1" s="1092" t="s">
        <v>60</v>
      </c>
      <c r="L1" s="1092"/>
      <c r="M1" s="1092"/>
      <c r="N1" s="1093" t="s">
        <v>155</v>
      </c>
      <c r="O1" s="1093"/>
      <c r="P1" s="1093"/>
      <c r="Q1" s="88"/>
      <c r="R1" s="1094" t="s">
        <v>63</v>
      </c>
      <c r="S1" s="1094"/>
      <c r="T1" s="1094"/>
      <c r="U1" s="1095"/>
      <c r="V1" s="1088" t="s">
        <v>276</v>
      </c>
      <c r="W1" s="1088"/>
      <c r="X1" s="1088"/>
      <c r="AD1" s="20"/>
    </row>
    <row r="2" spans="1:107" ht="15" thickBot="1">
      <c r="B2" s="90"/>
      <c r="C2" s="91"/>
      <c r="D2" s="92"/>
      <c r="E2" s="93"/>
      <c r="F2" s="93"/>
      <c r="G2" s="93"/>
      <c r="H2" s="93"/>
      <c r="I2" s="93"/>
      <c r="J2" s="94"/>
      <c r="K2" s="93"/>
      <c r="L2" s="95"/>
      <c r="M2" s="93"/>
      <c r="N2" s="89" t="s">
        <v>277</v>
      </c>
      <c r="O2" s="89" t="s">
        <v>278</v>
      </c>
      <c r="P2" s="89" t="s">
        <v>279</v>
      </c>
      <c r="Q2" s="89"/>
      <c r="R2" s="89" t="s">
        <v>280</v>
      </c>
      <c r="S2" s="89" t="s">
        <v>281</v>
      </c>
      <c r="T2" s="89" t="s">
        <v>282</v>
      </c>
      <c r="U2" s="89" t="s">
        <v>283</v>
      </c>
      <c r="V2" s="89"/>
      <c r="W2" s="89"/>
      <c r="X2" s="89"/>
      <c r="Y2" s="93"/>
      <c r="Z2" s="93"/>
      <c r="AA2" s="93"/>
      <c r="AB2" s="93"/>
      <c r="AC2" s="93"/>
      <c r="AD2" s="20"/>
    </row>
    <row r="3" spans="1:107" ht="29.5" thickBot="1">
      <c r="B3" s="90" t="s">
        <v>29</v>
      </c>
      <c r="C3" s="91" t="s">
        <v>30</v>
      </c>
      <c r="D3" s="92" t="s">
        <v>3</v>
      </c>
      <c r="E3" s="93" t="s">
        <v>31</v>
      </c>
      <c r="F3" s="93" t="s">
        <v>5</v>
      </c>
      <c r="G3" s="93" t="s">
        <v>284</v>
      </c>
      <c r="H3" s="93" t="s">
        <v>32</v>
      </c>
      <c r="I3" s="93" t="s">
        <v>7</v>
      </c>
      <c r="J3" s="94" t="s">
        <v>68</v>
      </c>
      <c r="K3" s="93" t="s">
        <v>33</v>
      </c>
      <c r="L3" s="95" t="s">
        <v>71</v>
      </c>
      <c r="M3" s="93" t="s">
        <v>34</v>
      </c>
      <c r="N3" s="89" t="s">
        <v>74</v>
      </c>
      <c r="O3" s="89" t="s">
        <v>31</v>
      </c>
      <c r="P3" s="89" t="s">
        <v>6</v>
      </c>
      <c r="Q3" s="89" t="s">
        <v>74</v>
      </c>
      <c r="R3" s="89" t="s">
        <v>31</v>
      </c>
      <c r="S3" s="89" t="s">
        <v>150</v>
      </c>
      <c r="T3" s="89" t="s">
        <v>285</v>
      </c>
      <c r="U3" s="89" t="s">
        <v>286</v>
      </c>
      <c r="V3" s="89" t="s">
        <v>74</v>
      </c>
      <c r="W3" s="89" t="s">
        <v>31</v>
      </c>
      <c r="X3" s="89" t="s">
        <v>6</v>
      </c>
      <c r="Y3" s="93" t="s">
        <v>9</v>
      </c>
      <c r="Z3" s="93" t="s">
        <v>8</v>
      </c>
      <c r="AA3" s="93" t="s">
        <v>10</v>
      </c>
      <c r="AB3" s="93" t="s">
        <v>35</v>
      </c>
      <c r="AC3" s="93" t="s">
        <v>11</v>
      </c>
      <c r="AD3" s="20"/>
    </row>
    <row r="4" spans="1:107">
      <c r="B4" s="96">
        <v>1</v>
      </c>
      <c r="C4" s="97" t="s">
        <v>36</v>
      </c>
      <c r="D4" s="98">
        <v>2</v>
      </c>
      <c r="E4" s="64">
        <v>2</v>
      </c>
      <c r="F4" s="99"/>
      <c r="G4" s="99"/>
      <c r="H4" s="99"/>
      <c r="I4" s="99"/>
      <c r="J4" s="100"/>
      <c r="K4" s="99"/>
      <c r="L4" s="99"/>
      <c r="M4" s="99"/>
      <c r="N4" s="99"/>
      <c r="O4" s="99"/>
      <c r="P4" s="99"/>
      <c r="Q4" s="64"/>
      <c r="R4" s="64">
        <v>0.5</v>
      </c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20"/>
    </row>
    <row r="5" spans="1:107" s="108" customFormat="1">
      <c r="A5" s="20"/>
      <c r="B5" s="101">
        <v>2</v>
      </c>
      <c r="C5" s="102" t="s">
        <v>79</v>
      </c>
      <c r="D5" s="103">
        <v>1</v>
      </c>
      <c r="E5" s="104">
        <v>0.5</v>
      </c>
      <c r="F5" s="105"/>
      <c r="G5" s="105"/>
      <c r="H5" s="105"/>
      <c r="I5" s="105"/>
      <c r="J5" s="106"/>
      <c r="K5" s="105"/>
      <c r="L5" s="105"/>
      <c r="M5" s="105"/>
      <c r="N5" s="105"/>
      <c r="O5" s="105"/>
      <c r="P5" s="105"/>
      <c r="Q5" s="105"/>
      <c r="R5" s="105"/>
      <c r="S5" s="105"/>
      <c r="T5" s="107"/>
      <c r="U5" s="107"/>
      <c r="V5" s="105"/>
      <c r="W5" s="105"/>
      <c r="X5" s="105"/>
      <c r="Y5" s="107"/>
      <c r="Z5" s="107"/>
      <c r="AA5" s="107"/>
      <c r="AB5" s="107"/>
      <c r="AC5" s="107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</row>
    <row r="6" spans="1:107" s="108" customFormat="1">
      <c r="A6" s="20"/>
      <c r="B6" s="101">
        <v>2</v>
      </c>
      <c r="C6" s="102" t="s">
        <v>287</v>
      </c>
      <c r="D6" s="103">
        <v>14</v>
      </c>
      <c r="E6" s="104">
        <v>4.5</v>
      </c>
      <c r="F6" s="105"/>
      <c r="G6" s="105"/>
      <c r="H6" s="105"/>
      <c r="I6" s="105"/>
      <c r="J6" s="109"/>
      <c r="K6" s="105"/>
      <c r="L6" s="105"/>
      <c r="M6" s="105"/>
      <c r="N6" s="105"/>
      <c r="O6" s="105"/>
      <c r="P6" s="105"/>
      <c r="Q6" s="104"/>
      <c r="R6" s="104">
        <v>0.5</v>
      </c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</row>
    <row r="7" spans="1:107">
      <c r="B7" s="110">
        <v>3</v>
      </c>
      <c r="C7" s="111" t="s">
        <v>38</v>
      </c>
      <c r="D7" s="112">
        <v>2</v>
      </c>
      <c r="E7" s="22">
        <v>3</v>
      </c>
      <c r="F7" s="113">
        <v>2</v>
      </c>
      <c r="G7" s="113"/>
      <c r="H7" s="113"/>
      <c r="I7" s="113">
        <v>1</v>
      </c>
      <c r="J7" s="114"/>
      <c r="K7" s="113"/>
      <c r="L7" s="113">
        <v>1</v>
      </c>
      <c r="M7" s="113"/>
      <c r="N7" s="22">
        <v>0.5</v>
      </c>
      <c r="O7" s="22">
        <v>0.5</v>
      </c>
      <c r="P7" s="22">
        <v>0.5</v>
      </c>
      <c r="Q7" s="22"/>
      <c r="R7" s="22">
        <v>0.5</v>
      </c>
      <c r="S7" s="22"/>
      <c r="T7" s="22"/>
      <c r="U7" s="22"/>
      <c r="V7" s="22"/>
      <c r="W7" s="22"/>
      <c r="X7" s="22"/>
      <c r="Y7" s="113"/>
      <c r="Z7" s="113"/>
      <c r="AA7" s="113"/>
      <c r="AB7" s="113"/>
      <c r="AC7" s="113"/>
      <c r="AD7" s="20"/>
    </row>
    <row r="8" spans="1:107">
      <c r="B8" s="110">
        <v>4</v>
      </c>
      <c r="C8" s="111" t="s">
        <v>81</v>
      </c>
      <c r="D8" s="112">
        <v>1</v>
      </c>
      <c r="E8" s="22">
        <v>3</v>
      </c>
      <c r="F8" s="113"/>
      <c r="G8" s="113"/>
      <c r="H8" s="113"/>
      <c r="I8" s="113"/>
      <c r="J8" s="114"/>
      <c r="K8" s="113"/>
      <c r="L8" s="113"/>
      <c r="M8" s="113"/>
      <c r="N8" s="22">
        <v>2</v>
      </c>
      <c r="O8" s="113"/>
      <c r="P8" s="113"/>
      <c r="Q8" s="22"/>
      <c r="R8" s="22">
        <v>2</v>
      </c>
      <c r="S8" s="113"/>
      <c r="T8" s="113"/>
      <c r="U8" s="113"/>
      <c r="V8" s="22"/>
      <c r="W8" s="113"/>
      <c r="X8" s="113"/>
      <c r="Y8" s="113"/>
      <c r="Z8" s="113"/>
      <c r="AA8" s="113"/>
      <c r="AB8" s="113"/>
      <c r="AC8" s="113"/>
      <c r="AD8" s="20"/>
    </row>
    <row r="9" spans="1:107" s="120" customFormat="1" hidden="1">
      <c r="A9" s="20"/>
      <c r="B9" s="115">
        <v>5</v>
      </c>
      <c r="C9" s="116" t="s">
        <v>61</v>
      </c>
      <c r="D9" s="117"/>
      <c r="E9" s="118"/>
      <c r="F9" s="118"/>
      <c r="G9" s="118"/>
      <c r="H9" s="118"/>
      <c r="I9" s="118"/>
      <c r="J9" s="119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</row>
    <row r="10" spans="1:107" s="128" customFormat="1" hidden="1">
      <c r="A10"/>
      <c r="B10" s="121">
        <v>5.0999999999999996</v>
      </c>
      <c r="C10" s="122" t="s">
        <v>40</v>
      </c>
      <c r="D10" s="123"/>
      <c r="E10" s="124"/>
      <c r="F10" s="124"/>
      <c r="G10" s="124"/>
      <c r="H10" s="124"/>
      <c r="I10" s="124"/>
      <c r="J10" s="125"/>
      <c r="K10" s="126"/>
      <c r="L10" s="126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</row>
    <row r="11" spans="1:107" s="128" customFormat="1" hidden="1">
      <c r="A11"/>
      <c r="B11" s="121">
        <v>5.2</v>
      </c>
      <c r="C11" s="122" t="s">
        <v>288</v>
      </c>
      <c r="D11" s="123"/>
      <c r="E11" s="124"/>
      <c r="F11" s="124"/>
      <c r="G11" s="124"/>
      <c r="H11" s="126"/>
      <c r="I11" s="124"/>
      <c r="J11" s="125"/>
      <c r="K11" s="124"/>
      <c r="L11" s="124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4"/>
      <c r="Z11" s="124"/>
      <c r="AA11" s="127"/>
      <c r="AB11" s="127"/>
      <c r="AC11" s="127"/>
      <c r="AD11" s="129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</row>
    <row r="12" spans="1:107" s="128" customFormat="1" hidden="1">
      <c r="A12"/>
      <c r="B12" s="121">
        <v>5.3</v>
      </c>
      <c r="C12" s="122" t="s">
        <v>289</v>
      </c>
      <c r="D12" s="123"/>
      <c r="E12" s="124"/>
      <c r="F12" s="124"/>
      <c r="G12" s="124"/>
      <c r="H12" s="126"/>
      <c r="I12" s="124"/>
      <c r="J12" s="125"/>
      <c r="K12" s="124"/>
      <c r="L12" s="124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4"/>
      <c r="Z12" s="124"/>
      <c r="AA12" s="127"/>
      <c r="AB12" s="127"/>
      <c r="AC12" s="127"/>
      <c r="AD12" s="129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</row>
    <row r="13" spans="1:107" s="135" customFormat="1">
      <c r="A13" s="20"/>
      <c r="B13" s="130">
        <v>6</v>
      </c>
      <c r="C13" s="131" t="s">
        <v>61</v>
      </c>
      <c r="D13" s="132"/>
      <c r="E13" s="133"/>
      <c r="F13" s="133"/>
      <c r="G13" s="133"/>
      <c r="H13" s="133"/>
      <c r="I13" s="133"/>
      <c r="J13" s="134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</row>
    <row r="14" spans="1:107">
      <c r="B14" s="110">
        <v>6.1</v>
      </c>
      <c r="C14" s="136" t="s">
        <v>40</v>
      </c>
      <c r="D14" s="1089"/>
      <c r="E14" s="113"/>
      <c r="F14" s="113"/>
      <c r="G14" s="138"/>
      <c r="H14" s="113"/>
      <c r="I14" s="22"/>
      <c r="J14" s="114"/>
      <c r="K14" s="113"/>
      <c r="L14" s="113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13"/>
      <c r="AC14" s="113"/>
      <c r="AD14" s="20"/>
    </row>
    <row r="15" spans="1:107" ht="130.5">
      <c r="B15" s="110">
        <v>6.2</v>
      </c>
      <c r="C15" s="136" t="s">
        <v>82</v>
      </c>
      <c r="D15" s="1089"/>
      <c r="E15" s="113"/>
      <c r="F15" s="113"/>
      <c r="G15" s="113"/>
      <c r="H15" s="113"/>
      <c r="I15" s="22"/>
      <c r="J15" s="114"/>
      <c r="K15" s="113"/>
      <c r="L15" s="113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13"/>
      <c r="AC15" s="113"/>
      <c r="AD15" s="20"/>
    </row>
    <row r="16" spans="1:107" ht="18.5">
      <c r="B16" s="110">
        <v>6.3</v>
      </c>
      <c r="C16" s="136"/>
      <c r="D16" s="1089"/>
      <c r="E16" s="113"/>
      <c r="F16" s="113"/>
      <c r="G16" s="113"/>
      <c r="H16" s="113"/>
      <c r="I16" s="113"/>
      <c r="J16" s="139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40"/>
      <c r="AC16" s="140"/>
      <c r="AD16" s="20"/>
    </row>
    <row r="17" spans="1:30" ht="18.5">
      <c r="B17" s="110">
        <v>6.4</v>
      </c>
      <c r="C17" s="136"/>
      <c r="D17" s="1089"/>
      <c r="E17" s="113"/>
      <c r="F17" s="113"/>
      <c r="G17" s="113"/>
      <c r="H17" s="113"/>
      <c r="I17" s="22"/>
      <c r="J17" s="139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40"/>
      <c r="AC17" s="140"/>
      <c r="AD17" s="20"/>
    </row>
    <row r="18" spans="1:30" ht="18.5">
      <c r="B18" s="110">
        <v>6.5</v>
      </c>
      <c r="C18" s="136"/>
      <c r="D18" s="1089"/>
      <c r="E18" s="113"/>
      <c r="F18" s="113"/>
      <c r="G18" s="113"/>
      <c r="H18" s="113"/>
      <c r="I18" s="22"/>
      <c r="J18" s="139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  <c r="AB18" s="140"/>
      <c r="AC18" s="140"/>
      <c r="AD18" s="20"/>
    </row>
    <row r="19" spans="1:30" s="141" customFormat="1" ht="18.5">
      <c r="B19" s="142">
        <v>6.6</v>
      </c>
      <c r="C19" s="143"/>
      <c r="D19" s="1089"/>
      <c r="E19" s="138"/>
      <c r="F19" s="113"/>
      <c r="G19" s="138"/>
      <c r="H19" s="138"/>
      <c r="I19" s="138"/>
      <c r="J19" s="139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40"/>
      <c r="AC19" s="140"/>
    </row>
    <row r="20" spans="1:30" ht="18.5">
      <c r="A20" s="144" t="s">
        <v>290</v>
      </c>
      <c r="B20" s="142">
        <v>6.7</v>
      </c>
      <c r="C20" s="145"/>
      <c r="D20" s="1089"/>
      <c r="E20" s="113"/>
      <c r="F20" s="113"/>
      <c r="G20" s="113"/>
      <c r="H20" s="113"/>
      <c r="I20" s="113"/>
      <c r="J20" s="139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  <c r="AB20" s="140"/>
      <c r="AC20" s="140"/>
      <c r="AD20" s="20"/>
    </row>
    <row r="21" spans="1:30" ht="18.5">
      <c r="B21" s="110">
        <v>6.8</v>
      </c>
      <c r="C21" s="136"/>
      <c r="D21" s="1089"/>
      <c r="E21" s="113"/>
      <c r="F21" s="113"/>
      <c r="G21" s="113"/>
      <c r="H21" s="113"/>
      <c r="I21" s="22"/>
      <c r="J21" s="139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40"/>
      <c r="AC21" s="140"/>
      <c r="AD21" s="20"/>
    </row>
    <row r="22" spans="1:30" ht="18.5">
      <c r="B22" s="110"/>
      <c r="C22" s="136"/>
      <c r="D22" s="1089"/>
      <c r="E22" s="113"/>
      <c r="F22" s="113"/>
      <c r="G22" s="113"/>
      <c r="H22" s="113"/>
      <c r="I22" s="22"/>
      <c r="J22" s="139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40"/>
      <c r="AC22" s="140"/>
      <c r="AD22" s="20"/>
    </row>
    <row r="23" spans="1:30" ht="18.5">
      <c r="B23" s="110"/>
      <c r="C23" s="136"/>
      <c r="D23" s="1089"/>
      <c r="E23" s="113"/>
      <c r="F23" s="113"/>
      <c r="G23" s="113"/>
      <c r="H23" s="113"/>
      <c r="I23" s="22"/>
      <c r="J23" s="139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  <c r="AA23" s="138"/>
      <c r="AB23" s="140"/>
      <c r="AC23" s="140"/>
      <c r="AD23" s="20"/>
    </row>
    <row r="24" spans="1:30" ht="18.5">
      <c r="B24" s="110"/>
      <c r="C24" s="136"/>
      <c r="D24" s="1089"/>
      <c r="E24" s="113"/>
      <c r="F24" s="113"/>
      <c r="G24" s="113"/>
      <c r="H24" s="113"/>
      <c r="I24" s="22"/>
      <c r="J24" s="139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40"/>
      <c r="AC24" s="140"/>
      <c r="AD24" s="20"/>
    </row>
    <row r="25" spans="1:30" ht="18.5">
      <c r="B25" s="142">
        <v>6.9</v>
      </c>
      <c r="C25" s="145"/>
      <c r="D25" s="1089"/>
      <c r="E25" s="113"/>
      <c r="F25" s="113"/>
      <c r="G25" s="113"/>
      <c r="H25" s="113"/>
      <c r="I25" s="22"/>
      <c r="J25" s="139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  <c r="AB25" s="140"/>
      <c r="AC25" s="140"/>
      <c r="AD25" s="20"/>
    </row>
    <row r="26" spans="1:30" ht="18.5">
      <c r="B26" s="146" t="s">
        <v>291</v>
      </c>
      <c r="C26" s="136"/>
      <c r="D26" s="1089"/>
      <c r="E26" s="113"/>
      <c r="F26" s="113"/>
      <c r="G26" s="113"/>
      <c r="H26" s="113"/>
      <c r="I26" s="22"/>
      <c r="J26" s="139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40"/>
      <c r="AC26" s="140"/>
      <c r="AD26" s="20"/>
    </row>
    <row r="27" spans="1:30" ht="18.5" hidden="1">
      <c r="B27" s="147">
        <v>6.11</v>
      </c>
      <c r="C27" s="148"/>
      <c r="D27" s="1089"/>
      <c r="E27" s="149"/>
      <c r="F27" s="113"/>
      <c r="G27" s="113"/>
      <c r="H27" s="113"/>
      <c r="I27" s="22"/>
      <c r="J27" s="139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40"/>
      <c r="AC27" s="140"/>
      <c r="AD27" s="20"/>
    </row>
    <row r="28" spans="1:30" s="141" customFormat="1" ht="18.5" hidden="1">
      <c r="B28" s="150">
        <v>6.12</v>
      </c>
      <c r="C28" s="151"/>
      <c r="D28" s="137"/>
      <c r="E28" s="149"/>
      <c r="F28" s="152"/>
      <c r="G28" s="152"/>
      <c r="H28" s="152"/>
      <c r="I28" s="152"/>
      <c r="J28" s="153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  <c r="AA28" s="154"/>
      <c r="AB28" s="155"/>
      <c r="AC28" s="155"/>
    </row>
    <row r="29" spans="1:30" s="141" customFormat="1" ht="18.5" hidden="1">
      <c r="B29" s="150">
        <v>6.13</v>
      </c>
      <c r="C29" s="156"/>
      <c r="D29" s="137"/>
      <c r="E29" s="149"/>
      <c r="F29" s="152"/>
      <c r="G29" s="152"/>
      <c r="H29" s="152"/>
      <c r="I29" s="152"/>
      <c r="J29" s="139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40"/>
      <c r="AC29" s="140"/>
    </row>
    <row r="30" spans="1:30" ht="18.5">
      <c r="B30" s="110">
        <v>6.12</v>
      </c>
      <c r="C30" s="157"/>
      <c r="D30" s="158"/>
      <c r="E30" s="467"/>
      <c r="F30" s="159"/>
      <c r="G30" s="159"/>
      <c r="H30" s="159"/>
      <c r="I30" s="159"/>
      <c r="J30" s="160"/>
      <c r="K30" s="113"/>
      <c r="L30" s="113"/>
      <c r="M30" s="113"/>
      <c r="N30" s="113"/>
      <c r="O30" s="113"/>
      <c r="P30" s="113"/>
      <c r="Q30" s="161"/>
      <c r="R30" s="161"/>
      <c r="S30" s="161"/>
      <c r="T30" s="21"/>
      <c r="U30" s="21"/>
      <c r="V30" s="113"/>
      <c r="W30" s="113"/>
      <c r="X30" s="113"/>
      <c r="Y30" s="21"/>
      <c r="Z30" s="21"/>
      <c r="AA30" s="21"/>
      <c r="AB30" s="21"/>
      <c r="AC30" s="21"/>
      <c r="AD30" s="20"/>
    </row>
    <row r="31" spans="1:30" ht="18.5">
      <c r="B31" s="110"/>
      <c r="D31" s="158"/>
      <c r="E31" s="113"/>
      <c r="F31" s="113"/>
      <c r="G31" s="113"/>
      <c r="H31" s="159"/>
      <c r="I31" s="113"/>
      <c r="J31" s="160"/>
      <c r="K31" s="113"/>
      <c r="L31" s="113"/>
      <c r="M31" s="113"/>
      <c r="N31" s="113"/>
      <c r="O31" s="113"/>
      <c r="P31" s="113"/>
      <c r="Q31" s="161"/>
      <c r="R31" s="161"/>
      <c r="S31" s="161"/>
      <c r="T31" s="21"/>
      <c r="U31" s="21"/>
      <c r="V31" s="113"/>
      <c r="W31" s="113"/>
      <c r="X31" s="113"/>
      <c r="Y31" s="21"/>
      <c r="Z31" s="21"/>
      <c r="AA31" s="21"/>
      <c r="AB31" s="21"/>
      <c r="AC31" s="21"/>
      <c r="AD31" s="20"/>
    </row>
    <row r="32" spans="1:30" ht="18.5">
      <c r="B32" s="110"/>
      <c r="C32" s="157"/>
      <c r="D32" s="158"/>
      <c r="E32" s="113"/>
      <c r="F32" s="113"/>
      <c r="G32" s="113"/>
      <c r="H32" s="159"/>
      <c r="I32" s="113"/>
      <c r="J32" s="160"/>
      <c r="K32" s="113"/>
      <c r="L32" s="113"/>
      <c r="M32" s="113"/>
      <c r="N32" s="113"/>
      <c r="O32" s="113"/>
      <c r="P32" s="113"/>
      <c r="Q32" s="161"/>
      <c r="R32" s="161"/>
      <c r="S32" s="161"/>
      <c r="T32" s="21"/>
      <c r="U32" s="21"/>
      <c r="V32" s="113"/>
      <c r="W32" s="113"/>
      <c r="X32" s="113"/>
      <c r="Y32" s="21"/>
      <c r="Z32" s="21"/>
      <c r="AA32" s="21"/>
      <c r="AB32" s="21"/>
      <c r="AC32" s="21"/>
      <c r="AD32" s="20"/>
    </row>
    <row r="33" spans="1:107" ht="18.5">
      <c r="B33" s="121">
        <v>6.13</v>
      </c>
      <c r="C33" s="162" t="s">
        <v>84</v>
      </c>
      <c r="D33" s="1090">
        <v>1</v>
      </c>
      <c r="E33" s="124"/>
      <c r="F33" s="124"/>
      <c r="G33" s="124"/>
      <c r="H33" s="124"/>
      <c r="I33" s="124"/>
      <c r="J33" s="163"/>
      <c r="K33" s="124"/>
      <c r="L33" s="124"/>
      <c r="M33" s="124"/>
      <c r="N33" s="124"/>
      <c r="O33" s="124"/>
      <c r="P33" s="124"/>
      <c r="Q33" s="124"/>
      <c r="R33" s="124"/>
      <c r="S33" s="124"/>
      <c r="T33" s="124"/>
      <c r="U33" s="124"/>
      <c r="V33" s="124"/>
      <c r="W33" s="124"/>
      <c r="X33" s="124"/>
      <c r="Y33" s="124"/>
      <c r="Z33" s="124"/>
      <c r="AA33" s="124"/>
      <c r="AB33" s="164"/>
      <c r="AC33" s="164"/>
      <c r="AD33" s="20"/>
    </row>
    <row r="34" spans="1:107" ht="87">
      <c r="B34" s="165"/>
      <c r="C34" s="162" t="s">
        <v>85</v>
      </c>
      <c r="D34" s="1090"/>
      <c r="E34" s="124"/>
      <c r="F34" s="124"/>
      <c r="G34" s="124"/>
      <c r="H34" s="124"/>
      <c r="I34" s="124"/>
      <c r="J34" s="163"/>
      <c r="K34" s="124"/>
      <c r="L34" s="124">
        <v>8</v>
      </c>
      <c r="M34" s="124">
        <v>6</v>
      </c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>
        <v>2</v>
      </c>
      <c r="Z34" s="124">
        <v>5</v>
      </c>
      <c r="AA34" s="124"/>
      <c r="AB34" s="164"/>
      <c r="AC34" s="164"/>
      <c r="AD34" s="20"/>
    </row>
    <row r="35" spans="1:107" s="166" customFormat="1" ht="87" hidden="1">
      <c r="B35" s="167"/>
      <c r="C35" s="168" t="s">
        <v>292</v>
      </c>
      <c r="D35" s="1090"/>
      <c r="E35" s="169"/>
      <c r="F35" s="169"/>
      <c r="G35" s="169"/>
      <c r="H35" s="169"/>
      <c r="I35" s="169"/>
      <c r="J35" s="170"/>
      <c r="K35" s="169"/>
      <c r="L35" s="169"/>
      <c r="M35" s="169"/>
      <c r="N35" s="169"/>
      <c r="O35" s="169"/>
      <c r="P35" s="169"/>
      <c r="Q35" s="169"/>
      <c r="R35" s="169"/>
      <c r="S35" s="169"/>
      <c r="T35" s="169"/>
      <c r="U35" s="169"/>
      <c r="V35" s="169"/>
      <c r="W35" s="169"/>
      <c r="X35" s="169"/>
      <c r="Y35" s="169"/>
      <c r="Z35" s="169"/>
      <c r="AA35" s="169"/>
      <c r="AB35" s="171"/>
      <c r="AC35" s="171"/>
    </row>
    <row r="36" spans="1:107" ht="18.5">
      <c r="B36" s="172">
        <v>6.14</v>
      </c>
      <c r="C36" s="173" t="s">
        <v>293</v>
      </c>
      <c r="D36" s="1090"/>
      <c r="E36" s="174"/>
      <c r="F36" s="174"/>
      <c r="G36" s="174"/>
      <c r="H36" s="174"/>
      <c r="I36" s="174"/>
      <c r="J36" s="175"/>
      <c r="K36" s="174"/>
      <c r="L36" s="174"/>
      <c r="M36" s="174"/>
      <c r="N36" s="174"/>
      <c r="O36" s="174"/>
      <c r="P36" s="174"/>
      <c r="Q36" s="174"/>
      <c r="R36" s="174"/>
      <c r="S36" s="174"/>
      <c r="T36" s="174"/>
      <c r="U36" s="174"/>
      <c r="V36" s="174"/>
      <c r="W36" s="174"/>
      <c r="X36" s="174"/>
      <c r="Y36" s="174"/>
      <c r="Z36" s="174"/>
      <c r="AA36" s="174"/>
      <c r="AB36" s="176"/>
      <c r="AC36" s="176"/>
      <c r="AD36" s="20"/>
    </row>
    <row r="37" spans="1:107" s="182" customFormat="1" ht="18.5">
      <c r="A37" s="20"/>
      <c r="B37" s="177"/>
      <c r="C37" s="178" t="s">
        <v>294</v>
      </c>
      <c r="D37" s="1090"/>
      <c r="E37" s="179">
        <v>2</v>
      </c>
      <c r="F37" s="179">
        <v>3</v>
      </c>
      <c r="G37" s="179">
        <v>5</v>
      </c>
      <c r="H37" s="179"/>
      <c r="I37" s="179">
        <v>1</v>
      </c>
      <c r="J37" s="180"/>
      <c r="K37" s="17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9"/>
      <c r="X37" s="179"/>
      <c r="Y37" s="179"/>
      <c r="Z37" s="179"/>
      <c r="AA37" s="179"/>
      <c r="AB37" s="181"/>
      <c r="AC37" s="181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</row>
    <row r="38" spans="1:107" ht="29">
      <c r="B38" s="172"/>
      <c r="C38" s="468" t="s">
        <v>295</v>
      </c>
      <c r="D38" s="1090"/>
      <c r="E38" s="174"/>
      <c r="F38" s="174"/>
      <c r="G38" s="174"/>
      <c r="H38" s="174"/>
      <c r="I38" s="174"/>
      <c r="J38" s="183"/>
      <c r="K38" s="174"/>
      <c r="L38" s="174"/>
      <c r="M38" s="174"/>
      <c r="N38" s="174"/>
      <c r="O38" s="174"/>
      <c r="P38" s="174">
        <v>3</v>
      </c>
      <c r="Q38" s="174"/>
      <c r="R38" s="174"/>
      <c r="S38" s="174"/>
      <c r="T38" s="174"/>
      <c r="U38" s="174"/>
      <c r="V38" s="174"/>
      <c r="W38" s="174"/>
      <c r="X38" s="174"/>
      <c r="Y38" s="174">
        <v>1</v>
      </c>
      <c r="Z38" s="174">
        <v>5</v>
      </c>
      <c r="AA38" s="174"/>
      <c r="AB38" s="174"/>
      <c r="AC38" s="174"/>
      <c r="AD38" s="20"/>
    </row>
    <row r="39" spans="1:107" s="182" customFormat="1">
      <c r="A39" s="20"/>
      <c r="B39" s="184"/>
      <c r="C39" s="178" t="s">
        <v>296</v>
      </c>
      <c r="D39" s="1090"/>
      <c r="E39" s="179">
        <v>1.5</v>
      </c>
      <c r="F39" s="179">
        <v>3</v>
      </c>
      <c r="G39" s="179">
        <v>5</v>
      </c>
      <c r="H39" s="179"/>
      <c r="I39" s="179">
        <v>1</v>
      </c>
      <c r="J39" s="185"/>
      <c r="K39" s="179"/>
      <c r="L39" s="179"/>
      <c r="M39" s="179"/>
      <c r="N39" s="179"/>
      <c r="O39" s="179"/>
      <c r="P39" s="179"/>
      <c r="Q39" s="179"/>
      <c r="R39" s="179"/>
      <c r="S39" s="179"/>
      <c r="T39" s="179"/>
      <c r="U39" s="179"/>
      <c r="W39" s="179"/>
      <c r="X39" s="179"/>
      <c r="Y39" s="179"/>
      <c r="Z39" s="179"/>
      <c r="AA39" s="179"/>
      <c r="AB39" s="179"/>
      <c r="AC39" s="179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</row>
    <row r="40" spans="1:107" s="182" customFormat="1">
      <c r="A40" s="20"/>
      <c r="B40" s="184"/>
      <c r="C40" s="173" t="s">
        <v>297</v>
      </c>
      <c r="D40" s="1090"/>
      <c r="E40" s="179"/>
      <c r="F40" s="179"/>
      <c r="G40" s="179"/>
      <c r="H40" s="179"/>
      <c r="I40" s="179"/>
      <c r="J40" s="185"/>
      <c r="K40" s="179"/>
      <c r="L40" s="179"/>
      <c r="M40" s="179"/>
      <c r="N40" s="179"/>
      <c r="O40" s="179"/>
      <c r="P40" s="179"/>
      <c r="Q40" s="179"/>
      <c r="R40" s="179"/>
      <c r="S40" s="179"/>
      <c r="T40" s="179"/>
      <c r="U40" s="179"/>
      <c r="W40" s="179"/>
      <c r="X40" s="179"/>
      <c r="Y40" s="179"/>
      <c r="Z40" s="179"/>
      <c r="AA40" s="179"/>
      <c r="AB40" s="179"/>
      <c r="AC40" s="179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</row>
    <row r="41" spans="1:107" s="182" customFormat="1">
      <c r="A41" s="20"/>
      <c r="B41" s="184"/>
      <c r="C41" s="178" t="s">
        <v>298</v>
      </c>
      <c r="D41" s="1090"/>
      <c r="E41" s="179">
        <v>1.5</v>
      </c>
      <c r="F41" s="179">
        <v>3</v>
      </c>
      <c r="G41" s="179">
        <v>5</v>
      </c>
      <c r="H41" s="179"/>
      <c r="I41" s="179">
        <v>1</v>
      </c>
      <c r="J41" s="185"/>
      <c r="K41" s="179"/>
      <c r="L41" s="179"/>
      <c r="M41" s="179"/>
      <c r="N41" s="179"/>
      <c r="O41" s="179"/>
      <c r="P41" s="179"/>
      <c r="Q41" s="179"/>
      <c r="R41" s="179"/>
      <c r="S41" s="179"/>
      <c r="T41" s="179"/>
      <c r="U41" s="179"/>
      <c r="V41" s="179"/>
      <c r="W41" s="179">
        <v>2</v>
      </c>
      <c r="X41" s="179">
        <v>2</v>
      </c>
      <c r="Y41" s="179"/>
      <c r="Z41" s="179"/>
      <c r="AA41" s="179"/>
      <c r="AB41" s="179"/>
      <c r="AC41" s="179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</row>
    <row r="42" spans="1:107">
      <c r="A42" s="186"/>
      <c r="B42" s="172"/>
      <c r="C42" s="173" t="s">
        <v>49</v>
      </c>
      <c r="D42" s="1090"/>
      <c r="E42" s="174"/>
      <c r="F42" s="174"/>
      <c r="G42" s="174"/>
      <c r="H42" s="174"/>
      <c r="I42" s="174"/>
      <c r="J42" s="183"/>
      <c r="K42" s="174"/>
      <c r="L42" s="174"/>
      <c r="M42" s="174"/>
      <c r="N42" s="174"/>
      <c r="O42" s="174"/>
      <c r="P42" s="174"/>
      <c r="Q42" s="174"/>
      <c r="R42" s="174">
        <v>1</v>
      </c>
      <c r="S42" s="174">
        <v>0.5</v>
      </c>
      <c r="T42" s="174"/>
      <c r="U42" s="174">
        <v>1.75</v>
      </c>
      <c r="V42" s="174"/>
      <c r="W42" s="174"/>
      <c r="X42" s="174"/>
      <c r="Y42" s="174">
        <v>1</v>
      </c>
      <c r="Z42" s="174">
        <v>3</v>
      </c>
      <c r="AA42" s="174"/>
      <c r="AB42" s="174"/>
      <c r="AC42" s="174"/>
      <c r="AD42" s="20"/>
    </row>
    <row r="43" spans="1:107" s="182" customFormat="1">
      <c r="A43" s="20"/>
      <c r="B43" s="184"/>
      <c r="C43" s="178" t="s">
        <v>299</v>
      </c>
      <c r="D43" s="1090"/>
      <c r="E43" s="179">
        <v>1.5</v>
      </c>
      <c r="F43" s="179">
        <v>3</v>
      </c>
      <c r="G43" s="179">
        <v>5</v>
      </c>
      <c r="H43" s="179"/>
      <c r="I43" s="179">
        <v>1</v>
      </c>
      <c r="J43" s="185"/>
      <c r="K43" s="179"/>
      <c r="L43" s="179"/>
      <c r="M43" s="179"/>
      <c r="N43" s="179"/>
      <c r="O43" s="179"/>
      <c r="P43" s="179"/>
      <c r="Q43" s="179"/>
      <c r="R43" s="179"/>
      <c r="S43" s="179"/>
      <c r="T43" s="179"/>
      <c r="U43" s="179"/>
      <c r="V43" s="179"/>
      <c r="W43" s="179">
        <v>2</v>
      </c>
      <c r="X43" s="179">
        <v>2</v>
      </c>
      <c r="Y43" s="179"/>
      <c r="Z43" s="179"/>
      <c r="AA43" s="179"/>
      <c r="AB43" s="179"/>
      <c r="AC43" s="179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</row>
    <row r="44" spans="1:107">
      <c r="A44" s="186"/>
      <c r="B44" s="172"/>
      <c r="C44" s="173" t="s">
        <v>300</v>
      </c>
      <c r="D44" s="1090"/>
      <c r="E44" s="174"/>
      <c r="F44" s="174"/>
      <c r="G44" s="174"/>
      <c r="H44" s="174"/>
      <c r="I44" s="174"/>
      <c r="J44" s="183"/>
      <c r="K44" s="174"/>
      <c r="L44" s="174"/>
      <c r="M44" s="174"/>
      <c r="N44" s="174"/>
      <c r="O44" s="174"/>
      <c r="P44" s="174"/>
      <c r="Q44" s="174"/>
      <c r="R44" s="174">
        <v>1</v>
      </c>
      <c r="S44" s="174">
        <v>0.5</v>
      </c>
      <c r="T44" s="174"/>
      <c r="U44" s="174">
        <v>1.75</v>
      </c>
      <c r="V44" s="174"/>
      <c r="W44" s="174"/>
      <c r="X44" s="174"/>
      <c r="Y44" s="174">
        <v>1</v>
      </c>
      <c r="Z44" s="174">
        <v>3</v>
      </c>
      <c r="AA44" s="174"/>
      <c r="AB44" s="174"/>
      <c r="AC44" s="174"/>
      <c r="AD44" s="20"/>
    </row>
    <row r="45" spans="1:107" s="141" customFormat="1" ht="18.5" hidden="1">
      <c r="B45" s="187">
        <v>7</v>
      </c>
      <c r="C45" s="188" t="s">
        <v>301</v>
      </c>
      <c r="D45" s="189"/>
      <c r="E45" s="190"/>
      <c r="F45" s="191"/>
      <c r="G45" s="191"/>
      <c r="H45" s="191"/>
      <c r="I45" s="191"/>
      <c r="J45" s="192"/>
      <c r="K45" s="191"/>
      <c r="L45" s="191"/>
      <c r="M45" s="191"/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  <c r="Y45" s="191"/>
      <c r="Z45" s="191"/>
      <c r="AA45" s="191"/>
      <c r="AB45" s="193"/>
      <c r="AC45" s="193"/>
    </row>
    <row r="46" spans="1:107" s="141" customFormat="1" ht="18.5" hidden="1">
      <c r="B46" s="194">
        <v>8</v>
      </c>
      <c r="C46" s="195" t="s">
        <v>302</v>
      </c>
      <c r="D46" s="196"/>
      <c r="E46" s="197"/>
      <c r="F46" s="198"/>
      <c r="G46" s="198"/>
      <c r="H46" s="198"/>
      <c r="I46" s="198"/>
      <c r="J46" s="199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8"/>
      <c r="AA46" s="198"/>
      <c r="AB46" s="200"/>
      <c r="AC46" s="200"/>
    </row>
    <row r="47" spans="1:107" s="141" customFormat="1" ht="18.5" hidden="1">
      <c r="B47" s="142">
        <v>9</v>
      </c>
      <c r="C47" s="145" t="s">
        <v>303</v>
      </c>
      <c r="D47" s="201"/>
      <c r="E47" s="202"/>
      <c r="F47" s="203"/>
      <c r="G47" s="203"/>
      <c r="H47" s="203"/>
      <c r="I47" s="203"/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  <c r="AA47" s="203"/>
      <c r="AB47" s="204"/>
      <c r="AC47" s="204"/>
    </row>
    <row r="48" spans="1:107" s="141" customFormat="1" ht="18.5" hidden="1">
      <c r="B48" s="142">
        <v>9</v>
      </c>
      <c r="C48" s="145" t="s">
        <v>304</v>
      </c>
      <c r="D48" s="201"/>
      <c r="E48" s="202"/>
      <c r="F48" s="205"/>
      <c r="G48" s="205"/>
      <c r="H48" s="205"/>
      <c r="I48" s="203"/>
      <c r="J48" s="203"/>
      <c r="K48" s="203"/>
      <c r="L48" s="203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  <c r="AA48" s="203"/>
      <c r="AB48" s="204"/>
      <c r="AC48" s="204"/>
    </row>
    <row r="49" spans="2:30">
      <c r="B49" s="110">
        <v>7</v>
      </c>
      <c r="C49" s="111" t="s">
        <v>53</v>
      </c>
      <c r="D49" s="206">
        <v>1</v>
      </c>
      <c r="E49" s="23">
        <v>5</v>
      </c>
      <c r="F49" s="23">
        <v>3</v>
      </c>
      <c r="G49" s="23">
        <v>5</v>
      </c>
      <c r="H49" s="23"/>
      <c r="I49" s="23">
        <v>1</v>
      </c>
      <c r="J49" s="59"/>
      <c r="K49" s="23">
        <v>0.5</v>
      </c>
      <c r="L49" s="23">
        <v>2</v>
      </c>
      <c r="M49" s="23"/>
      <c r="N49" s="23"/>
      <c r="O49" s="23"/>
      <c r="P49" s="23">
        <v>1</v>
      </c>
      <c r="Q49" s="23"/>
      <c r="R49" s="23"/>
      <c r="S49" s="23">
        <v>1</v>
      </c>
      <c r="T49" s="23"/>
      <c r="U49" s="23"/>
      <c r="V49" s="23"/>
      <c r="W49" s="23">
        <v>1</v>
      </c>
      <c r="X49" s="23"/>
      <c r="Y49" s="23"/>
      <c r="Z49" s="23"/>
      <c r="AA49" s="23"/>
      <c r="AB49" s="23"/>
      <c r="AC49" s="23"/>
      <c r="AD49" s="20"/>
    </row>
    <row r="50" spans="2:30">
      <c r="B50" s="110">
        <v>8</v>
      </c>
      <c r="C50" s="111" t="s">
        <v>54</v>
      </c>
      <c r="D50" s="206">
        <v>1</v>
      </c>
      <c r="E50" s="23">
        <v>3</v>
      </c>
      <c r="F50" s="23">
        <v>1</v>
      </c>
      <c r="G50" s="23">
        <v>2</v>
      </c>
      <c r="H50" s="23"/>
      <c r="I50" s="22">
        <v>1</v>
      </c>
      <c r="J50" s="59"/>
      <c r="K50" s="23">
        <v>0.5</v>
      </c>
      <c r="L50" s="23">
        <v>2</v>
      </c>
      <c r="M50" s="23"/>
      <c r="N50" s="23">
        <v>0.5</v>
      </c>
      <c r="O50" s="23">
        <v>2</v>
      </c>
      <c r="P50" s="23"/>
      <c r="Q50" s="23"/>
      <c r="R50" s="23"/>
      <c r="S50" s="23">
        <v>1</v>
      </c>
      <c r="T50" s="23"/>
      <c r="U50" s="23"/>
      <c r="V50" s="23"/>
      <c r="W50" s="23">
        <v>1</v>
      </c>
      <c r="X50" s="23"/>
      <c r="Y50" s="23"/>
      <c r="Z50" s="23"/>
      <c r="AA50" s="23"/>
      <c r="AB50" s="23"/>
      <c r="AC50" s="23"/>
      <c r="AD50" s="20"/>
    </row>
    <row r="51" spans="2:30">
      <c r="B51" s="110">
        <v>9</v>
      </c>
      <c r="C51" s="111" t="s">
        <v>55</v>
      </c>
      <c r="D51" s="206">
        <v>2</v>
      </c>
      <c r="E51" s="23">
        <v>3</v>
      </c>
      <c r="F51" s="23">
        <v>1</v>
      </c>
      <c r="G51" s="23">
        <v>1</v>
      </c>
      <c r="H51" s="23"/>
      <c r="I51" s="23">
        <v>1</v>
      </c>
      <c r="J51" s="59"/>
      <c r="K51" s="23">
        <v>0.5</v>
      </c>
      <c r="L51" s="23">
        <v>1</v>
      </c>
      <c r="M51" s="23"/>
      <c r="N51" s="23"/>
      <c r="O51" s="23">
        <v>2</v>
      </c>
      <c r="P51" s="23"/>
      <c r="Q51" s="23"/>
      <c r="R51" s="23">
        <v>0.5</v>
      </c>
      <c r="S51" s="23">
        <v>1</v>
      </c>
      <c r="T51" s="23"/>
      <c r="U51" s="23"/>
      <c r="V51" s="23"/>
      <c r="W51" s="23">
        <v>1</v>
      </c>
      <c r="X51" s="23"/>
      <c r="Y51" s="23"/>
      <c r="Z51" s="23"/>
      <c r="AA51" s="23"/>
      <c r="AB51" s="23"/>
      <c r="AC51" s="23"/>
      <c r="AD51" s="20"/>
    </row>
    <row r="52" spans="2:30">
      <c r="B52" s="110">
        <v>10</v>
      </c>
      <c r="C52" s="111" t="s">
        <v>56</v>
      </c>
      <c r="D52" s="206"/>
      <c r="E52" s="23"/>
      <c r="F52" s="23"/>
      <c r="G52" s="23">
        <v>1</v>
      </c>
      <c r="H52" s="23"/>
      <c r="I52" s="23"/>
      <c r="J52" s="59"/>
      <c r="K52" s="23"/>
      <c r="L52" s="23"/>
      <c r="M52" s="23"/>
      <c r="N52" s="23"/>
      <c r="O52" s="23"/>
      <c r="P52" s="23">
        <v>1</v>
      </c>
      <c r="Q52" s="23"/>
      <c r="R52" s="23">
        <v>0.5</v>
      </c>
      <c r="S52" s="23"/>
      <c r="T52" s="23"/>
      <c r="U52" s="23">
        <v>0.5</v>
      </c>
      <c r="V52" s="23"/>
      <c r="W52" s="23"/>
      <c r="X52" s="23"/>
      <c r="Y52" s="23"/>
      <c r="Z52" s="23"/>
      <c r="AA52" s="23"/>
      <c r="AB52" s="23"/>
      <c r="AC52" s="23"/>
      <c r="AD52" s="20"/>
    </row>
    <row r="53" spans="2:30">
      <c r="B53" s="110">
        <v>11</v>
      </c>
      <c r="C53" s="111" t="s">
        <v>57</v>
      </c>
      <c r="D53" s="112"/>
      <c r="E53" s="22">
        <v>1</v>
      </c>
      <c r="F53" s="22"/>
      <c r="G53" s="22">
        <v>1</v>
      </c>
      <c r="H53" s="22"/>
      <c r="I53" s="22"/>
      <c r="J53" s="207"/>
      <c r="K53" s="22"/>
      <c r="L53" s="22"/>
      <c r="M53" s="22"/>
      <c r="N53" s="22"/>
      <c r="O53" s="22"/>
      <c r="P53" s="22">
        <v>1</v>
      </c>
      <c r="Q53" s="23"/>
      <c r="R53" s="23">
        <v>0.5</v>
      </c>
      <c r="S53" s="22"/>
      <c r="T53" s="22"/>
      <c r="U53" s="23">
        <v>0.5</v>
      </c>
      <c r="V53" s="22"/>
      <c r="W53" s="22"/>
      <c r="X53" s="22"/>
      <c r="Y53" s="22"/>
      <c r="Z53" s="22"/>
      <c r="AA53" s="22"/>
      <c r="AB53" s="22"/>
      <c r="AC53" s="22">
        <v>9</v>
      </c>
      <c r="AD53" s="20"/>
    </row>
    <row r="54" spans="2:30" ht="15" thickBot="1">
      <c r="B54" s="208">
        <v>12</v>
      </c>
      <c r="C54" s="209" t="s">
        <v>106</v>
      </c>
      <c r="D54" s="210">
        <v>0.5</v>
      </c>
      <c r="E54" s="86">
        <f>2+10</f>
        <v>12</v>
      </c>
      <c r="F54" s="86"/>
      <c r="G54" s="86">
        <f>2+5</f>
        <v>7</v>
      </c>
      <c r="H54" s="86"/>
      <c r="I54" s="86"/>
      <c r="J54" s="211"/>
      <c r="K54" s="86">
        <v>0.5</v>
      </c>
      <c r="L54" s="86">
        <v>1</v>
      </c>
      <c r="M54" s="86">
        <v>0.5</v>
      </c>
      <c r="N54" s="86"/>
      <c r="O54" s="86">
        <v>0.5</v>
      </c>
      <c r="P54" s="86">
        <v>1</v>
      </c>
      <c r="Q54" s="212"/>
      <c r="R54" s="212">
        <v>0.5</v>
      </c>
      <c r="S54" s="212">
        <v>0.5</v>
      </c>
      <c r="T54" s="86"/>
      <c r="U54" s="212">
        <v>0.5</v>
      </c>
      <c r="V54" s="86"/>
      <c r="W54" s="86">
        <v>0.5</v>
      </c>
      <c r="X54" s="86"/>
      <c r="Y54" s="86"/>
      <c r="Z54" s="86">
        <v>1</v>
      </c>
      <c r="AA54" s="86"/>
      <c r="AB54" s="86">
        <v>6</v>
      </c>
      <c r="AC54" s="86"/>
      <c r="AD54" s="20"/>
    </row>
    <row r="55" spans="2:30">
      <c r="B55" s="213"/>
      <c r="C55" s="214" t="s">
        <v>26</v>
      </c>
      <c r="D55" s="215">
        <f t="shared" ref="D55:AC55" si="0">SUM(D4:D54)</f>
        <v>25.5</v>
      </c>
      <c r="E55" s="216">
        <f t="shared" si="0"/>
        <v>43.5</v>
      </c>
      <c r="F55" s="216">
        <f t="shared" si="0"/>
        <v>19</v>
      </c>
      <c r="G55" s="216">
        <f t="shared" si="0"/>
        <v>37</v>
      </c>
      <c r="H55" s="216">
        <f t="shared" si="0"/>
        <v>0</v>
      </c>
      <c r="I55" s="216">
        <f t="shared" si="0"/>
        <v>8</v>
      </c>
      <c r="J55" s="217">
        <f t="shared" si="0"/>
        <v>0</v>
      </c>
      <c r="K55" s="216">
        <f t="shared" si="0"/>
        <v>2</v>
      </c>
      <c r="L55" s="216">
        <f t="shared" si="0"/>
        <v>15</v>
      </c>
      <c r="M55" s="216">
        <f t="shared" si="0"/>
        <v>6.5</v>
      </c>
      <c r="N55" s="216">
        <f t="shared" si="0"/>
        <v>3</v>
      </c>
      <c r="O55" s="216">
        <f t="shared" si="0"/>
        <v>5</v>
      </c>
      <c r="P55" s="216">
        <f t="shared" si="0"/>
        <v>7.5</v>
      </c>
      <c r="Q55" s="216">
        <f t="shared" si="0"/>
        <v>0</v>
      </c>
      <c r="R55" s="216">
        <f t="shared" si="0"/>
        <v>7.5</v>
      </c>
      <c r="S55" s="216">
        <f t="shared" si="0"/>
        <v>4.5</v>
      </c>
      <c r="T55" s="216">
        <f t="shared" si="0"/>
        <v>0</v>
      </c>
      <c r="U55" s="216">
        <f t="shared" si="0"/>
        <v>5</v>
      </c>
      <c r="V55" s="216">
        <f t="shared" si="0"/>
        <v>0</v>
      </c>
      <c r="W55" s="216">
        <f t="shared" si="0"/>
        <v>7.5</v>
      </c>
      <c r="X55" s="216">
        <f t="shared" si="0"/>
        <v>4</v>
      </c>
      <c r="Y55" s="216">
        <f t="shared" si="0"/>
        <v>5</v>
      </c>
      <c r="Z55" s="216">
        <f t="shared" si="0"/>
        <v>17</v>
      </c>
      <c r="AA55" s="216">
        <f t="shared" si="0"/>
        <v>0</v>
      </c>
      <c r="AB55" s="216">
        <f t="shared" si="0"/>
        <v>6</v>
      </c>
      <c r="AC55" s="216">
        <f t="shared" si="0"/>
        <v>9</v>
      </c>
      <c r="AD55" s="19">
        <f>SUM(D55:AC55)</f>
        <v>237.5</v>
      </c>
    </row>
    <row r="56" spans="2:30">
      <c r="B56" s="110"/>
      <c r="C56" s="218" t="s">
        <v>27</v>
      </c>
      <c r="D56" s="219">
        <v>8500</v>
      </c>
      <c r="E56" s="220">
        <v>8500</v>
      </c>
      <c r="F56" s="220">
        <v>14000</v>
      </c>
      <c r="G56" s="220">
        <v>14000</v>
      </c>
      <c r="H56" s="220">
        <v>8500</v>
      </c>
      <c r="I56" s="220">
        <v>8500</v>
      </c>
      <c r="J56" s="221">
        <v>8500</v>
      </c>
      <c r="K56" s="220">
        <v>14000</v>
      </c>
      <c r="L56" s="220">
        <v>14000</v>
      </c>
      <c r="M56" s="220">
        <v>7500</v>
      </c>
      <c r="N56" s="220">
        <v>14000</v>
      </c>
      <c r="O56" s="220">
        <v>8500</v>
      </c>
      <c r="P56" s="220">
        <v>14000</v>
      </c>
      <c r="Q56" s="220">
        <v>14000</v>
      </c>
      <c r="R56" s="220">
        <v>8500</v>
      </c>
      <c r="S56" s="220">
        <v>8500</v>
      </c>
      <c r="T56" s="220">
        <v>8500</v>
      </c>
      <c r="U56" s="220">
        <v>14000</v>
      </c>
      <c r="V56" s="220">
        <v>14000</v>
      </c>
      <c r="W56" s="220">
        <v>8500</v>
      </c>
      <c r="X56" s="220">
        <v>8500</v>
      </c>
      <c r="Y56" s="220">
        <v>14000</v>
      </c>
      <c r="Z56" s="220">
        <v>8500</v>
      </c>
      <c r="AA56" s="220">
        <v>8500</v>
      </c>
      <c r="AB56" s="220">
        <v>8500</v>
      </c>
      <c r="AC56" s="220">
        <v>8500</v>
      </c>
      <c r="AD56" s="112"/>
    </row>
    <row r="57" spans="2:30" ht="16.5" thickBot="1">
      <c r="B57" s="222"/>
      <c r="C57" s="223" t="s">
        <v>28</v>
      </c>
      <c r="D57" s="224">
        <f>D55*D56</f>
        <v>216750</v>
      </c>
      <c r="E57" s="225">
        <f t="shared" ref="E57:AC57" si="1">E55*E56</f>
        <v>369750</v>
      </c>
      <c r="F57" s="225">
        <f t="shared" si="1"/>
        <v>266000</v>
      </c>
      <c r="G57" s="225">
        <f t="shared" si="1"/>
        <v>518000</v>
      </c>
      <c r="H57" s="225">
        <f t="shared" si="1"/>
        <v>0</v>
      </c>
      <c r="I57" s="225">
        <f t="shared" si="1"/>
        <v>68000</v>
      </c>
      <c r="J57" s="226">
        <f t="shared" si="1"/>
        <v>0</v>
      </c>
      <c r="K57" s="225">
        <f t="shared" si="1"/>
        <v>28000</v>
      </c>
      <c r="L57" s="225">
        <f t="shared" si="1"/>
        <v>210000</v>
      </c>
      <c r="M57" s="225">
        <f t="shared" si="1"/>
        <v>48750</v>
      </c>
      <c r="N57" s="225">
        <f t="shared" si="1"/>
        <v>42000</v>
      </c>
      <c r="O57" s="225">
        <f t="shared" si="1"/>
        <v>42500</v>
      </c>
      <c r="P57" s="225">
        <f t="shared" si="1"/>
        <v>105000</v>
      </c>
      <c r="Q57" s="225">
        <f>Q55*Q56</f>
        <v>0</v>
      </c>
      <c r="R57" s="225">
        <f t="shared" si="1"/>
        <v>63750</v>
      </c>
      <c r="S57" s="225">
        <f t="shared" si="1"/>
        <v>38250</v>
      </c>
      <c r="T57" s="225">
        <f t="shared" si="1"/>
        <v>0</v>
      </c>
      <c r="U57" s="225">
        <f t="shared" si="1"/>
        <v>70000</v>
      </c>
      <c r="V57" s="225">
        <f t="shared" si="1"/>
        <v>0</v>
      </c>
      <c r="W57" s="225">
        <f t="shared" si="1"/>
        <v>63750</v>
      </c>
      <c r="X57" s="225">
        <f t="shared" si="1"/>
        <v>34000</v>
      </c>
      <c r="Y57" s="225">
        <f>Y55*Y56</f>
        <v>70000</v>
      </c>
      <c r="Z57" s="225">
        <f t="shared" si="1"/>
        <v>144500</v>
      </c>
      <c r="AA57" s="225">
        <f t="shared" si="1"/>
        <v>0</v>
      </c>
      <c r="AB57" s="225">
        <f t="shared" si="1"/>
        <v>51000</v>
      </c>
      <c r="AC57" s="225">
        <f t="shared" si="1"/>
        <v>76500</v>
      </c>
      <c r="AD57" s="227">
        <f>SUM(D57:AC57)</f>
        <v>2526500</v>
      </c>
    </row>
    <row r="59" spans="2:30">
      <c r="D59" s="19">
        <f>D55*8</f>
        <v>204</v>
      </c>
      <c r="E59" s="19">
        <f t="shared" ref="E59:AC59" si="2">E55*8</f>
        <v>348</v>
      </c>
      <c r="F59" s="19">
        <f t="shared" si="2"/>
        <v>152</v>
      </c>
      <c r="G59" s="19">
        <f t="shared" si="2"/>
        <v>296</v>
      </c>
      <c r="H59" s="19">
        <f t="shared" si="2"/>
        <v>0</v>
      </c>
      <c r="I59" s="19">
        <f t="shared" si="2"/>
        <v>64</v>
      </c>
      <c r="K59" s="19">
        <f t="shared" ref="K59" si="3">K55*8</f>
        <v>16</v>
      </c>
      <c r="L59" s="19">
        <f>L55*8</f>
        <v>120</v>
      </c>
      <c r="M59" s="19">
        <f t="shared" si="2"/>
        <v>52</v>
      </c>
      <c r="N59" s="19">
        <f t="shared" si="2"/>
        <v>24</v>
      </c>
      <c r="O59" s="19">
        <f t="shared" si="2"/>
        <v>40</v>
      </c>
      <c r="P59" s="19">
        <f t="shared" si="2"/>
        <v>60</v>
      </c>
      <c r="Q59" s="19">
        <f>Q55*8</f>
        <v>0</v>
      </c>
      <c r="V59" s="19">
        <f t="shared" ref="V59:X59" si="4">V55*8</f>
        <v>0</v>
      </c>
      <c r="W59" s="19">
        <f t="shared" si="4"/>
        <v>60</v>
      </c>
      <c r="X59" s="19">
        <f t="shared" si="4"/>
        <v>32</v>
      </c>
      <c r="Y59" s="19">
        <f>Y55*8</f>
        <v>40</v>
      </c>
      <c r="Z59" s="19">
        <f t="shared" si="2"/>
        <v>136</v>
      </c>
      <c r="AA59" s="19">
        <f t="shared" si="2"/>
        <v>0</v>
      </c>
      <c r="AB59" s="19">
        <f t="shared" si="2"/>
        <v>48</v>
      </c>
      <c r="AC59" s="19">
        <f t="shared" si="2"/>
        <v>72</v>
      </c>
    </row>
    <row r="62" spans="2:30" ht="29">
      <c r="C62" s="228" t="s">
        <v>305</v>
      </c>
    </row>
  </sheetData>
  <mergeCells count="7">
    <mergeCell ref="V1:X1"/>
    <mergeCell ref="D14:D27"/>
    <mergeCell ref="D33:D44"/>
    <mergeCell ref="E1:J1"/>
    <mergeCell ref="K1:M1"/>
    <mergeCell ref="N1:P1"/>
    <mergeCell ref="R1:U1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E2074-F938-47E0-AE6C-A31385226FA7}">
  <sheetPr>
    <tabColor theme="5"/>
  </sheetPr>
  <dimension ref="A1:EE139"/>
  <sheetViews>
    <sheetView zoomScale="85" zoomScaleNormal="85" workbookViewId="0">
      <pane xSplit="5" ySplit="2" topLeftCell="F10" activePane="bottomRight" state="frozen"/>
      <selection activeCell="C23" sqref="C23"/>
      <selection pane="topRight" activeCell="C23" sqref="C23"/>
      <selection pane="bottomLeft" activeCell="C23" sqref="C23"/>
      <selection pane="bottomRight" activeCell="C23" sqref="C23"/>
    </sheetView>
  </sheetViews>
  <sheetFormatPr defaultColWidth="8.6328125" defaultRowHeight="14.5"/>
  <cols>
    <col min="1" max="1" width="4.36328125" style="20" customWidth="1"/>
    <col min="2" max="2" width="5.08984375" style="87" customWidth="1"/>
    <col min="3" max="3" width="61.36328125" style="20" customWidth="1"/>
    <col min="4" max="4" width="9.08984375" style="20" customWidth="1"/>
    <col min="5" max="5" width="8.6328125" style="87" customWidth="1"/>
    <col min="6" max="6" width="11.90625" style="19" customWidth="1"/>
    <col min="7" max="7" width="12" style="19" customWidth="1"/>
    <col min="8" max="8" width="12.6328125" style="19" customWidth="1"/>
    <col min="9" max="9" width="14.90625" style="19" customWidth="1"/>
    <col min="10" max="10" width="16.6328125" style="19" customWidth="1"/>
    <col min="11" max="12" width="11.6328125" style="19" customWidth="1"/>
    <col min="13" max="13" width="12.6328125" style="19" customWidth="1"/>
    <col min="14" max="14" width="11.90625" style="19" customWidth="1"/>
    <col min="15" max="15" width="11.36328125" style="19" customWidth="1"/>
    <col min="16" max="16" width="14.36328125" style="19" customWidth="1"/>
    <col min="17" max="17" width="11.36328125" style="19" customWidth="1"/>
    <col min="18" max="21" width="12.6328125" style="19" customWidth="1"/>
    <col min="22" max="56" width="13.08984375" style="19" customWidth="1"/>
    <col min="57" max="57" width="32.26953125" style="19" bestFit="1" customWidth="1"/>
    <col min="58" max="58" width="17.36328125" style="19" customWidth="1"/>
    <col min="59" max="59" width="11.08984375" style="20" bestFit="1" customWidth="1"/>
    <col min="60" max="60" width="15.36328125" style="20" bestFit="1" customWidth="1"/>
    <col min="61" max="16384" width="8.6328125" style="20"/>
  </cols>
  <sheetData>
    <row r="1" spans="1:135" ht="15" customHeight="1">
      <c r="B1" s="548"/>
      <c r="C1" s="549"/>
      <c r="D1" s="549"/>
      <c r="E1" s="812"/>
      <c r="F1" s="1096" t="s">
        <v>236</v>
      </c>
      <c r="G1" s="1097"/>
      <c r="H1" s="1097"/>
      <c r="I1" s="1097"/>
      <c r="J1" s="1097"/>
      <c r="K1" s="1097"/>
      <c r="L1" s="1097"/>
      <c r="M1" s="1097"/>
      <c r="N1" s="1097"/>
      <c r="O1" s="1097"/>
      <c r="P1" s="1097"/>
      <c r="Q1" s="1097"/>
      <c r="R1" s="1098"/>
      <c r="S1" s="1078" t="s">
        <v>60</v>
      </c>
      <c r="T1" s="1079"/>
      <c r="U1" s="1080"/>
      <c r="V1" s="1080"/>
      <c r="W1" s="1085" t="s">
        <v>61</v>
      </c>
      <c r="X1" s="1080"/>
      <c r="Y1" s="1085" t="s">
        <v>62</v>
      </c>
      <c r="Z1" s="1079"/>
      <c r="AA1" s="1079"/>
      <c r="AB1" s="1079"/>
      <c r="AC1" s="1079"/>
      <c r="AD1" s="1079"/>
      <c r="AE1" s="1079"/>
      <c r="AF1" s="1080"/>
      <c r="AG1" s="1085" t="s">
        <v>63</v>
      </c>
      <c r="AH1" s="1079"/>
      <c r="AI1" s="1079"/>
      <c r="AJ1" s="1079"/>
      <c r="AK1" s="1079"/>
      <c r="AL1" s="1079"/>
      <c r="AM1" s="1079"/>
      <c r="AN1" s="1080"/>
      <c r="AO1" s="1085" t="s">
        <v>64</v>
      </c>
      <c r="AP1" s="1079"/>
      <c r="AQ1" s="1079"/>
      <c r="AR1" s="1079"/>
      <c r="AS1" s="1079"/>
      <c r="AT1" s="1079"/>
      <c r="AU1" s="1079"/>
      <c r="AV1" s="1080"/>
      <c r="AW1" s="1085" t="s">
        <v>65</v>
      </c>
      <c r="AX1" s="1079"/>
      <c r="AY1" s="1079"/>
      <c r="AZ1" s="1079"/>
      <c r="BA1" s="1079"/>
      <c r="BB1" s="1079"/>
      <c r="BC1" s="1079"/>
      <c r="BD1" s="1086"/>
      <c r="BE1" s="867" t="s">
        <v>114</v>
      </c>
      <c r="BF1" s="20"/>
    </row>
    <row r="2" spans="1:135" ht="44.15" customHeight="1">
      <c r="B2" s="981" t="s">
        <v>29</v>
      </c>
      <c r="C2" s="982" t="s">
        <v>30</v>
      </c>
      <c r="D2" s="842" t="s">
        <v>237</v>
      </c>
      <c r="E2" s="857" t="s">
        <v>238</v>
      </c>
      <c r="F2" s="314" t="s">
        <v>3</v>
      </c>
      <c r="G2" s="315" t="s">
        <v>31</v>
      </c>
      <c r="H2" s="315" t="s">
        <v>5</v>
      </c>
      <c r="I2" s="315" t="s">
        <v>108</v>
      </c>
      <c r="J2" s="994" t="s">
        <v>239</v>
      </c>
      <c r="K2" s="315" t="s">
        <v>7</v>
      </c>
      <c r="L2" s="315" t="s">
        <v>68</v>
      </c>
      <c r="M2" s="315" t="s">
        <v>69</v>
      </c>
      <c r="N2" s="315" t="s">
        <v>8</v>
      </c>
      <c r="O2" s="315" t="s">
        <v>9</v>
      </c>
      <c r="P2" s="315" t="s">
        <v>10</v>
      </c>
      <c r="Q2" s="315" t="s">
        <v>35</v>
      </c>
      <c r="R2" s="316" t="s">
        <v>11</v>
      </c>
      <c r="S2" s="998" t="s">
        <v>70</v>
      </c>
      <c r="T2" s="862" t="s">
        <v>71</v>
      </c>
      <c r="U2" s="916" t="s">
        <v>240</v>
      </c>
      <c r="V2" s="918" t="s">
        <v>34</v>
      </c>
      <c r="W2" s="921" t="s">
        <v>72</v>
      </c>
      <c r="X2" s="922" t="s">
        <v>73</v>
      </c>
      <c r="Y2" s="919" t="s">
        <v>74</v>
      </c>
      <c r="Z2" s="825" t="s">
        <v>31</v>
      </c>
      <c r="AA2" s="825" t="s">
        <v>6</v>
      </c>
      <c r="AB2" s="825" t="s">
        <v>75</v>
      </c>
      <c r="AC2" s="825" t="s">
        <v>7</v>
      </c>
      <c r="AD2" s="825" t="s">
        <v>76</v>
      </c>
      <c r="AE2" s="825" t="s">
        <v>77</v>
      </c>
      <c r="AF2" s="826" t="s">
        <v>189</v>
      </c>
      <c r="AG2" s="863" t="s">
        <v>74</v>
      </c>
      <c r="AH2" s="913" t="s">
        <v>241</v>
      </c>
      <c r="AI2" s="913" t="s">
        <v>242</v>
      </c>
      <c r="AJ2" s="913" t="s">
        <v>243</v>
      </c>
      <c r="AK2" s="864" t="s">
        <v>7</v>
      </c>
      <c r="AL2" s="864" t="s">
        <v>76</v>
      </c>
      <c r="AM2" s="864" t="s">
        <v>77</v>
      </c>
      <c r="AN2" s="866" t="s">
        <v>189</v>
      </c>
      <c r="AO2" s="863" t="s">
        <v>74</v>
      </c>
      <c r="AP2" s="913" t="s">
        <v>241</v>
      </c>
      <c r="AQ2" s="913" t="s">
        <v>242</v>
      </c>
      <c r="AR2" s="913" t="s">
        <v>243</v>
      </c>
      <c r="AS2" s="864" t="s">
        <v>7</v>
      </c>
      <c r="AT2" s="864" t="s">
        <v>76</v>
      </c>
      <c r="AU2" s="864" t="s">
        <v>77</v>
      </c>
      <c r="AV2" s="866" t="s">
        <v>189</v>
      </c>
      <c r="AW2" s="863" t="s">
        <v>74</v>
      </c>
      <c r="AX2" s="864" t="s">
        <v>31</v>
      </c>
      <c r="AY2" s="913" t="s">
        <v>244</v>
      </c>
      <c r="AZ2" s="913" t="s">
        <v>245</v>
      </c>
      <c r="BA2" s="913" t="s">
        <v>246</v>
      </c>
      <c r="BB2" s="864" t="s">
        <v>7</v>
      </c>
      <c r="BC2" s="864" t="s">
        <v>76</v>
      </c>
      <c r="BD2" s="865" t="s">
        <v>77</v>
      </c>
      <c r="BE2" s="964" t="s">
        <v>78</v>
      </c>
      <c r="BF2" s="20"/>
    </row>
    <row r="3" spans="1:135">
      <c r="B3" s="983">
        <v>1</v>
      </c>
      <c r="C3" s="949" t="s">
        <v>36</v>
      </c>
      <c r="D3" s="813" t="s">
        <v>247</v>
      </c>
      <c r="E3" s="820" t="s">
        <v>247</v>
      </c>
      <c r="F3" s="233">
        <v>2</v>
      </c>
      <c r="G3" s="62">
        <v>2</v>
      </c>
      <c r="H3" s="322"/>
      <c r="I3" s="322"/>
      <c r="J3" s="322"/>
      <c r="K3" s="322"/>
      <c r="L3" s="322"/>
      <c r="M3" s="322"/>
      <c r="N3" s="322"/>
      <c r="O3" s="322"/>
      <c r="P3" s="322"/>
      <c r="Q3" s="322"/>
      <c r="R3" s="323"/>
      <c r="S3" s="860"/>
      <c r="T3" s="824"/>
      <c r="U3" s="827"/>
      <c r="V3" s="827"/>
      <c r="W3" s="923"/>
      <c r="X3" s="924"/>
      <c r="Y3" s="860"/>
      <c r="Z3" s="824"/>
      <c r="AA3" s="824"/>
      <c r="AB3" s="824"/>
      <c r="AC3" s="824"/>
      <c r="AD3" s="824"/>
      <c r="AE3" s="824"/>
      <c r="AF3" s="827"/>
      <c r="AG3" s="654"/>
      <c r="AH3" s="325"/>
      <c r="AI3" s="325"/>
      <c r="AJ3" s="325"/>
      <c r="AK3" s="325"/>
      <c r="AL3" s="325"/>
      <c r="AM3" s="325"/>
      <c r="AN3" s="326"/>
      <c r="AO3" s="654"/>
      <c r="AP3" s="325"/>
      <c r="AQ3" s="325"/>
      <c r="AR3" s="325"/>
      <c r="AS3" s="325"/>
      <c r="AT3" s="325"/>
      <c r="AU3" s="325"/>
      <c r="AV3" s="326"/>
      <c r="AW3" s="654"/>
      <c r="AX3" s="325"/>
      <c r="AY3" s="325"/>
      <c r="AZ3" s="325"/>
      <c r="BA3" s="325"/>
      <c r="BB3" s="325"/>
      <c r="BC3" s="325"/>
      <c r="BD3" s="326"/>
      <c r="BE3" s="965"/>
      <c r="BF3" s="20"/>
    </row>
    <row r="4" spans="1:135" s="108" customFormat="1">
      <c r="A4" s="20"/>
      <c r="B4" s="984">
        <v>2</v>
      </c>
      <c r="C4" s="950" t="s">
        <v>79</v>
      </c>
      <c r="D4" s="814" t="s">
        <v>247</v>
      </c>
      <c r="E4" s="821" t="s">
        <v>247</v>
      </c>
      <c r="F4" s="229">
        <v>1</v>
      </c>
      <c r="G4" s="230">
        <v>0.5</v>
      </c>
      <c r="H4" s="334"/>
      <c r="I4" s="334"/>
      <c r="J4" s="334"/>
      <c r="K4" s="334"/>
      <c r="L4" s="231"/>
      <c r="M4" s="231"/>
      <c r="N4" s="231"/>
      <c r="O4" s="231"/>
      <c r="P4" s="231"/>
      <c r="Q4" s="231"/>
      <c r="R4" s="232"/>
      <c r="S4" s="335"/>
      <c r="T4" s="334"/>
      <c r="U4" s="336"/>
      <c r="V4" s="336"/>
      <c r="W4" s="925"/>
      <c r="X4" s="926"/>
      <c r="Y4" s="335"/>
      <c r="Z4" s="334"/>
      <c r="AA4" s="334"/>
      <c r="AB4" s="334"/>
      <c r="AC4" s="334"/>
      <c r="AD4" s="334"/>
      <c r="AE4" s="334"/>
      <c r="AF4" s="336"/>
      <c r="AG4" s="656"/>
      <c r="AH4" s="334"/>
      <c r="AI4" s="334"/>
      <c r="AJ4" s="334"/>
      <c r="AK4" s="334"/>
      <c r="AL4" s="334"/>
      <c r="AM4" s="334"/>
      <c r="AN4" s="336"/>
      <c r="AO4" s="656"/>
      <c r="AP4" s="334"/>
      <c r="AQ4" s="334"/>
      <c r="AR4" s="334"/>
      <c r="AS4" s="334"/>
      <c r="AT4" s="334"/>
      <c r="AU4" s="334"/>
      <c r="AV4" s="336"/>
      <c r="AW4" s="656"/>
      <c r="AX4" s="334"/>
      <c r="AY4" s="334"/>
      <c r="AZ4" s="334"/>
      <c r="BA4" s="334"/>
      <c r="BB4" s="334"/>
      <c r="BC4" s="334"/>
      <c r="BD4" s="336"/>
      <c r="BE4" s="966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</row>
    <row r="5" spans="1:135" s="910" customFormat="1">
      <c r="B5" s="836">
        <v>2</v>
      </c>
      <c r="C5" s="951" t="s">
        <v>80</v>
      </c>
      <c r="D5" s="817" t="s">
        <v>247</v>
      </c>
      <c r="E5" s="822" t="s">
        <v>247</v>
      </c>
      <c r="F5" s="909">
        <v>14</v>
      </c>
      <c r="G5" s="911">
        <v>4</v>
      </c>
      <c r="H5" s="254"/>
      <c r="I5" s="254"/>
      <c r="J5" s="254"/>
      <c r="K5" s="254"/>
      <c r="L5" s="254"/>
      <c r="M5" s="254"/>
      <c r="N5" s="254"/>
      <c r="O5" s="254"/>
      <c r="P5" s="254"/>
      <c r="Q5" s="254"/>
      <c r="R5" s="264"/>
      <c r="S5" s="349"/>
      <c r="T5" s="254"/>
      <c r="U5" s="267"/>
      <c r="V5" s="267"/>
      <c r="W5" s="927"/>
      <c r="X5" s="928"/>
      <c r="Y5" s="349"/>
      <c r="Z5" s="254"/>
      <c r="AA5" s="254"/>
      <c r="AB5" s="254"/>
      <c r="AC5" s="254"/>
      <c r="AD5" s="254"/>
      <c r="AE5" s="254"/>
      <c r="AF5" s="267"/>
      <c r="AG5" s="348"/>
      <c r="AH5" s="254"/>
      <c r="AI5" s="254"/>
      <c r="AJ5" s="254"/>
      <c r="AK5" s="254"/>
      <c r="AL5" s="254"/>
      <c r="AM5" s="254"/>
      <c r="AN5" s="267"/>
      <c r="AO5" s="348"/>
      <c r="AP5" s="254"/>
      <c r="AQ5" s="254"/>
      <c r="AR5" s="254"/>
      <c r="AS5" s="254"/>
      <c r="AT5" s="254"/>
      <c r="AU5" s="254"/>
      <c r="AV5" s="267"/>
      <c r="AW5" s="348"/>
      <c r="AX5" s="254"/>
      <c r="AY5" s="254"/>
      <c r="AZ5" s="254"/>
      <c r="BA5" s="254"/>
      <c r="BB5" s="254"/>
      <c r="BC5" s="254"/>
      <c r="BD5" s="267"/>
      <c r="BE5" s="967"/>
    </row>
    <row r="6" spans="1:135">
      <c r="B6" s="838">
        <v>3</v>
      </c>
      <c r="C6" s="952" t="s">
        <v>38</v>
      </c>
      <c r="D6" s="813" t="s">
        <v>247</v>
      </c>
      <c r="E6" s="820" t="s">
        <v>247</v>
      </c>
      <c r="F6" s="233">
        <v>2</v>
      </c>
      <c r="G6" s="62">
        <v>6</v>
      </c>
      <c r="H6" s="322">
        <v>2</v>
      </c>
      <c r="I6" s="322"/>
      <c r="J6" s="322"/>
      <c r="K6" s="322">
        <v>1</v>
      </c>
      <c r="L6" s="322"/>
      <c r="M6" s="322"/>
      <c r="N6" s="322"/>
      <c r="O6" s="322"/>
      <c r="P6" s="322"/>
      <c r="Q6" s="322"/>
      <c r="R6" s="323"/>
      <c r="S6" s="343"/>
      <c r="T6" s="322">
        <v>1</v>
      </c>
      <c r="U6" s="344"/>
      <c r="V6" s="344"/>
      <c r="W6" s="929"/>
      <c r="X6" s="930"/>
      <c r="Y6" s="271"/>
      <c r="Z6" s="62"/>
      <c r="AA6" s="62"/>
      <c r="AB6" s="62"/>
      <c r="AC6" s="62"/>
      <c r="AD6" s="62"/>
      <c r="AE6" s="62"/>
      <c r="AF6" s="262"/>
      <c r="AG6" s="233"/>
      <c r="AH6" s="62"/>
      <c r="AI6" s="62"/>
      <c r="AJ6" s="62"/>
      <c r="AK6" s="62"/>
      <c r="AL6" s="62"/>
      <c r="AM6" s="62"/>
      <c r="AN6" s="262"/>
      <c r="AO6" s="233"/>
      <c r="AP6" s="62"/>
      <c r="AQ6" s="62"/>
      <c r="AR6" s="62"/>
      <c r="AS6" s="62"/>
      <c r="AT6" s="62"/>
      <c r="AU6" s="62"/>
      <c r="AV6" s="262"/>
      <c r="AW6" s="233"/>
      <c r="AX6" s="62"/>
      <c r="AY6" s="62"/>
      <c r="AZ6" s="62"/>
      <c r="BA6" s="62"/>
      <c r="BB6" s="62"/>
      <c r="BC6" s="62"/>
      <c r="BD6" s="262"/>
      <c r="BE6" s="968"/>
      <c r="BF6" s="20"/>
    </row>
    <row r="7" spans="1:135" s="910" customFormat="1">
      <c r="B7" s="836">
        <v>4</v>
      </c>
      <c r="C7" s="951" t="s">
        <v>81</v>
      </c>
      <c r="D7" s="817" t="s">
        <v>247</v>
      </c>
      <c r="E7" s="822" t="s">
        <v>247</v>
      </c>
      <c r="F7" s="909">
        <v>2</v>
      </c>
      <c r="G7" s="911">
        <v>4</v>
      </c>
      <c r="H7" s="254"/>
      <c r="I7" s="254"/>
      <c r="J7" s="254"/>
      <c r="K7" s="254"/>
      <c r="L7" s="254"/>
      <c r="M7" s="254"/>
      <c r="N7" s="254"/>
      <c r="O7" s="254"/>
      <c r="P7" s="254"/>
      <c r="Q7" s="254"/>
      <c r="R7" s="264"/>
      <c r="S7" s="349"/>
      <c r="T7" s="254"/>
      <c r="U7" s="267"/>
      <c r="V7" s="267"/>
      <c r="W7" s="927"/>
      <c r="X7" s="928"/>
      <c r="Y7" s="920"/>
      <c r="Z7" s="254">
        <v>1</v>
      </c>
      <c r="AA7" s="254"/>
      <c r="AB7" s="254"/>
      <c r="AC7" s="254"/>
      <c r="AD7" s="254"/>
      <c r="AE7" s="254"/>
      <c r="AF7" s="267"/>
      <c r="AG7" s="909"/>
      <c r="AH7" s="254">
        <v>1</v>
      </c>
      <c r="AI7" s="254"/>
      <c r="AJ7" s="254"/>
      <c r="AK7" s="254"/>
      <c r="AL7" s="254"/>
      <c r="AM7" s="254"/>
      <c r="AN7" s="267"/>
      <c r="AO7" s="909"/>
      <c r="AP7" s="254">
        <v>1</v>
      </c>
      <c r="AQ7" s="254"/>
      <c r="AR7" s="254"/>
      <c r="AS7" s="254"/>
      <c r="AT7" s="254"/>
      <c r="AU7" s="254"/>
      <c r="AV7" s="267"/>
      <c r="AW7" s="909"/>
      <c r="AX7" s="254"/>
      <c r="AY7" s="254"/>
      <c r="AZ7" s="254"/>
      <c r="BA7" s="254"/>
      <c r="BB7" s="254"/>
      <c r="BC7" s="254"/>
      <c r="BD7" s="267"/>
      <c r="BE7" s="969"/>
    </row>
    <row r="8" spans="1:135">
      <c r="B8" s="838">
        <v>5</v>
      </c>
      <c r="C8" s="953" t="s">
        <v>83</v>
      </c>
      <c r="D8" s="875" t="s">
        <v>248</v>
      </c>
      <c r="E8" s="820" t="s">
        <v>249</v>
      </c>
      <c r="F8" s="1077">
        <v>2</v>
      </c>
      <c r="G8" s="322"/>
      <c r="H8" s="322"/>
      <c r="I8" s="322"/>
      <c r="J8" s="322"/>
      <c r="K8" s="322"/>
      <c r="L8" s="322"/>
      <c r="M8" s="322"/>
      <c r="N8" s="322"/>
      <c r="O8" s="322"/>
      <c r="P8" s="322"/>
      <c r="Q8" s="322"/>
      <c r="R8" s="323"/>
      <c r="S8" s="343"/>
      <c r="T8" s="322"/>
      <c r="U8" s="344"/>
      <c r="V8" s="344"/>
      <c r="W8" s="929"/>
      <c r="X8" s="930"/>
      <c r="Y8" s="343"/>
      <c r="Z8" s="322"/>
      <c r="AA8" s="322"/>
      <c r="AB8" s="322"/>
      <c r="AC8" s="322"/>
      <c r="AD8" s="322"/>
      <c r="AE8" s="322"/>
      <c r="AF8" s="344"/>
      <c r="AG8" s="657"/>
      <c r="AH8" s="322"/>
      <c r="AI8" s="322"/>
      <c r="AJ8" s="322"/>
      <c r="AK8" s="322"/>
      <c r="AL8" s="322"/>
      <c r="AM8" s="322"/>
      <c r="AN8" s="344"/>
      <c r="AO8" s="657"/>
      <c r="AP8" s="322"/>
      <c r="AQ8" s="322"/>
      <c r="AR8" s="322"/>
      <c r="AS8" s="322"/>
      <c r="AT8" s="322"/>
      <c r="AU8" s="322"/>
      <c r="AV8" s="344"/>
      <c r="AW8" s="657"/>
      <c r="AX8" s="322"/>
      <c r="AY8" s="322"/>
      <c r="AZ8" s="322"/>
      <c r="BA8" s="322"/>
      <c r="BB8" s="322"/>
      <c r="BC8" s="322"/>
      <c r="BD8" s="344"/>
      <c r="BE8" s="970"/>
      <c r="BF8" s="20"/>
    </row>
    <row r="9" spans="1:135" ht="18.75" customHeight="1">
      <c r="B9" s="838">
        <v>5.0999999999999996</v>
      </c>
      <c r="C9" s="953" t="s">
        <v>84</v>
      </c>
      <c r="D9" s="875" t="s">
        <v>248</v>
      </c>
      <c r="E9" s="820" t="s">
        <v>249</v>
      </c>
      <c r="F9" s="1077"/>
      <c r="G9" s="322"/>
      <c r="H9" s="322"/>
      <c r="I9" s="322"/>
      <c r="J9" s="322"/>
      <c r="K9" s="322"/>
      <c r="L9" s="877"/>
      <c r="M9" s="877"/>
      <c r="N9" s="322"/>
      <c r="O9" s="322"/>
      <c r="P9" s="322"/>
      <c r="Q9" s="877"/>
      <c r="R9" s="878"/>
      <c r="S9" s="343"/>
      <c r="T9" s="322"/>
      <c r="U9" s="344"/>
      <c r="V9" s="344"/>
      <c r="W9" s="929"/>
      <c r="X9" s="930"/>
      <c r="Y9" s="343"/>
      <c r="Z9" s="322"/>
      <c r="AA9" s="322"/>
      <c r="AB9" s="322"/>
      <c r="AC9" s="322"/>
      <c r="AD9" s="322"/>
      <c r="AE9" s="322"/>
      <c r="AF9" s="344"/>
      <c r="AG9" s="657"/>
      <c r="AH9" s="322"/>
      <c r="AI9" s="322"/>
      <c r="AJ9" s="322"/>
      <c r="AK9" s="322"/>
      <c r="AL9" s="322"/>
      <c r="AM9" s="322"/>
      <c r="AN9" s="344"/>
      <c r="AO9" s="657"/>
      <c r="AP9" s="322"/>
      <c r="AQ9" s="322"/>
      <c r="AR9" s="322"/>
      <c r="AS9" s="322"/>
      <c r="AT9" s="322"/>
      <c r="AU9" s="322"/>
      <c r="AV9" s="344"/>
      <c r="AW9" s="657"/>
      <c r="AX9" s="322"/>
      <c r="AY9" s="322"/>
      <c r="AZ9" s="322"/>
      <c r="BA9" s="322"/>
      <c r="BB9" s="322"/>
      <c r="BC9" s="322"/>
      <c r="BD9" s="344"/>
      <c r="BE9" s="970"/>
      <c r="BF9" s="20"/>
    </row>
    <row r="10" spans="1:135" ht="87" customHeight="1">
      <c r="B10" s="838"/>
      <c r="C10" s="953" t="s">
        <v>115</v>
      </c>
      <c r="D10" s="875" t="s">
        <v>248</v>
      </c>
      <c r="E10" s="820" t="s">
        <v>249</v>
      </c>
      <c r="F10" s="1077"/>
      <c r="G10" s="322"/>
      <c r="H10" s="322"/>
      <c r="I10" s="322"/>
      <c r="J10" s="322"/>
      <c r="K10" s="322"/>
      <c r="L10" s="877"/>
      <c r="M10" s="877"/>
      <c r="N10" s="322">
        <v>3</v>
      </c>
      <c r="O10" s="322">
        <v>0.5</v>
      </c>
      <c r="P10" s="322"/>
      <c r="Q10" s="877"/>
      <c r="R10" s="878"/>
      <c r="S10" s="343"/>
      <c r="T10" s="322">
        <v>6</v>
      </c>
      <c r="U10" s="344">
        <v>1</v>
      </c>
      <c r="V10" s="344">
        <v>4</v>
      </c>
      <c r="W10" s="929"/>
      <c r="X10" s="930"/>
      <c r="Y10" s="343"/>
      <c r="Z10" s="322"/>
      <c r="AA10" s="322"/>
      <c r="AB10" s="322"/>
      <c r="AC10" s="322"/>
      <c r="AD10" s="322"/>
      <c r="AE10" s="322"/>
      <c r="AF10" s="344"/>
      <c r="AG10" s="657"/>
      <c r="AH10" s="322"/>
      <c r="AI10" s="322"/>
      <c r="AJ10" s="322"/>
      <c r="AK10" s="322"/>
      <c r="AL10" s="322"/>
      <c r="AM10" s="322"/>
      <c r="AN10" s="344"/>
      <c r="AO10" s="657"/>
      <c r="AP10" s="322"/>
      <c r="AQ10" s="322"/>
      <c r="AR10" s="322"/>
      <c r="AS10" s="322"/>
      <c r="AT10" s="322"/>
      <c r="AU10" s="322"/>
      <c r="AV10" s="344"/>
      <c r="AW10" s="657"/>
      <c r="AX10" s="322"/>
      <c r="AY10" s="322"/>
      <c r="AZ10" s="322"/>
      <c r="BA10" s="322"/>
      <c r="BB10" s="322"/>
      <c r="BC10" s="322"/>
      <c r="BD10" s="344"/>
      <c r="BE10" s="970"/>
      <c r="BF10" s="20"/>
    </row>
    <row r="11" spans="1:135" ht="18.5">
      <c r="B11" s="838"/>
      <c r="C11" s="953" t="s">
        <v>116</v>
      </c>
      <c r="D11" s="875" t="s">
        <v>248</v>
      </c>
      <c r="E11" s="820" t="s">
        <v>249</v>
      </c>
      <c r="F11" s="1077"/>
      <c r="G11" s="322"/>
      <c r="H11" s="322"/>
      <c r="I11" s="322"/>
      <c r="J11" s="322"/>
      <c r="K11" s="322"/>
      <c r="L11" s="877"/>
      <c r="M11" s="877"/>
      <c r="N11" s="322"/>
      <c r="O11" s="322"/>
      <c r="P11" s="322"/>
      <c r="Q11" s="877"/>
      <c r="R11" s="878"/>
      <c r="S11" s="343"/>
      <c r="T11" s="322"/>
      <c r="U11" s="344"/>
      <c r="V11" s="344"/>
      <c r="W11" s="929"/>
      <c r="X11" s="930"/>
      <c r="Y11" s="343"/>
      <c r="Z11" s="322"/>
      <c r="AA11" s="322"/>
      <c r="AB11" s="322"/>
      <c r="AC11" s="322"/>
      <c r="AD11" s="322"/>
      <c r="AE11" s="322"/>
      <c r="AF11" s="344"/>
      <c r="AG11" s="657"/>
      <c r="AH11" s="322"/>
      <c r="AI11" s="322"/>
      <c r="AJ11" s="322"/>
      <c r="AK11" s="322"/>
      <c r="AL11" s="322"/>
      <c r="AM11" s="322"/>
      <c r="AN11" s="344"/>
      <c r="AO11" s="657"/>
      <c r="AP11" s="322"/>
      <c r="AQ11" s="322"/>
      <c r="AR11" s="322"/>
      <c r="AS11" s="322"/>
      <c r="AT11" s="322"/>
      <c r="AU11" s="322"/>
      <c r="AV11" s="344"/>
      <c r="AW11" s="657"/>
      <c r="AX11" s="322"/>
      <c r="AY11" s="322"/>
      <c r="AZ11" s="322"/>
      <c r="BA11" s="322"/>
      <c r="BB11" s="322"/>
      <c r="BC11" s="322"/>
      <c r="BD11" s="344"/>
      <c r="BE11" s="970"/>
      <c r="BF11" s="20"/>
    </row>
    <row r="12" spans="1:135" ht="18.5">
      <c r="B12" s="838"/>
      <c r="C12" s="953" t="s">
        <v>117</v>
      </c>
      <c r="D12" s="875" t="s">
        <v>248</v>
      </c>
      <c r="E12" s="820" t="s">
        <v>249</v>
      </c>
      <c r="F12" s="1077"/>
      <c r="G12" s="322"/>
      <c r="H12" s="322"/>
      <c r="I12" s="322"/>
      <c r="J12" s="322"/>
      <c r="K12" s="322"/>
      <c r="L12" s="877"/>
      <c r="M12" s="877"/>
      <c r="N12" s="322"/>
      <c r="O12" s="322"/>
      <c r="P12" s="322"/>
      <c r="Q12" s="877"/>
      <c r="R12" s="878"/>
      <c r="S12" s="343"/>
      <c r="T12" s="322"/>
      <c r="U12" s="344"/>
      <c r="V12" s="344"/>
      <c r="W12" s="929"/>
      <c r="X12" s="930"/>
      <c r="Y12" s="343"/>
      <c r="Z12" s="322"/>
      <c r="AA12" s="322"/>
      <c r="AB12" s="322"/>
      <c r="AC12" s="322"/>
      <c r="AD12" s="322"/>
      <c r="AE12" s="322"/>
      <c r="AF12" s="344"/>
      <c r="AG12" s="657"/>
      <c r="AH12" s="322"/>
      <c r="AI12" s="322"/>
      <c r="AJ12" s="322"/>
      <c r="AK12" s="322"/>
      <c r="AL12" s="322"/>
      <c r="AM12" s="322"/>
      <c r="AN12" s="344"/>
      <c r="AO12" s="657"/>
      <c r="AP12" s="322"/>
      <c r="AQ12" s="322"/>
      <c r="AR12" s="322"/>
      <c r="AS12" s="322"/>
      <c r="AT12" s="322"/>
      <c r="AU12" s="322"/>
      <c r="AV12" s="344"/>
      <c r="AW12" s="657"/>
      <c r="AX12" s="322"/>
      <c r="AY12" s="322"/>
      <c r="AZ12" s="322"/>
      <c r="BA12" s="322"/>
      <c r="BB12" s="322"/>
      <c r="BC12" s="322"/>
      <c r="BD12" s="344"/>
      <c r="BE12" s="970"/>
      <c r="BF12" s="20"/>
    </row>
    <row r="13" spans="1:135" ht="18.5">
      <c r="B13" s="838"/>
      <c r="C13" s="953" t="s">
        <v>118</v>
      </c>
      <c r="D13" s="875" t="s">
        <v>248</v>
      </c>
      <c r="E13" s="820" t="s">
        <v>249</v>
      </c>
      <c r="F13" s="1077"/>
      <c r="G13" s="322"/>
      <c r="H13" s="322"/>
      <c r="I13" s="322"/>
      <c r="J13" s="322"/>
      <c r="K13" s="322"/>
      <c r="L13" s="877"/>
      <c r="M13" s="877"/>
      <c r="N13" s="322"/>
      <c r="O13" s="322"/>
      <c r="P13" s="322"/>
      <c r="Q13" s="877"/>
      <c r="R13" s="878"/>
      <c r="S13" s="343"/>
      <c r="T13" s="322"/>
      <c r="U13" s="344"/>
      <c r="V13" s="344"/>
      <c r="W13" s="929"/>
      <c r="X13" s="930"/>
      <c r="Y13" s="343"/>
      <c r="Z13" s="322"/>
      <c r="AA13" s="322"/>
      <c r="AB13" s="322"/>
      <c r="AC13" s="322"/>
      <c r="AD13" s="322"/>
      <c r="AE13" s="322"/>
      <c r="AF13" s="344"/>
      <c r="AG13" s="657"/>
      <c r="AH13" s="322"/>
      <c r="AI13" s="322"/>
      <c r="AJ13" s="322"/>
      <c r="AK13" s="322"/>
      <c r="AL13" s="322"/>
      <c r="AM13" s="322"/>
      <c r="AN13" s="344"/>
      <c r="AO13" s="657"/>
      <c r="AP13" s="322"/>
      <c r="AQ13" s="322"/>
      <c r="AR13" s="322"/>
      <c r="AS13" s="322"/>
      <c r="AT13" s="322"/>
      <c r="AU13" s="322"/>
      <c r="AV13" s="344"/>
      <c r="AW13" s="657"/>
      <c r="AX13" s="322"/>
      <c r="AY13" s="322"/>
      <c r="AZ13" s="322"/>
      <c r="BA13" s="322"/>
      <c r="BB13" s="322"/>
      <c r="BC13" s="322"/>
      <c r="BD13" s="344"/>
      <c r="BE13" s="970"/>
      <c r="BF13" s="20"/>
    </row>
    <row r="14" spans="1:135" ht="18.5">
      <c r="B14" s="838">
        <v>5.2</v>
      </c>
      <c r="C14" s="953" t="s">
        <v>86</v>
      </c>
      <c r="D14" s="875" t="s">
        <v>248</v>
      </c>
      <c r="E14" s="820" t="s">
        <v>249</v>
      </c>
      <c r="F14" s="1077"/>
      <c r="G14" s="322"/>
      <c r="H14" s="322"/>
      <c r="I14" s="322"/>
      <c r="J14" s="322"/>
      <c r="K14" s="322"/>
      <c r="L14" s="877"/>
      <c r="M14" s="877"/>
      <c r="N14" s="322"/>
      <c r="O14" s="322"/>
      <c r="P14" s="322"/>
      <c r="Q14" s="877"/>
      <c r="R14" s="878"/>
      <c r="S14" s="343"/>
      <c r="T14" s="322"/>
      <c r="U14" s="344"/>
      <c r="V14" s="344"/>
      <c r="W14" s="929"/>
      <c r="X14" s="930"/>
      <c r="Y14" s="343"/>
      <c r="Z14" s="322"/>
      <c r="AA14" s="322"/>
      <c r="AB14" s="322"/>
      <c r="AC14" s="322"/>
      <c r="AD14" s="322"/>
      <c r="AE14" s="322"/>
      <c r="AF14" s="344"/>
      <c r="AG14" s="657"/>
      <c r="AH14" s="322"/>
      <c r="AI14" s="322"/>
      <c r="AJ14" s="322"/>
      <c r="AK14" s="322"/>
      <c r="AL14" s="322"/>
      <c r="AM14" s="322"/>
      <c r="AN14" s="344"/>
      <c r="AO14" s="657"/>
      <c r="AP14" s="322"/>
      <c r="AQ14" s="322"/>
      <c r="AR14" s="322"/>
      <c r="AS14" s="322"/>
      <c r="AT14" s="322"/>
      <c r="AU14" s="322"/>
      <c r="AV14" s="344"/>
      <c r="AW14" s="657"/>
      <c r="AX14" s="322"/>
      <c r="AY14" s="322"/>
      <c r="AZ14" s="322"/>
      <c r="BA14" s="322"/>
      <c r="BB14" s="322"/>
      <c r="BC14" s="322"/>
      <c r="BD14" s="344"/>
      <c r="BE14" s="970"/>
      <c r="BF14" s="20"/>
    </row>
    <row r="15" spans="1:135" ht="18.5">
      <c r="B15" s="838"/>
      <c r="C15" s="953" t="s">
        <v>87</v>
      </c>
      <c r="D15" s="875" t="s">
        <v>248</v>
      </c>
      <c r="E15" s="820" t="s">
        <v>249</v>
      </c>
      <c r="F15" s="1077"/>
      <c r="G15" s="322">
        <v>0.5</v>
      </c>
      <c r="H15" s="322">
        <v>3</v>
      </c>
      <c r="I15" s="322">
        <v>7</v>
      </c>
      <c r="J15" s="322"/>
      <c r="K15" s="322">
        <v>3</v>
      </c>
      <c r="L15" s="877"/>
      <c r="M15" s="877"/>
      <c r="N15" s="322"/>
      <c r="O15" s="322"/>
      <c r="P15" s="322"/>
      <c r="Q15" s="877"/>
      <c r="R15" s="878"/>
      <c r="S15" s="343"/>
      <c r="T15" s="322"/>
      <c r="U15" s="344"/>
      <c r="V15" s="344"/>
      <c r="W15" s="929"/>
      <c r="X15" s="930"/>
      <c r="Y15" s="343"/>
      <c r="Z15" s="322"/>
      <c r="AA15" s="322"/>
      <c r="AB15" s="322"/>
      <c r="AC15" s="322"/>
      <c r="AD15" s="322"/>
      <c r="AE15" s="322"/>
      <c r="AF15" s="344"/>
      <c r="AG15" s="657"/>
      <c r="AH15" s="322"/>
      <c r="AI15" s="322"/>
      <c r="AJ15" s="322"/>
      <c r="AK15" s="322"/>
      <c r="AL15" s="322"/>
      <c r="AM15" s="322"/>
      <c r="AN15" s="344"/>
      <c r="AO15" s="657"/>
      <c r="AP15" s="322"/>
      <c r="AQ15" s="322"/>
      <c r="AR15" s="322"/>
      <c r="AS15" s="322"/>
      <c r="AT15" s="322"/>
      <c r="AU15" s="322"/>
      <c r="AV15" s="344"/>
      <c r="AW15" s="657"/>
      <c r="AX15" s="322"/>
      <c r="AY15" s="322"/>
      <c r="AZ15" s="322"/>
      <c r="BA15" s="322"/>
      <c r="BB15" s="322"/>
      <c r="BC15" s="322"/>
      <c r="BD15" s="344"/>
      <c r="BE15" s="970"/>
      <c r="BF15" s="20"/>
    </row>
    <row r="16" spans="1:135" ht="18.5">
      <c r="B16" s="838"/>
      <c r="C16" s="953" t="s">
        <v>179</v>
      </c>
      <c r="D16" s="875" t="s">
        <v>248</v>
      </c>
      <c r="E16" s="820" t="s">
        <v>249</v>
      </c>
      <c r="F16" s="1077"/>
      <c r="G16" s="322">
        <v>0.5</v>
      </c>
      <c r="H16" s="322">
        <v>1</v>
      </c>
      <c r="I16" s="322">
        <v>3</v>
      </c>
      <c r="J16" s="322"/>
      <c r="K16" s="322">
        <v>2</v>
      </c>
      <c r="L16" s="877"/>
      <c r="M16" s="877"/>
      <c r="N16" s="322"/>
      <c r="O16" s="322"/>
      <c r="P16" s="322"/>
      <c r="Q16" s="877"/>
      <c r="R16" s="878"/>
      <c r="S16" s="343"/>
      <c r="T16" s="322"/>
      <c r="U16" s="344"/>
      <c r="V16" s="344"/>
      <c r="W16" s="929"/>
      <c r="X16" s="930"/>
      <c r="Y16" s="343"/>
      <c r="Z16" s="322"/>
      <c r="AA16" s="322"/>
      <c r="AB16" s="322"/>
      <c r="AC16" s="322"/>
      <c r="AD16" s="322"/>
      <c r="AE16" s="322"/>
      <c r="AF16" s="344"/>
      <c r="AG16" s="657"/>
      <c r="AH16" s="322"/>
      <c r="AI16" s="322"/>
      <c r="AJ16" s="322"/>
      <c r="AK16" s="322"/>
      <c r="AL16" s="322"/>
      <c r="AM16" s="322"/>
      <c r="AN16" s="344"/>
      <c r="AO16" s="657"/>
      <c r="AP16" s="322"/>
      <c r="AQ16" s="322"/>
      <c r="AR16" s="322"/>
      <c r="AS16" s="322"/>
      <c r="AT16" s="322"/>
      <c r="AU16" s="322"/>
      <c r="AV16" s="344"/>
      <c r="AW16" s="657"/>
      <c r="AX16" s="322"/>
      <c r="AY16" s="322"/>
      <c r="AZ16" s="322"/>
      <c r="BA16" s="322"/>
      <c r="BB16" s="322"/>
      <c r="BC16" s="322"/>
      <c r="BD16" s="344"/>
      <c r="BE16" s="970">
        <v>1</v>
      </c>
      <c r="BF16" s="20"/>
    </row>
    <row r="17" spans="2:65" ht="18.5">
      <c r="B17" s="838"/>
      <c r="C17" s="953" t="s">
        <v>180</v>
      </c>
      <c r="D17" s="875" t="s">
        <v>248</v>
      </c>
      <c r="E17" s="820" t="s">
        <v>249</v>
      </c>
      <c r="F17" s="1077"/>
      <c r="G17" s="322">
        <v>0.5</v>
      </c>
      <c r="H17" s="322">
        <v>2</v>
      </c>
      <c r="I17" s="322">
        <v>6</v>
      </c>
      <c r="J17" s="322"/>
      <c r="K17" s="322">
        <v>2</v>
      </c>
      <c r="L17" s="877"/>
      <c r="M17" s="877"/>
      <c r="N17" s="322"/>
      <c r="O17" s="322"/>
      <c r="P17" s="322"/>
      <c r="Q17" s="877"/>
      <c r="R17" s="878"/>
      <c r="S17" s="343"/>
      <c r="T17" s="322"/>
      <c r="U17" s="344"/>
      <c r="V17" s="344"/>
      <c r="W17" s="929"/>
      <c r="X17" s="930"/>
      <c r="Y17" s="343"/>
      <c r="Z17" s="322"/>
      <c r="AA17" s="322"/>
      <c r="AB17" s="322"/>
      <c r="AC17" s="322"/>
      <c r="AD17" s="322"/>
      <c r="AE17" s="322"/>
      <c r="AF17" s="344"/>
      <c r="AG17" s="657"/>
      <c r="AH17" s="322"/>
      <c r="AI17" s="322"/>
      <c r="AJ17" s="322"/>
      <c r="AK17" s="322"/>
      <c r="AL17" s="322"/>
      <c r="AM17" s="322"/>
      <c r="AN17" s="344"/>
      <c r="AO17" s="657"/>
      <c r="AP17" s="322"/>
      <c r="AQ17" s="322"/>
      <c r="AR17" s="322"/>
      <c r="AS17" s="322"/>
      <c r="AT17" s="322"/>
      <c r="AU17" s="322"/>
      <c r="AV17" s="344"/>
      <c r="AW17" s="657"/>
      <c r="AX17" s="322"/>
      <c r="AY17" s="322"/>
      <c r="AZ17" s="322"/>
      <c r="BA17" s="322"/>
      <c r="BB17" s="322"/>
      <c r="BC17" s="322"/>
      <c r="BD17" s="344"/>
      <c r="BE17" s="970">
        <v>1</v>
      </c>
      <c r="BF17" s="20"/>
    </row>
    <row r="18" spans="2:65" ht="18.5">
      <c r="B18" s="838"/>
      <c r="C18" s="953" t="s">
        <v>181</v>
      </c>
      <c r="D18" s="875" t="s">
        <v>248</v>
      </c>
      <c r="E18" s="820" t="s">
        <v>249</v>
      </c>
      <c r="F18" s="1077"/>
      <c r="G18" s="322">
        <v>0.5</v>
      </c>
      <c r="H18" s="322">
        <v>1</v>
      </c>
      <c r="I18" s="322">
        <v>3</v>
      </c>
      <c r="J18" s="322"/>
      <c r="K18" s="322">
        <v>1</v>
      </c>
      <c r="L18" s="877"/>
      <c r="M18" s="877"/>
      <c r="N18" s="322"/>
      <c r="O18" s="322"/>
      <c r="P18" s="322"/>
      <c r="Q18" s="877"/>
      <c r="R18" s="878"/>
      <c r="S18" s="343"/>
      <c r="T18" s="322"/>
      <c r="U18" s="344"/>
      <c r="V18" s="344"/>
      <c r="W18" s="929"/>
      <c r="X18" s="930"/>
      <c r="Y18" s="343"/>
      <c r="Z18" s="322"/>
      <c r="AA18" s="322"/>
      <c r="AB18" s="322"/>
      <c r="AC18" s="322"/>
      <c r="AD18" s="322"/>
      <c r="AE18" s="322"/>
      <c r="AF18" s="344"/>
      <c r="AG18" s="657"/>
      <c r="AH18" s="322"/>
      <c r="AI18" s="322"/>
      <c r="AJ18" s="322"/>
      <c r="AK18" s="322"/>
      <c r="AL18" s="322"/>
      <c r="AM18" s="322"/>
      <c r="AN18" s="344"/>
      <c r="AO18" s="657"/>
      <c r="AP18" s="322"/>
      <c r="AQ18" s="322"/>
      <c r="AR18" s="322"/>
      <c r="AS18" s="322"/>
      <c r="AT18" s="322"/>
      <c r="AU18" s="322"/>
      <c r="AV18" s="344"/>
      <c r="AW18" s="657"/>
      <c r="AX18" s="322"/>
      <c r="AY18" s="322"/>
      <c r="AZ18" s="322"/>
      <c r="BA18" s="322"/>
      <c r="BB18" s="322"/>
      <c r="BC18" s="322"/>
      <c r="BD18" s="344"/>
      <c r="BE18" s="970"/>
      <c r="BF18" s="20"/>
    </row>
    <row r="19" spans="2:65" ht="18.75" customHeight="1">
      <c r="B19" s="907">
        <v>6</v>
      </c>
      <c r="C19" s="954" t="s">
        <v>192</v>
      </c>
      <c r="D19" s="815" t="s">
        <v>212</v>
      </c>
      <c r="E19" s="822" t="s">
        <v>249</v>
      </c>
      <c r="F19" s="909"/>
      <c r="G19" s="254"/>
      <c r="H19" s="254"/>
      <c r="I19" s="254"/>
      <c r="J19" s="254"/>
      <c r="K19" s="254"/>
      <c r="L19" s="255"/>
      <c r="M19" s="255"/>
      <c r="N19" s="254"/>
      <c r="O19" s="254"/>
      <c r="P19" s="254"/>
      <c r="Q19" s="254"/>
      <c r="R19" s="264"/>
      <c r="S19" s="437"/>
      <c r="T19" s="254"/>
      <c r="U19" s="267"/>
      <c r="V19" s="267"/>
      <c r="W19" s="927"/>
      <c r="X19" s="928"/>
      <c r="Y19" s="349"/>
      <c r="Z19" s="254"/>
      <c r="AA19" s="254"/>
      <c r="AB19" s="254"/>
      <c r="AC19" s="254"/>
      <c r="AD19" s="254"/>
      <c r="AE19" s="254"/>
      <c r="AF19" s="267"/>
      <c r="AG19" s="348"/>
      <c r="AH19" s="254"/>
      <c r="AI19" s="254"/>
      <c r="AJ19" s="254"/>
      <c r="AK19" s="254"/>
      <c r="AL19" s="254"/>
      <c r="AM19" s="254"/>
      <c r="AN19" s="267"/>
      <c r="AO19" s="348"/>
      <c r="AP19" s="254"/>
      <c r="AQ19" s="254"/>
      <c r="AR19" s="254"/>
      <c r="AS19" s="254"/>
      <c r="AT19" s="254"/>
      <c r="AU19" s="254"/>
      <c r="AV19" s="267"/>
      <c r="AW19" s="348"/>
      <c r="AX19" s="254"/>
      <c r="AY19" s="254"/>
      <c r="AZ19" s="254"/>
      <c r="BA19" s="254"/>
      <c r="BB19" s="254"/>
      <c r="BC19" s="254"/>
      <c r="BD19" s="267"/>
      <c r="BE19" s="967"/>
      <c r="BF19" s="20"/>
      <c r="BG19" s="141"/>
      <c r="BK19" s="141"/>
      <c r="BL19" s="141"/>
      <c r="BM19" s="141"/>
    </row>
    <row r="20" spans="2:65" ht="18.75" customHeight="1">
      <c r="B20" s="879">
        <v>6.1</v>
      </c>
      <c r="C20" s="955" t="s">
        <v>193</v>
      </c>
      <c r="D20" s="816" t="s">
        <v>212</v>
      </c>
      <c r="E20" s="823" t="s">
        <v>249</v>
      </c>
      <c r="F20" s="1099">
        <v>1</v>
      </c>
      <c r="G20" s="246"/>
      <c r="H20" s="246"/>
      <c r="I20" s="246"/>
      <c r="J20" s="246"/>
      <c r="K20" s="246"/>
      <c r="L20" s="247"/>
      <c r="M20" s="247"/>
      <c r="N20" s="246"/>
      <c r="O20" s="246"/>
      <c r="P20" s="246"/>
      <c r="Q20" s="246"/>
      <c r="R20" s="257"/>
      <c r="S20" s="438"/>
      <c r="T20" s="246"/>
      <c r="U20" s="268"/>
      <c r="V20" s="268"/>
      <c r="W20" s="931"/>
      <c r="X20" s="932"/>
      <c r="Y20" s="362"/>
      <c r="Z20" s="246"/>
      <c r="AA20" s="246"/>
      <c r="AB20" s="246"/>
      <c r="AC20" s="246"/>
      <c r="AD20" s="246"/>
      <c r="AE20" s="246"/>
      <c r="AF20" s="268"/>
      <c r="AG20" s="266"/>
      <c r="AH20" s="246"/>
      <c r="AI20" s="246"/>
      <c r="AJ20" s="246"/>
      <c r="AK20" s="246"/>
      <c r="AL20" s="246"/>
      <c r="AM20" s="246"/>
      <c r="AN20" s="268"/>
      <c r="AO20" s="266"/>
      <c r="AP20" s="246"/>
      <c r="AQ20" s="246"/>
      <c r="AR20" s="246"/>
      <c r="AS20" s="246"/>
      <c r="AT20" s="246"/>
      <c r="AU20" s="246"/>
      <c r="AV20" s="268"/>
      <c r="AW20" s="266"/>
      <c r="AX20" s="246"/>
      <c r="AY20" s="246"/>
      <c r="AZ20" s="246"/>
      <c r="BA20" s="246"/>
      <c r="BB20" s="246"/>
      <c r="BC20" s="246"/>
      <c r="BD20" s="268"/>
      <c r="BE20" s="971"/>
      <c r="BF20" s="20"/>
      <c r="BG20" s="141"/>
      <c r="BK20" s="141"/>
      <c r="BL20" s="141"/>
      <c r="BM20" s="141"/>
    </row>
    <row r="21" spans="2:65" ht="18.75" customHeight="1">
      <c r="B21" s="879"/>
      <c r="C21" s="955" t="s">
        <v>194</v>
      </c>
      <c r="D21" s="816" t="s">
        <v>212</v>
      </c>
      <c r="E21" s="823" t="s">
        <v>249</v>
      </c>
      <c r="F21" s="1100"/>
      <c r="G21" s="246">
        <v>0.5</v>
      </c>
      <c r="H21" s="246">
        <v>1</v>
      </c>
      <c r="I21" s="246">
        <v>2</v>
      </c>
      <c r="J21" s="246"/>
      <c r="K21" s="246">
        <v>0.5</v>
      </c>
      <c r="L21" s="247"/>
      <c r="M21" s="247"/>
      <c r="N21" s="246"/>
      <c r="O21" s="246"/>
      <c r="P21" s="246"/>
      <c r="Q21" s="246"/>
      <c r="R21" s="257"/>
      <c r="S21" s="438"/>
      <c r="T21" s="246"/>
      <c r="U21" s="268"/>
      <c r="V21" s="268"/>
      <c r="W21" s="931"/>
      <c r="X21" s="932"/>
      <c r="Y21" s="362"/>
      <c r="Z21" s="246"/>
      <c r="AA21" s="246"/>
      <c r="AB21" s="246"/>
      <c r="AC21" s="246"/>
      <c r="AD21" s="246"/>
      <c r="AE21" s="246"/>
      <c r="AF21" s="268"/>
      <c r="AG21" s="266"/>
      <c r="AH21" s="246"/>
      <c r="AI21" s="246"/>
      <c r="AJ21" s="246"/>
      <c r="AK21" s="246"/>
      <c r="AL21" s="246"/>
      <c r="AM21" s="246"/>
      <c r="AN21" s="268"/>
      <c r="AO21" s="266"/>
      <c r="AP21" s="246"/>
      <c r="AQ21" s="246"/>
      <c r="AR21" s="246"/>
      <c r="AS21" s="246"/>
      <c r="AT21" s="246"/>
      <c r="AU21" s="246"/>
      <c r="AV21" s="268"/>
      <c r="AW21" s="266"/>
      <c r="AX21" s="246"/>
      <c r="AY21" s="246"/>
      <c r="AZ21" s="246"/>
      <c r="BA21" s="246"/>
      <c r="BB21" s="246"/>
      <c r="BC21" s="246"/>
      <c r="BD21" s="268"/>
      <c r="BE21" s="971"/>
      <c r="BF21" s="20"/>
      <c r="BG21" s="141"/>
      <c r="BK21" s="141"/>
      <c r="BL21" s="141"/>
      <c r="BM21" s="141"/>
    </row>
    <row r="22" spans="2:65" ht="18.649999999999999" customHeight="1">
      <c r="B22" s="879">
        <v>6.2</v>
      </c>
      <c r="C22" s="956" t="s">
        <v>195</v>
      </c>
      <c r="D22" s="882" t="s">
        <v>212</v>
      </c>
      <c r="E22" s="823" t="s">
        <v>249</v>
      </c>
      <c r="F22" s="1100"/>
      <c r="G22" s="246"/>
      <c r="H22" s="246"/>
      <c r="I22" s="246"/>
      <c r="J22" s="246"/>
      <c r="K22" s="246"/>
      <c r="L22" s="247"/>
      <c r="M22" s="247"/>
      <c r="N22" s="246"/>
      <c r="O22" s="246"/>
      <c r="P22" s="246"/>
      <c r="Q22" s="246"/>
      <c r="R22" s="257"/>
      <c r="S22" s="438"/>
      <c r="T22" s="246"/>
      <c r="U22" s="268"/>
      <c r="V22" s="268"/>
      <c r="W22" s="931"/>
      <c r="X22" s="932"/>
      <c r="Y22" s="362"/>
      <c r="Z22" s="246"/>
      <c r="AA22" s="246"/>
      <c r="AB22" s="246"/>
      <c r="AC22" s="246"/>
      <c r="AD22" s="246"/>
      <c r="AE22" s="246"/>
      <c r="AF22" s="268"/>
      <c r="AG22" s="266"/>
      <c r="AH22" s="246"/>
      <c r="AI22" s="246"/>
      <c r="AJ22" s="246"/>
      <c r="AK22" s="246"/>
      <c r="AL22" s="246"/>
      <c r="AM22" s="246"/>
      <c r="AN22" s="268"/>
      <c r="AO22" s="266"/>
      <c r="AP22" s="246"/>
      <c r="AQ22" s="246"/>
      <c r="AR22" s="246"/>
      <c r="AS22" s="246"/>
      <c r="AT22" s="246"/>
      <c r="AU22" s="246"/>
      <c r="AV22" s="268"/>
      <c r="AW22" s="266"/>
      <c r="AX22" s="246"/>
      <c r="AY22" s="246"/>
      <c r="AZ22" s="246"/>
      <c r="BA22" s="246"/>
      <c r="BB22" s="246"/>
      <c r="BC22" s="246"/>
      <c r="BD22" s="268"/>
      <c r="BE22" s="971"/>
      <c r="BF22" s="20"/>
      <c r="BG22" s="141"/>
      <c r="BK22" s="141"/>
      <c r="BL22" s="141"/>
      <c r="BM22" s="141"/>
    </row>
    <row r="23" spans="2:65" ht="29.15" customHeight="1">
      <c r="B23" s="879"/>
      <c r="C23" s="955" t="s">
        <v>196</v>
      </c>
      <c r="D23" s="816" t="s">
        <v>212</v>
      </c>
      <c r="E23" s="823" t="s">
        <v>249</v>
      </c>
      <c r="F23" s="1100"/>
      <c r="G23" s="246"/>
      <c r="H23" s="246"/>
      <c r="I23" s="246"/>
      <c r="J23" s="246"/>
      <c r="K23" s="246"/>
      <c r="L23" s="247"/>
      <c r="M23" s="247"/>
      <c r="N23" s="246"/>
      <c r="O23" s="246"/>
      <c r="P23" s="246"/>
      <c r="Q23" s="246"/>
      <c r="R23" s="257"/>
      <c r="S23" s="438"/>
      <c r="T23" s="246"/>
      <c r="U23" s="268"/>
      <c r="V23" s="268"/>
      <c r="W23" s="931"/>
      <c r="X23" s="932"/>
      <c r="Y23" s="362"/>
      <c r="Z23" s="246"/>
      <c r="AA23" s="246"/>
      <c r="AB23" s="246"/>
      <c r="AC23" s="246"/>
      <c r="AD23" s="246"/>
      <c r="AE23" s="246"/>
      <c r="AF23" s="268"/>
      <c r="AG23" s="266"/>
      <c r="AH23" s="246"/>
      <c r="AI23" s="246"/>
      <c r="AJ23" s="246"/>
      <c r="AK23" s="246"/>
      <c r="AL23" s="246"/>
      <c r="AM23" s="246"/>
      <c r="AN23" s="268"/>
      <c r="AO23" s="266"/>
      <c r="AP23" s="246"/>
      <c r="AQ23" s="246"/>
      <c r="AR23" s="246"/>
      <c r="AS23" s="246"/>
      <c r="AT23" s="246"/>
      <c r="AU23" s="246"/>
      <c r="AV23" s="268"/>
      <c r="AW23" s="883"/>
      <c r="AX23" s="884"/>
      <c r="AY23" s="884"/>
      <c r="AZ23" s="884"/>
      <c r="BA23" s="884"/>
      <c r="BB23" s="884"/>
      <c r="BC23" s="884"/>
      <c r="BD23" s="963"/>
      <c r="BE23" s="972"/>
      <c r="BF23" s="20"/>
      <c r="BG23" s="770"/>
      <c r="BK23" s="141"/>
      <c r="BL23" s="141"/>
      <c r="BM23" s="141"/>
    </row>
    <row r="24" spans="2:65" ht="18.75" customHeight="1">
      <c r="B24" s="879"/>
      <c r="C24" s="955" t="s">
        <v>197</v>
      </c>
      <c r="D24" s="816" t="s">
        <v>212</v>
      </c>
      <c r="E24" s="823" t="s">
        <v>249</v>
      </c>
      <c r="F24" s="1100"/>
      <c r="G24" s="944">
        <v>1</v>
      </c>
      <c r="H24" s="944">
        <v>1</v>
      </c>
      <c r="I24" s="944">
        <v>3</v>
      </c>
      <c r="J24" s="944"/>
      <c r="K24" s="944">
        <v>1</v>
      </c>
      <c r="L24" s="247"/>
      <c r="M24" s="247"/>
      <c r="N24" s="246">
        <v>1</v>
      </c>
      <c r="O24" s="246"/>
      <c r="P24" s="246"/>
      <c r="Q24" s="246"/>
      <c r="R24" s="257"/>
      <c r="S24" s="438"/>
      <c r="T24" s="246">
        <v>1</v>
      </c>
      <c r="U24" s="268"/>
      <c r="V24" s="268"/>
      <c r="W24" s="931"/>
      <c r="X24" s="932"/>
      <c r="Y24" s="362"/>
      <c r="Z24" s="246">
        <v>0.25</v>
      </c>
      <c r="AA24" s="246">
        <v>0.25</v>
      </c>
      <c r="AB24" s="246"/>
      <c r="AC24" s="246"/>
      <c r="AD24" s="246"/>
      <c r="AE24" s="246"/>
      <c r="AF24" s="268"/>
      <c r="AG24" s="266"/>
      <c r="AH24" s="246">
        <v>0.5</v>
      </c>
      <c r="AI24" s="246">
        <v>1</v>
      </c>
      <c r="AJ24" s="246"/>
      <c r="AK24" s="246"/>
      <c r="AL24" s="246"/>
      <c r="AM24" s="246"/>
      <c r="AN24" s="268"/>
      <c r="AO24" s="266"/>
      <c r="AP24" s="246">
        <v>0.5</v>
      </c>
      <c r="AQ24" s="246">
        <v>1</v>
      </c>
      <c r="AR24" s="246">
        <v>0.5</v>
      </c>
      <c r="AS24" s="246"/>
      <c r="AT24" s="246"/>
      <c r="AU24" s="246"/>
      <c r="AV24" s="268"/>
      <c r="AW24" s="266"/>
      <c r="AX24" s="246"/>
      <c r="AY24" s="246"/>
      <c r="AZ24" s="944"/>
      <c r="BA24" s="944"/>
      <c r="BB24" s="246"/>
      <c r="BC24" s="246"/>
      <c r="BD24" s="268"/>
      <c r="BE24" s="971"/>
      <c r="BF24" s="20"/>
      <c r="BG24" s="141"/>
      <c r="BK24" s="141"/>
      <c r="BL24" s="141"/>
      <c r="BM24" s="141"/>
    </row>
    <row r="25" spans="2:65" ht="58">
      <c r="B25" s="879"/>
      <c r="C25" s="955" t="s">
        <v>198</v>
      </c>
      <c r="D25" s="816" t="s">
        <v>250</v>
      </c>
      <c r="E25" s="823" t="s">
        <v>249</v>
      </c>
      <c r="F25" s="1005"/>
      <c r="G25" s="1001"/>
      <c r="H25" s="1001"/>
      <c r="I25" s="1001"/>
      <c r="J25" s="991"/>
      <c r="K25" s="1001"/>
      <c r="L25" s="992"/>
      <c r="M25" s="993"/>
      <c r="N25" s="944"/>
      <c r="O25" s="944"/>
      <c r="P25" s="246"/>
      <c r="Q25" s="246"/>
      <c r="R25" s="257"/>
      <c r="S25" s="438"/>
      <c r="T25" s="246"/>
      <c r="U25" s="268"/>
      <c r="V25" s="268"/>
      <c r="W25" s="931"/>
      <c r="X25" s="932"/>
      <c r="Y25" s="362"/>
      <c r="Z25" s="246"/>
      <c r="AA25" s="246"/>
      <c r="AB25" s="246"/>
      <c r="AC25" s="246"/>
      <c r="AD25" s="246"/>
      <c r="AE25" s="246"/>
      <c r="AF25" s="268"/>
      <c r="AG25" s="266"/>
      <c r="AH25" s="246"/>
      <c r="AI25" s="246"/>
      <c r="AJ25" s="246"/>
      <c r="AK25" s="246"/>
      <c r="AL25" s="246"/>
      <c r="AM25" s="246"/>
      <c r="AN25" s="268"/>
      <c r="AO25" s="266"/>
      <c r="AP25" s="246"/>
      <c r="AQ25" s="246"/>
      <c r="AR25" s="246"/>
      <c r="AS25" s="246"/>
      <c r="AT25" s="246"/>
      <c r="AU25" s="246"/>
      <c r="AV25" s="268"/>
      <c r="AW25" s="266"/>
      <c r="AX25" s="246"/>
      <c r="AY25" s="268"/>
      <c r="AZ25" s="999"/>
      <c r="BA25" s="124"/>
      <c r="BB25" s="362"/>
      <c r="BC25" s="246"/>
      <c r="BD25" s="268"/>
      <c r="BE25" s="1000"/>
      <c r="BF25" s="20"/>
      <c r="BG25" s="141"/>
      <c r="BK25" s="141"/>
      <c r="BL25" s="141"/>
      <c r="BM25" s="141"/>
    </row>
    <row r="26" spans="2:65" ht="18.75" customHeight="1">
      <c r="B26" s="879"/>
      <c r="C26" s="955" t="s">
        <v>207</v>
      </c>
      <c r="D26" s="816" t="s">
        <v>212</v>
      </c>
      <c r="E26" s="990" t="s">
        <v>249</v>
      </c>
      <c r="F26" s="995"/>
      <c r="G26" s="492"/>
      <c r="H26" s="492"/>
      <c r="I26" s="492"/>
      <c r="J26" s="246"/>
      <c r="K26" s="492"/>
      <c r="L26" s="247"/>
      <c r="M26" s="247"/>
      <c r="N26" s="246"/>
      <c r="O26" s="492"/>
      <c r="P26" s="362"/>
      <c r="Q26" s="246"/>
      <c r="R26" s="257"/>
      <c r="S26" s="438"/>
      <c r="T26" s="246"/>
      <c r="U26" s="268"/>
      <c r="V26" s="268"/>
      <c r="W26" s="931"/>
      <c r="X26" s="932"/>
      <c r="Y26" s="362"/>
      <c r="Z26" s="246"/>
      <c r="AA26" s="246"/>
      <c r="AB26" s="246"/>
      <c r="AC26" s="246"/>
      <c r="AD26" s="246"/>
      <c r="AE26" s="246"/>
      <c r="AF26" s="268"/>
      <c r="AG26" s="266"/>
      <c r="AH26" s="246"/>
      <c r="AI26" s="246"/>
      <c r="AJ26" s="246"/>
      <c r="AK26" s="246"/>
      <c r="AL26" s="246"/>
      <c r="AM26" s="246"/>
      <c r="AN26" s="268"/>
      <c r="AO26" s="266"/>
      <c r="AP26" s="246"/>
      <c r="AQ26" s="246"/>
      <c r="AR26" s="246"/>
      <c r="AS26" s="246"/>
      <c r="AT26" s="246"/>
      <c r="AU26" s="246"/>
      <c r="AV26" s="268"/>
      <c r="AW26" s="266"/>
      <c r="AX26" s="246"/>
      <c r="AY26" s="268"/>
      <c r="AZ26" s="999"/>
      <c r="BA26" s="124"/>
      <c r="BB26" s="362"/>
      <c r="BC26" s="246"/>
      <c r="BD26" s="268"/>
      <c r="BE26" s="1002"/>
      <c r="BF26" s="20"/>
      <c r="BG26" s="777" t="s">
        <v>204</v>
      </c>
      <c r="BK26" s="141"/>
      <c r="BL26" s="141"/>
      <c r="BM26" s="141"/>
    </row>
    <row r="27" spans="2:65" ht="232" hidden="1">
      <c r="B27" s="985">
        <v>7</v>
      </c>
      <c r="C27" s="1004" t="s">
        <v>306</v>
      </c>
      <c r="D27" s="816" t="s">
        <v>212</v>
      </c>
      <c r="E27" s="990" t="s">
        <v>249</v>
      </c>
      <c r="F27" s="995"/>
      <c r="G27" s="492"/>
      <c r="H27" s="492"/>
      <c r="I27" s="492"/>
      <c r="J27" s="246"/>
      <c r="K27" s="492"/>
      <c r="L27" s="247"/>
      <c r="M27" s="247"/>
      <c r="N27" s="246"/>
      <c r="O27" s="492"/>
      <c r="P27" s="362"/>
      <c r="Q27" s="246"/>
      <c r="R27" s="257"/>
      <c r="S27" s="438"/>
      <c r="T27" s="246"/>
      <c r="U27" s="268"/>
      <c r="V27" s="268"/>
      <c r="W27" s="931"/>
      <c r="X27" s="932"/>
      <c r="Y27" s="362"/>
      <c r="Z27" s="246"/>
      <c r="AA27" s="246"/>
      <c r="AB27" s="246"/>
      <c r="AC27" s="246"/>
      <c r="AD27" s="246"/>
      <c r="AE27" s="246"/>
      <c r="AF27" s="268"/>
      <c r="AG27" s="266"/>
      <c r="AH27" s="246"/>
      <c r="AI27" s="246"/>
      <c r="AJ27" s="246"/>
      <c r="AK27" s="246"/>
      <c r="AL27" s="246"/>
      <c r="AM27" s="246"/>
      <c r="AN27" s="268"/>
      <c r="AO27" s="266"/>
      <c r="AP27" s="246"/>
      <c r="AQ27" s="246"/>
      <c r="AR27" s="246"/>
      <c r="AS27" s="246"/>
      <c r="AT27" s="246"/>
      <c r="AU27" s="246"/>
      <c r="AV27" s="268"/>
      <c r="AW27" s="266"/>
      <c r="AX27" s="246"/>
      <c r="AY27" s="268"/>
      <c r="AZ27" s="1003"/>
      <c r="BA27" s="980"/>
      <c r="BB27" s="362"/>
      <c r="BC27" s="246"/>
      <c r="BD27" s="268"/>
      <c r="BE27" s="1002"/>
      <c r="BF27" s="20"/>
      <c r="BG27" s="777"/>
      <c r="BK27" s="141"/>
      <c r="BL27" s="141"/>
      <c r="BM27" s="141"/>
    </row>
    <row r="28" spans="2:65">
      <c r="B28" s="837">
        <v>8</v>
      </c>
      <c r="C28" s="957" t="s">
        <v>53</v>
      </c>
      <c r="D28" s="816" t="s">
        <v>247</v>
      </c>
      <c r="E28" s="823" t="s">
        <v>249</v>
      </c>
      <c r="F28" s="811">
        <v>0</v>
      </c>
      <c r="G28" s="886">
        <v>0</v>
      </c>
      <c r="H28" s="886">
        <v>0</v>
      </c>
      <c r="I28" s="886">
        <v>0</v>
      </c>
      <c r="J28" s="886"/>
      <c r="K28" s="886"/>
      <c r="L28" s="886"/>
      <c r="M28" s="886"/>
      <c r="N28" s="886"/>
      <c r="O28" s="886"/>
      <c r="P28" s="810"/>
      <c r="Q28" s="886"/>
      <c r="R28" s="887"/>
      <c r="S28" s="810"/>
      <c r="T28" s="886">
        <v>3</v>
      </c>
      <c r="U28" s="888"/>
      <c r="V28" s="888"/>
      <c r="W28" s="933"/>
      <c r="X28" s="934"/>
      <c r="Y28" s="810"/>
      <c r="Z28" s="886"/>
      <c r="AA28" s="886"/>
      <c r="AB28" s="886"/>
      <c r="AC28" s="886"/>
      <c r="AD28" s="886"/>
      <c r="AE28" s="886"/>
      <c r="AF28" s="888"/>
      <c r="AG28" s="811"/>
      <c r="AH28" s="886"/>
      <c r="AI28" s="886"/>
      <c r="AJ28" s="886"/>
      <c r="AK28" s="886"/>
      <c r="AL28" s="886"/>
      <c r="AM28" s="886"/>
      <c r="AN28" s="888"/>
      <c r="AO28" s="811"/>
      <c r="AP28" s="886"/>
      <c r="AQ28" s="886"/>
      <c r="AR28" s="886"/>
      <c r="AS28" s="886"/>
      <c r="AT28" s="886"/>
      <c r="AU28" s="886"/>
      <c r="AV28" s="888"/>
      <c r="AW28" s="811"/>
      <c r="AX28" s="886"/>
      <c r="AY28" s="886"/>
      <c r="AZ28" s="945"/>
      <c r="BA28" s="945"/>
      <c r="BB28" s="886"/>
      <c r="BC28" s="886"/>
      <c r="BD28" s="888"/>
      <c r="BE28" s="973"/>
      <c r="BF28" s="20"/>
    </row>
    <row r="29" spans="2:65">
      <c r="B29" s="837">
        <v>9</v>
      </c>
      <c r="C29" s="957" t="s">
        <v>54</v>
      </c>
      <c r="D29" s="816" t="s">
        <v>247</v>
      </c>
      <c r="E29" s="823" t="s">
        <v>249</v>
      </c>
      <c r="F29" s="996">
        <v>1</v>
      </c>
      <c r="G29" s="945">
        <v>2</v>
      </c>
      <c r="H29" s="945">
        <v>1</v>
      </c>
      <c r="I29" s="945">
        <v>2</v>
      </c>
      <c r="J29" s="945"/>
      <c r="K29" s="945">
        <v>1</v>
      </c>
      <c r="L29" s="945"/>
      <c r="M29" s="945"/>
      <c r="N29" s="945"/>
      <c r="O29" s="945"/>
      <c r="P29" s="886"/>
      <c r="Q29" s="886"/>
      <c r="R29" s="887"/>
      <c r="S29" s="810"/>
      <c r="T29" s="886">
        <v>2</v>
      </c>
      <c r="U29" s="888"/>
      <c r="V29" s="888"/>
      <c r="W29" s="933"/>
      <c r="X29" s="934"/>
      <c r="Y29" s="810">
        <v>0.25</v>
      </c>
      <c r="Z29" s="886">
        <v>0.5</v>
      </c>
      <c r="AA29" s="886"/>
      <c r="AB29" s="886"/>
      <c r="AC29" s="886"/>
      <c r="AD29" s="886"/>
      <c r="AE29" s="886"/>
      <c r="AF29" s="888"/>
      <c r="AG29" s="811"/>
      <c r="AH29" s="886">
        <v>0.25</v>
      </c>
      <c r="AI29" s="886"/>
      <c r="AJ29" s="886"/>
      <c r="AK29" s="886"/>
      <c r="AL29" s="886"/>
      <c r="AM29" s="886"/>
      <c r="AN29" s="888"/>
      <c r="AO29" s="811"/>
      <c r="AP29" s="886">
        <v>0.25</v>
      </c>
      <c r="AQ29" s="886">
        <v>0.25</v>
      </c>
      <c r="AR29" s="886"/>
      <c r="AS29" s="886"/>
      <c r="AT29" s="886"/>
      <c r="AU29" s="886"/>
      <c r="AV29" s="888"/>
      <c r="AW29" s="811"/>
      <c r="AX29" s="886"/>
      <c r="AY29" s="886"/>
      <c r="AZ29" s="886"/>
      <c r="BA29" s="886"/>
      <c r="BB29" s="886"/>
      <c r="BC29" s="886"/>
      <c r="BD29" s="888"/>
      <c r="BE29" s="973"/>
      <c r="BF29" s="20"/>
    </row>
    <row r="30" spans="2:65">
      <c r="B30" s="837">
        <v>10</v>
      </c>
      <c r="C30" s="957" t="s">
        <v>55</v>
      </c>
      <c r="D30" s="816" t="s">
        <v>247</v>
      </c>
      <c r="E30" s="823" t="s">
        <v>249</v>
      </c>
      <c r="F30" s="811">
        <v>0.5</v>
      </c>
      <c r="G30" s="886">
        <v>1</v>
      </c>
      <c r="H30" s="886">
        <v>1</v>
      </c>
      <c r="I30" s="886">
        <v>1</v>
      </c>
      <c r="J30" s="886"/>
      <c r="K30" s="886">
        <v>1</v>
      </c>
      <c r="L30" s="886"/>
      <c r="M30" s="886"/>
      <c r="N30" s="886"/>
      <c r="O30" s="886"/>
      <c r="P30" s="886"/>
      <c r="Q30" s="886"/>
      <c r="R30" s="887"/>
      <c r="S30" s="810"/>
      <c r="T30" s="886">
        <v>1</v>
      </c>
      <c r="U30" s="888"/>
      <c r="V30" s="888"/>
      <c r="W30" s="933"/>
      <c r="X30" s="934"/>
      <c r="Y30" s="810">
        <v>0.25</v>
      </c>
      <c r="Z30" s="886">
        <v>0.25</v>
      </c>
      <c r="AA30" s="886"/>
      <c r="AB30" s="886"/>
      <c r="AC30" s="886"/>
      <c r="AD30" s="886"/>
      <c r="AE30" s="886"/>
      <c r="AF30" s="888"/>
      <c r="AG30" s="811"/>
      <c r="AH30" s="886">
        <v>0.25</v>
      </c>
      <c r="AI30" s="886"/>
      <c r="AJ30" s="886"/>
      <c r="AK30" s="886"/>
      <c r="AL30" s="886"/>
      <c r="AM30" s="886"/>
      <c r="AN30" s="888"/>
      <c r="AO30" s="811"/>
      <c r="AP30" s="886">
        <v>0.25</v>
      </c>
      <c r="AQ30" s="886">
        <v>0.25</v>
      </c>
      <c r="AR30" s="886"/>
      <c r="AS30" s="886"/>
      <c r="AT30" s="886"/>
      <c r="AU30" s="886"/>
      <c r="AV30" s="888"/>
      <c r="AW30" s="811"/>
      <c r="AX30" s="886"/>
      <c r="AY30" s="886"/>
      <c r="AZ30" s="886"/>
      <c r="BA30" s="886"/>
      <c r="BB30" s="886"/>
      <c r="BC30" s="886"/>
      <c r="BD30" s="888"/>
      <c r="BE30" s="973"/>
      <c r="BF30" s="20"/>
    </row>
    <row r="31" spans="2:65">
      <c r="B31" s="837">
        <v>11</v>
      </c>
      <c r="C31" s="957" t="s">
        <v>56</v>
      </c>
      <c r="D31" s="816" t="s">
        <v>247</v>
      </c>
      <c r="E31" s="823" t="s">
        <v>249</v>
      </c>
      <c r="F31" s="811"/>
      <c r="G31" s="886"/>
      <c r="H31" s="886"/>
      <c r="I31" s="886">
        <v>1</v>
      </c>
      <c r="J31" s="886"/>
      <c r="K31" s="886"/>
      <c r="L31" s="886"/>
      <c r="M31" s="886"/>
      <c r="N31" s="886"/>
      <c r="O31" s="886"/>
      <c r="P31" s="886"/>
      <c r="Q31" s="886"/>
      <c r="R31" s="887"/>
      <c r="S31" s="810"/>
      <c r="T31" s="886"/>
      <c r="U31" s="888"/>
      <c r="V31" s="888"/>
      <c r="W31" s="933"/>
      <c r="X31" s="934"/>
      <c r="Y31" s="810"/>
      <c r="Z31" s="886">
        <v>0.25</v>
      </c>
      <c r="AA31" s="886">
        <v>0.5</v>
      </c>
      <c r="AB31" s="886"/>
      <c r="AC31" s="886"/>
      <c r="AD31" s="886"/>
      <c r="AE31" s="886"/>
      <c r="AF31" s="888"/>
      <c r="AG31" s="811"/>
      <c r="AH31" s="886">
        <v>0.25</v>
      </c>
      <c r="AI31" s="886">
        <v>0.5</v>
      </c>
      <c r="AJ31" s="886"/>
      <c r="AK31" s="886"/>
      <c r="AL31" s="886"/>
      <c r="AM31" s="886"/>
      <c r="AN31" s="888"/>
      <c r="AO31" s="811"/>
      <c r="AP31" s="886">
        <v>0.25</v>
      </c>
      <c r="AQ31" s="886">
        <v>0.5</v>
      </c>
      <c r="AR31" s="886"/>
      <c r="AS31" s="886"/>
      <c r="AT31" s="886"/>
      <c r="AU31" s="886"/>
      <c r="AV31" s="888"/>
      <c r="AW31" s="811"/>
      <c r="AX31" s="886"/>
      <c r="AY31" s="886"/>
      <c r="AZ31" s="886"/>
      <c r="BA31" s="886"/>
      <c r="BB31" s="886"/>
      <c r="BC31" s="886"/>
      <c r="BD31" s="888"/>
      <c r="BE31" s="973"/>
      <c r="BF31" s="20"/>
    </row>
    <row r="32" spans="2:65">
      <c r="B32" s="837">
        <v>12</v>
      </c>
      <c r="C32" s="957" t="s">
        <v>57</v>
      </c>
      <c r="D32" s="816" t="s">
        <v>247</v>
      </c>
      <c r="E32" s="823" t="s">
        <v>249</v>
      </c>
      <c r="F32" s="811"/>
      <c r="G32" s="886">
        <v>1</v>
      </c>
      <c r="H32" s="886"/>
      <c r="I32" s="886">
        <v>1</v>
      </c>
      <c r="J32" s="886"/>
      <c r="K32" s="886"/>
      <c r="L32" s="886"/>
      <c r="M32" s="886"/>
      <c r="N32" s="886"/>
      <c r="O32" s="886"/>
      <c r="P32" s="886"/>
      <c r="Q32" s="886"/>
      <c r="R32" s="887">
        <v>3</v>
      </c>
      <c r="S32" s="810"/>
      <c r="T32" s="886"/>
      <c r="U32" s="888"/>
      <c r="V32" s="888"/>
      <c r="W32" s="933"/>
      <c r="X32" s="934"/>
      <c r="Y32" s="810"/>
      <c r="Z32" s="886">
        <v>0.25</v>
      </c>
      <c r="AA32" s="886">
        <v>0.5</v>
      </c>
      <c r="AB32" s="886"/>
      <c r="AC32" s="886"/>
      <c r="AD32" s="886"/>
      <c r="AE32" s="886"/>
      <c r="AF32" s="888"/>
      <c r="AG32" s="811"/>
      <c r="AH32" s="886">
        <v>0.25</v>
      </c>
      <c r="AI32" s="886">
        <v>0.5</v>
      </c>
      <c r="AJ32" s="886"/>
      <c r="AK32" s="886"/>
      <c r="AL32" s="886"/>
      <c r="AM32" s="886"/>
      <c r="AN32" s="888"/>
      <c r="AO32" s="811"/>
      <c r="AP32" s="886">
        <v>0.25</v>
      </c>
      <c r="AQ32" s="886">
        <v>0.5</v>
      </c>
      <c r="AR32" s="886"/>
      <c r="AS32" s="886"/>
      <c r="AT32" s="886"/>
      <c r="AU32" s="886"/>
      <c r="AV32" s="888"/>
      <c r="AW32" s="811"/>
      <c r="AX32" s="886"/>
      <c r="AY32" s="886"/>
      <c r="AZ32" s="886"/>
      <c r="BA32" s="886"/>
      <c r="BB32" s="886"/>
      <c r="BC32" s="886"/>
      <c r="BD32" s="888"/>
      <c r="BE32" s="973"/>
      <c r="BF32" s="20"/>
    </row>
    <row r="33" spans="1:135">
      <c r="B33" s="986">
        <v>13</v>
      </c>
      <c r="C33" s="958" t="s">
        <v>106</v>
      </c>
      <c r="D33" s="816" t="s">
        <v>247</v>
      </c>
      <c r="E33" s="823" t="s">
        <v>249</v>
      </c>
      <c r="F33" s="811">
        <v>1</v>
      </c>
      <c r="G33" s="886">
        <f>2+5</f>
        <v>7</v>
      </c>
      <c r="H33" s="886"/>
      <c r="I33" s="886">
        <f>3+2</f>
        <v>5</v>
      </c>
      <c r="J33" s="886"/>
      <c r="K33" s="886"/>
      <c r="L33" s="886"/>
      <c r="M33" s="886"/>
      <c r="N33" s="886">
        <v>0.5</v>
      </c>
      <c r="O33" s="886"/>
      <c r="P33" s="886"/>
      <c r="Q33" s="886">
        <v>2</v>
      </c>
      <c r="R33" s="887"/>
      <c r="S33" s="810"/>
      <c r="T33" s="886">
        <v>1</v>
      </c>
      <c r="U33" s="888"/>
      <c r="V33" s="888"/>
      <c r="W33" s="933"/>
      <c r="X33" s="934"/>
      <c r="Y33" s="810"/>
      <c r="Z33" s="886">
        <v>0.25</v>
      </c>
      <c r="AA33" s="886">
        <v>0.25</v>
      </c>
      <c r="AB33" s="886"/>
      <c r="AC33" s="886"/>
      <c r="AD33" s="886"/>
      <c r="AE33" s="886"/>
      <c r="AF33" s="888"/>
      <c r="AG33" s="811"/>
      <c r="AH33" s="886">
        <v>0.25</v>
      </c>
      <c r="AI33" s="886">
        <v>0.25</v>
      </c>
      <c r="AJ33" s="886">
        <v>0.25</v>
      </c>
      <c r="AK33" s="886"/>
      <c r="AL33" s="886"/>
      <c r="AM33" s="886"/>
      <c r="AN33" s="888"/>
      <c r="AO33" s="811"/>
      <c r="AP33" s="886">
        <v>0.75</v>
      </c>
      <c r="AQ33" s="886">
        <v>0.25</v>
      </c>
      <c r="AR33" s="886">
        <v>0.25</v>
      </c>
      <c r="AS33" s="886"/>
      <c r="AT33" s="886"/>
      <c r="AU33" s="886"/>
      <c r="AV33" s="888"/>
      <c r="AW33" s="811"/>
      <c r="AX33" s="886"/>
      <c r="AY33" s="886"/>
      <c r="AZ33" s="886"/>
      <c r="BA33" s="886"/>
      <c r="BB33" s="886"/>
      <c r="BC33" s="886"/>
      <c r="BD33" s="888"/>
      <c r="BE33" s="973"/>
      <c r="BF33" s="20"/>
    </row>
    <row r="34" spans="1:135" s="120" customFormat="1">
      <c r="A34" s="20"/>
      <c r="B34" s="836">
        <v>14</v>
      </c>
      <c r="C34" s="951" t="s">
        <v>61</v>
      </c>
      <c r="D34" s="817" t="s">
        <v>248</v>
      </c>
      <c r="E34" s="822" t="s">
        <v>251</v>
      </c>
      <c r="F34" s="348"/>
      <c r="G34" s="254"/>
      <c r="H34" s="254"/>
      <c r="I34" s="254"/>
      <c r="J34" s="254"/>
      <c r="K34" s="254"/>
      <c r="L34" s="254"/>
      <c r="M34" s="254"/>
      <c r="N34" s="254"/>
      <c r="O34" s="254"/>
      <c r="P34" s="254"/>
      <c r="Q34" s="254"/>
      <c r="R34" s="264"/>
      <c r="S34" s="349"/>
      <c r="T34" s="254"/>
      <c r="U34" s="267"/>
      <c r="V34" s="267"/>
      <c r="W34" s="927"/>
      <c r="X34" s="928"/>
      <c r="Y34" s="349"/>
      <c r="Z34" s="254"/>
      <c r="AA34" s="254"/>
      <c r="AB34" s="254"/>
      <c r="AC34" s="254"/>
      <c r="AD34" s="254"/>
      <c r="AE34" s="254"/>
      <c r="AF34" s="267"/>
      <c r="AG34" s="348"/>
      <c r="AH34" s="254"/>
      <c r="AI34" s="254"/>
      <c r="AJ34" s="254"/>
      <c r="AK34" s="254"/>
      <c r="AL34" s="254"/>
      <c r="AM34" s="254"/>
      <c r="AN34" s="267"/>
      <c r="AO34" s="348"/>
      <c r="AP34" s="254"/>
      <c r="AQ34" s="254"/>
      <c r="AR34" s="254"/>
      <c r="AS34" s="254"/>
      <c r="AT34" s="254"/>
      <c r="AU34" s="254"/>
      <c r="AV34" s="267"/>
      <c r="AW34" s="348"/>
      <c r="AX34" s="254"/>
      <c r="AY34" s="254"/>
      <c r="AZ34" s="254"/>
      <c r="BA34" s="254"/>
      <c r="BB34" s="254"/>
      <c r="BC34" s="254"/>
      <c r="BD34" s="267"/>
      <c r="BE34" s="967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</row>
    <row r="35" spans="1:135" s="128" customFormat="1">
      <c r="A35"/>
      <c r="B35" s="837">
        <v>14.1</v>
      </c>
      <c r="C35" s="959" t="s">
        <v>40</v>
      </c>
      <c r="D35" s="818" t="s">
        <v>248</v>
      </c>
      <c r="E35" s="823" t="s">
        <v>251</v>
      </c>
      <c r="F35" s="266"/>
      <c r="G35" s="246"/>
      <c r="H35" s="246"/>
      <c r="I35" s="246"/>
      <c r="J35" s="246"/>
      <c r="K35" s="246"/>
      <c r="L35" s="354"/>
      <c r="M35" s="354"/>
      <c r="N35" s="354"/>
      <c r="O35" s="354"/>
      <c r="P35" s="354"/>
      <c r="Q35" s="354"/>
      <c r="R35" s="355"/>
      <c r="S35" s="356"/>
      <c r="T35" s="357"/>
      <c r="U35" s="917"/>
      <c r="V35" s="358"/>
      <c r="W35" s="935"/>
      <c r="X35" s="936">
        <v>3</v>
      </c>
      <c r="Y35" s="858"/>
      <c r="Z35" s="354"/>
      <c r="AA35" s="354"/>
      <c r="AB35" s="354"/>
      <c r="AC35" s="354"/>
      <c r="AD35" s="354"/>
      <c r="AE35" s="354"/>
      <c r="AF35" s="358"/>
      <c r="AG35" s="859"/>
      <c r="AH35" s="354"/>
      <c r="AI35" s="354"/>
      <c r="AJ35" s="354"/>
      <c r="AK35" s="354"/>
      <c r="AL35" s="354"/>
      <c r="AM35" s="354"/>
      <c r="AN35" s="358"/>
      <c r="AO35" s="859"/>
      <c r="AP35" s="354"/>
      <c r="AQ35" s="354"/>
      <c r="AR35" s="354"/>
      <c r="AS35" s="354"/>
      <c r="AT35" s="354"/>
      <c r="AU35" s="354"/>
      <c r="AV35" s="358"/>
      <c r="AW35" s="859"/>
      <c r="AX35" s="354"/>
      <c r="AY35" s="354"/>
      <c r="AZ35" s="354"/>
      <c r="BA35" s="354"/>
      <c r="BB35" s="354"/>
      <c r="BC35" s="354"/>
      <c r="BD35" s="358"/>
      <c r="BE35" s="974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</row>
    <row r="36" spans="1:135" s="128" customFormat="1" ht="130.5">
      <c r="A36"/>
      <c r="B36" s="837">
        <v>14.2</v>
      </c>
      <c r="C36" s="959" t="s">
        <v>82</v>
      </c>
      <c r="D36" s="818" t="s">
        <v>248</v>
      </c>
      <c r="E36" s="823" t="s">
        <v>251</v>
      </c>
      <c r="F36" s="266">
        <v>2</v>
      </c>
      <c r="G36" s="246">
        <v>3</v>
      </c>
      <c r="H36" s="246">
        <v>2</v>
      </c>
      <c r="I36" s="246">
        <v>5</v>
      </c>
      <c r="J36" s="357"/>
      <c r="K36" s="246">
        <v>2</v>
      </c>
      <c r="L36" s="354"/>
      <c r="M36" s="246">
        <v>1</v>
      </c>
      <c r="N36" s="246"/>
      <c r="O36" s="246"/>
      <c r="P36" s="354"/>
      <c r="Q36" s="354"/>
      <c r="R36" s="355"/>
      <c r="S36" s="362"/>
      <c r="T36" s="246"/>
      <c r="U36" s="268"/>
      <c r="V36" s="358"/>
      <c r="W36" s="935"/>
      <c r="X36" s="936"/>
      <c r="Y36" s="858"/>
      <c r="Z36" s="354"/>
      <c r="AA36" s="354"/>
      <c r="AB36" s="354"/>
      <c r="AC36" s="354"/>
      <c r="AD36" s="354"/>
      <c r="AE36" s="354"/>
      <c r="AF36" s="358"/>
      <c r="AG36" s="859"/>
      <c r="AH36" s="354"/>
      <c r="AI36" s="354"/>
      <c r="AJ36" s="354"/>
      <c r="AK36" s="354"/>
      <c r="AL36" s="354"/>
      <c r="AM36" s="354"/>
      <c r="AN36" s="358"/>
      <c r="AO36" s="859"/>
      <c r="AP36" s="354"/>
      <c r="AQ36" s="354"/>
      <c r="AR36" s="354"/>
      <c r="AS36" s="354"/>
      <c r="AT36" s="354"/>
      <c r="AU36" s="354"/>
      <c r="AV36" s="358"/>
      <c r="AW36" s="859"/>
      <c r="AX36" s="354"/>
      <c r="AY36" s="354"/>
      <c r="AZ36" s="354"/>
      <c r="BA36" s="354"/>
      <c r="BB36" s="354"/>
      <c r="BC36" s="354"/>
      <c r="BD36" s="358"/>
      <c r="BE36" s="974"/>
      <c r="BF36" s="129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</row>
    <row r="37" spans="1:135" s="141" customFormat="1" ht="18.75" customHeight="1">
      <c r="B37" s="837">
        <v>15</v>
      </c>
      <c r="C37" s="960" t="s">
        <v>185</v>
      </c>
      <c r="D37" s="816" t="s">
        <v>248</v>
      </c>
      <c r="E37" s="823" t="s">
        <v>251</v>
      </c>
      <c r="F37" s="266">
        <v>2</v>
      </c>
      <c r="G37" s="892">
        <v>5</v>
      </c>
      <c r="H37" s="246">
        <v>8</v>
      </c>
      <c r="I37" s="246">
        <v>5</v>
      </c>
      <c r="J37" s="246">
        <v>15</v>
      </c>
      <c r="K37" s="1044">
        <v>4</v>
      </c>
      <c r="L37" s="247"/>
      <c r="M37" s="247"/>
      <c r="N37" s="246"/>
      <c r="O37" s="246"/>
      <c r="P37" s="246"/>
      <c r="Q37" s="247"/>
      <c r="R37" s="893"/>
      <c r="S37" s="362"/>
      <c r="T37" s="246"/>
      <c r="U37" s="268"/>
      <c r="V37" s="268"/>
      <c r="W37" s="931"/>
      <c r="X37" s="932"/>
      <c r="Y37" s="362"/>
      <c r="Z37" s="246"/>
      <c r="AA37" s="246"/>
      <c r="AB37" s="246"/>
      <c r="AC37" s="246"/>
      <c r="AD37" s="246"/>
      <c r="AE37" s="246"/>
      <c r="AF37" s="268"/>
      <c r="AG37" s="266"/>
      <c r="AH37" s="246"/>
      <c r="AI37" s="246"/>
      <c r="AJ37" s="246"/>
      <c r="AK37" s="246"/>
      <c r="AL37" s="246"/>
      <c r="AM37" s="246"/>
      <c r="AN37" s="268"/>
      <c r="AO37" s="266"/>
      <c r="AP37" s="246"/>
      <c r="AQ37" s="246"/>
      <c r="AR37" s="246"/>
      <c r="AS37" s="246"/>
      <c r="AT37" s="246"/>
      <c r="AU37" s="246"/>
      <c r="AV37" s="268"/>
      <c r="AW37" s="266"/>
      <c r="AX37" s="246"/>
      <c r="AY37" s="246"/>
      <c r="AZ37" s="246"/>
      <c r="BA37" s="246"/>
      <c r="BB37" s="246"/>
      <c r="BC37" s="246"/>
      <c r="BD37" s="268"/>
      <c r="BE37" s="971"/>
    </row>
    <row r="38" spans="1:135" s="141" customFormat="1" ht="159.75" customHeight="1">
      <c r="B38" s="837">
        <v>16</v>
      </c>
      <c r="C38" s="961" t="s">
        <v>91</v>
      </c>
      <c r="D38" s="895" t="s">
        <v>248</v>
      </c>
      <c r="E38" s="823" t="s">
        <v>251</v>
      </c>
      <c r="F38" s="266">
        <v>0.5</v>
      </c>
      <c r="G38" s="892">
        <v>3</v>
      </c>
      <c r="H38" s="246">
        <v>2</v>
      </c>
      <c r="I38" s="246">
        <v>3</v>
      </c>
      <c r="J38" s="246"/>
      <c r="K38" s="1044"/>
      <c r="L38" s="247"/>
      <c r="M38" s="247"/>
      <c r="N38" s="246"/>
      <c r="O38" s="246"/>
      <c r="P38" s="246"/>
      <c r="Q38" s="246">
        <v>5</v>
      </c>
      <c r="R38" s="893"/>
      <c r="S38" s="362"/>
      <c r="T38" s="246"/>
      <c r="U38" s="268"/>
      <c r="V38" s="268"/>
      <c r="W38" s="931"/>
      <c r="X38" s="932"/>
      <c r="Y38" s="362"/>
      <c r="Z38" s="246"/>
      <c r="AA38" s="246"/>
      <c r="AB38" s="246"/>
      <c r="AC38" s="246"/>
      <c r="AD38" s="246"/>
      <c r="AE38" s="246"/>
      <c r="AF38" s="268"/>
      <c r="AG38" s="266"/>
      <c r="AH38" s="246"/>
      <c r="AI38" s="246"/>
      <c r="AJ38" s="246"/>
      <c r="AK38" s="246"/>
      <c r="AL38" s="246"/>
      <c r="AM38" s="246"/>
      <c r="AN38" s="268"/>
      <c r="AO38" s="266"/>
      <c r="AP38" s="246"/>
      <c r="AQ38" s="246"/>
      <c r="AR38" s="246"/>
      <c r="AS38" s="246"/>
      <c r="AT38" s="246"/>
      <c r="AU38" s="246"/>
      <c r="AV38" s="268"/>
      <c r="AW38" s="266"/>
      <c r="AX38" s="246"/>
      <c r="AY38" s="246"/>
      <c r="AZ38" s="246"/>
      <c r="BA38" s="246"/>
      <c r="BB38" s="246"/>
      <c r="BC38" s="246"/>
      <c r="BD38" s="268"/>
      <c r="BE38" s="971"/>
    </row>
    <row r="39" spans="1:135" s="141" customFormat="1" ht="87">
      <c r="B39" s="837">
        <v>17</v>
      </c>
      <c r="C39" s="960" t="s">
        <v>186</v>
      </c>
      <c r="D39" s="816" t="s">
        <v>248</v>
      </c>
      <c r="E39" s="823" t="s">
        <v>251</v>
      </c>
      <c r="F39" s="266">
        <v>0.5</v>
      </c>
      <c r="G39" s="892">
        <v>2</v>
      </c>
      <c r="H39" s="246">
        <v>2</v>
      </c>
      <c r="I39" s="246">
        <v>0</v>
      </c>
      <c r="J39" s="246">
        <v>7</v>
      </c>
      <c r="K39" s="246"/>
      <c r="L39" s="247"/>
      <c r="M39" s="247"/>
      <c r="N39" s="246"/>
      <c r="O39" s="246"/>
      <c r="P39" s="246"/>
      <c r="Q39" s="247"/>
      <c r="R39" s="893"/>
      <c r="S39" s="362"/>
      <c r="T39" s="246"/>
      <c r="U39" s="268"/>
      <c r="V39" s="268"/>
      <c r="W39" s="931"/>
      <c r="X39" s="932"/>
      <c r="Y39" s="362"/>
      <c r="Z39" s="246"/>
      <c r="AA39" s="246"/>
      <c r="AB39" s="246"/>
      <c r="AC39" s="246"/>
      <c r="AD39" s="246"/>
      <c r="AE39" s="246"/>
      <c r="AF39" s="268"/>
      <c r="AG39" s="266"/>
      <c r="AH39" s="246"/>
      <c r="AI39" s="246"/>
      <c r="AJ39" s="246"/>
      <c r="AK39" s="246"/>
      <c r="AL39" s="246"/>
      <c r="AM39" s="246"/>
      <c r="AN39" s="268"/>
      <c r="AO39" s="266"/>
      <c r="AP39" s="246"/>
      <c r="AQ39" s="246"/>
      <c r="AR39" s="246"/>
      <c r="AS39" s="246"/>
      <c r="AT39" s="246"/>
      <c r="AU39" s="246"/>
      <c r="AV39" s="268"/>
      <c r="AW39" s="266"/>
      <c r="AX39" s="246"/>
      <c r="AY39" s="246"/>
      <c r="AZ39" s="246"/>
      <c r="BA39" s="246"/>
      <c r="BB39" s="246"/>
      <c r="BC39" s="246"/>
      <c r="BD39" s="268"/>
      <c r="BE39" s="971"/>
    </row>
    <row r="40" spans="1:135" ht="18.75" customHeight="1">
      <c r="B40" s="837">
        <v>18</v>
      </c>
      <c r="C40" s="960" t="s">
        <v>94</v>
      </c>
      <c r="D40" s="816" t="s">
        <v>248</v>
      </c>
      <c r="E40" s="823" t="s">
        <v>251</v>
      </c>
      <c r="F40" s="896"/>
      <c r="G40" s="246"/>
      <c r="H40" s="246"/>
      <c r="I40" s="246"/>
      <c r="J40" s="246"/>
      <c r="K40" s="246"/>
      <c r="L40" s="247"/>
      <c r="M40" s="247"/>
      <c r="N40" s="246"/>
      <c r="O40" s="246"/>
      <c r="P40" s="246"/>
      <c r="Q40" s="246"/>
      <c r="R40" s="257"/>
      <c r="S40" s="438"/>
      <c r="T40" s="246"/>
      <c r="U40" s="268"/>
      <c r="V40" s="268"/>
      <c r="W40" s="931"/>
      <c r="X40" s="932"/>
      <c r="Y40" s="362"/>
      <c r="Z40" s="246"/>
      <c r="AA40" s="246"/>
      <c r="AB40" s="246"/>
      <c r="AC40" s="246"/>
      <c r="AD40" s="246"/>
      <c r="AE40" s="246"/>
      <c r="AF40" s="268"/>
      <c r="AG40" s="266"/>
      <c r="AH40" s="246"/>
      <c r="AI40" s="246"/>
      <c r="AJ40" s="246"/>
      <c r="AK40" s="246"/>
      <c r="AL40" s="246"/>
      <c r="AM40" s="246"/>
      <c r="AN40" s="268"/>
      <c r="AO40" s="266"/>
      <c r="AP40" s="246"/>
      <c r="AQ40" s="246"/>
      <c r="AR40" s="246"/>
      <c r="AS40" s="246"/>
      <c r="AT40" s="246"/>
      <c r="AU40" s="246"/>
      <c r="AV40" s="268"/>
      <c r="AW40" s="266"/>
      <c r="AX40" s="246"/>
      <c r="AY40" s="246"/>
      <c r="AZ40" s="246"/>
      <c r="BA40" s="246"/>
      <c r="BB40" s="246"/>
      <c r="BC40" s="246"/>
      <c r="BD40" s="268"/>
      <c r="BE40" s="971"/>
      <c r="BF40" s="141"/>
      <c r="BG40" s="141"/>
      <c r="BH40" s="141"/>
      <c r="BI40" s="141"/>
    </row>
    <row r="41" spans="1:135" ht="18.75" customHeight="1">
      <c r="B41" s="837">
        <v>18.100000000000001</v>
      </c>
      <c r="C41" s="960" t="s">
        <v>95</v>
      </c>
      <c r="D41" s="816" t="s">
        <v>248</v>
      </c>
      <c r="E41" s="823" t="s">
        <v>251</v>
      </c>
      <c r="F41" s="1099">
        <v>1</v>
      </c>
      <c r="G41" s="1081">
        <v>2</v>
      </c>
      <c r="H41" s="1081">
        <v>1</v>
      </c>
      <c r="I41" s="1081">
        <v>1</v>
      </c>
      <c r="J41" s="246"/>
      <c r="K41" s="246"/>
      <c r="L41" s="247"/>
      <c r="M41" s="247"/>
      <c r="N41" s="246"/>
      <c r="O41" s="246"/>
      <c r="P41" s="246"/>
      <c r="Q41" s="246"/>
      <c r="R41" s="257"/>
      <c r="S41" s="438"/>
      <c r="T41" s="246"/>
      <c r="U41" s="268"/>
      <c r="V41" s="268"/>
      <c r="W41" s="931"/>
      <c r="X41" s="932"/>
      <c r="Y41" s="362">
        <v>0.5</v>
      </c>
      <c r="Z41" s="246">
        <v>1</v>
      </c>
      <c r="AA41" s="246"/>
      <c r="AB41" s="246"/>
      <c r="AC41" s="246"/>
      <c r="AD41" s="246">
        <v>1</v>
      </c>
      <c r="AE41" s="246"/>
      <c r="AF41" s="268"/>
      <c r="AG41" s="266"/>
      <c r="AH41" s="246"/>
      <c r="AI41" s="246"/>
      <c r="AJ41" s="246"/>
      <c r="AK41" s="246"/>
      <c r="AL41" s="246"/>
      <c r="AM41" s="246"/>
      <c r="AN41" s="268"/>
      <c r="AO41" s="266"/>
      <c r="AP41" s="246"/>
      <c r="AQ41" s="246"/>
      <c r="AR41" s="246"/>
      <c r="AS41" s="246"/>
      <c r="AT41" s="246"/>
      <c r="AU41" s="246"/>
      <c r="AV41" s="268"/>
      <c r="AW41" s="266"/>
      <c r="AX41" s="246"/>
      <c r="AY41" s="246"/>
      <c r="AZ41" s="246"/>
      <c r="BA41" s="246"/>
      <c r="BB41" s="246"/>
      <c r="BC41" s="246"/>
      <c r="BD41" s="268"/>
      <c r="BE41" s="971"/>
      <c r="BF41" s="141"/>
      <c r="BG41" s="141"/>
      <c r="BH41" s="141"/>
      <c r="BI41" s="141"/>
    </row>
    <row r="42" spans="1:135" ht="18.649999999999999" customHeight="1">
      <c r="B42" s="837">
        <v>18.2</v>
      </c>
      <c r="C42" s="960" t="s">
        <v>96</v>
      </c>
      <c r="D42" s="816" t="s">
        <v>248</v>
      </c>
      <c r="E42" s="823" t="s">
        <v>251</v>
      </c>
      <c r="F42" s="1100"/>
      <c r="G42" s="1104"/>
      <c r="H42" s="1104"/>
      <c r="I42" s="1104"/>
      <c r="J42" s="246"/>
      <c r="K42" s="246"/>
      <c r="L42" s="247"/>
      <c r="M42" s="247"/>
      <c r="N42" s="246"/>
      <c r="O42" s="246"/>
      <c r="P42" s="246"/>
      <c r="Q42" s="246"/>
      <c r="R42" s="257"/>
      <c r="S42" s="438"/>
      <c r="T42" s="246"/>
      <c r="U42" s="268"/>
      <c r="V42" s="268"/>
      <c r="W42" s="931"/>
      <c r="X42" s="932"/>
      <c r="Y42" s="362"/>
      <c r="Z42" s="246"/>
      <c r="AA42" s="246"/>
      <c r="AB42" s="246"/>
      <c r="AC42" s="246"/>
      <c r="AD42" s="246"/>
      <c r="AE42" s="246"/>
      <c r="AF42" s="268"/>
      <c r="AG42" s="266"/>
      <c r="AH42" s="246">
        <v>1</v>
      </c>
      <c r="AI42" s="246"/>
      <c r="AJ42" s="246"/>
      <c r="AK42" s="246"/>
      <c r="AL42" s="246">
        <v>1</v>
      </c>
      <c r="AM42" s="246"/>
      <c r="AN42" s="268"/>
      <c r="AO42" s="266"/>
      <c r="AP42" s="246"/>
      <c r="AQ42" s="246"/>
      <c r="AR42" s="246"/>
      <c r="AS42" s="246"/>
      <c r="AT42" s="246"/>
      <c r="AU42" s="246"/>
      <c r="AV42" s="268"/>
      <c r="AW42" s="266"/>
      <c r="AX42" s="246"/>
      <c r="AY42" s="246"/>
      <c r="AZ42" s="246"/>
      <c r="BA42" s="246"/>
      <c r="BB42" s="246"/>
      <c r="BC42" s="246"/>
      <c r="BD42" s="268"/>
      <c r="BE42" s="971"/>
      <c r="BF42" s="141"/>
      <c r="BG42" s="141"/>
      <c r="BH42" s="141"/>
      <c r="BI42" s="141"/>
    </row>
    <row r="43" spans="1:135" ht="18.75" customHeight="1">
      <c r="B43" s="837">
        <v>18.3</v>
      </c>
      <c r="C43" s="960" t="s">
        <v>97</v>
      </c>
      <c r="D43" s="816" t="s">
        <v>248</v>
      </c>
      <c r="E43" s="823" t="s">
        <v>251</v>
      </c>
      <c r="F43" s="1103"/>
      <c r="G43" s="1082"/>
      <c r="H43" s="1082"/>
      <c r="I43" s="1082"/>
      <c r="J43" s="246"/>
      <c r="K43" s="246"/>
      <c r="L43" s="247"/>
      <c r="M43" s="247"/>
      <c r="N43" s="246"/>
      <c r="O43" s="246"/>
      <c r="P43" s="246"/>
      <c r="Q43" s="246"/>
      <c r="R43" s="257"/>
      <c r="S43" s="438"/>
      <c r="T43" s="246"/>
      <c r="U43" s="268"/>
      <c r="V43" s="268"/>
      <c r="W43" s="931"/>
      <c r="X43" s="932"/>
      <c r="Y43" s="362"/>
      <c r="Z43" s="246"/>
      <c r="AA43" s="246"/>
      <c r="AB43" s="246"/>
      <c r="AC43" s="246"/>
      <c r="AD43" s="246"/>
      <c r="AE43" s="246"/>
      <c r="AF43" s="268"/>
      <c r="AG43" s="266"/>
      <c r="AH43" s="246"/>
      <c r="AI43" s="246"/>
      <c r="AJ43" s="246"/>
      <c r="AK43" s="246"/>
      <c r="AL43" s="246"/>
      <c r="AM43" s="246"/>
      <c r="AN43" s="268"/>
      <c r="AO43" s="266"/>
      <c r="AP43" s="246">
        <v>1</v>
      </c>
      <c r="AQ43" s="246"/>
      <c r="AR43" s="246"/>
      <c r="AS43" s="246"/>
      <c r="AT43" s="246">
        <v>1</v>
      </c>
      <c r="AU43" s="246"/>
      <c r="AV43" s="268"/>
      <c r="AW43" s="266"/>
      <c r="AX43" s="246"/>
      <c r="AY43" s="246"/>
      <c r="AZ43" s="246"/>
      <c r="BA43" s="246"/>
      <c r="BB43" s="246"/>
      <c r="BC43" s="246"/>
      <c r="BD43" s="268"/>
      <c r="BE43" s="971"/>
      <c r="BF43" s="141"/>
      <c r="BG43" s="141"/>
      <c r="BH43" s="141"/>
      <c r="BI43" s="141"/>
    </row>
    <row r="44" spans="1:135" ht="18.75" customHeight="1">
      <c r="B44" s="837">
        <v>18.399999999999999</v>
      </c>
      <c r="C44" s="960" t="s">
        <v>98</v>
      </c>
      <c r="D44" s="816" t="s">
        <v>248</v>
      </c>
      <c r="E44" s="823" t="s">
        <v>251</v>
      </c>
      <c r="F44" s="995"/>
      <c r="G44" s="492"/>
      <c r="H44" s="492"/>
      <c r="I44" s="492"/>
      <c r="J44" s="246"/>
      <c r="K44" s="246"/>
      <c r="L44" s="247"/>
      <c r="M44" s="247"/>
      <c r="N44" s="246"/>
      <c r="O44" s="246"/>
      <c r="P44" s="246"/>
      <c r="Q44" s="246"/>
      <c r="R44" s="257"/>
      <c r="S44" s="438"/>
      <c r="T44" s="246"/>
      <c r="U44" s="268"/>
      <c r="V44" s="268"/>
      <c r="W44" s="931"/>
      <c r="X44" s="932"/>
      <c r="Y44" s="362"/>
      <c r="Z44" s="246"/>
      <c r="AA44" s="246"/>
      <c r="AB44" s="246"/>
      <c r="AC44" s="246"/>
      <c r="AD44" s="246"/>
      <c r="AE44" s="246"/>
      <c r="AF44" s="268"/>
      <c r="AG44" s="266"/>
      <c r="AH44" s="246"/>
      <c r="AI44" s="246"/>
      <c r="AJ44" s="246"/>
      <c r="AK44" s="246"/>
      <c r="AL44" s="246"/>
      <c r="AM44" s="246"/>
      <c r="AN44" s="268"/>
      <c r="AO44" s="266"/>
      <c r="AP44" s="246"/>
      <c r="AQ44" s="246"/>
      <c r="AR44" s="246"/>
      <c r="AS44" s="246"/>
      <c r="AT44" s="246"/>
      <c r="AU44" s="246"/>
      <c r="AV44" s="268"/>
      <c r="AW44" s="266"/>
      <c r="AX44" s="246"/>
      <c r="AY44" s="246"/>
      <c r="AZ44" s="246"/>
      <c r="BA44" s="246"/>
      <c r="BB44" s="246"/>
      <c r="BC44" s="246"/>
      <c r="BD44" s="268"/>
      <c r="BE44" s="971"/>
      <c r="BF44" s="141"/>
      <c r="BG44" s="141"/>
      <c r="BH44" s="141"/>
      <c r="BI44" s="141"/>
    </row>
    <row r="45" spans="1:135" ht="18.649999999999999" customHeight="1">
      <c r="B45" s="837">
        <v>18.5</v>
      </c>
      <c r="C45" s="960" t="s">
        <v>66</v>
      </c>
      <c r="D45" s="816" t="s">
        <v>248</v>
      </c>
      <c r="E45" s="823" t="s">
        <v>251</v>
      </c>
      <c r="F45" s="995"/>
      <c r="G45" s="492"/>
      <c r="H45" s="492"/>
      <c r="I45" s="492"/>
      <c r="J45" s="246"/>
      <c r="K45" s="246"/>
      <c r="L45" s="247"/>
      <c r="M45" s="247"/>
      <c r="N45" s="246"/>
      <c r="O45" s="246"/>
      <c r="P45" s="246"/>
      <c r="Q45" s="246"/>
      <c r="R45" s="257"/>
      <c r="S45" s="438"/>
      <c r="T45" s="246"/>
      <c r="U45" s="268"/>
      <c r="V45" s="268"/>
      <c r="W45" s="931"/>
      <c r="X45" s="932"/>
      <c r="Y45" s="362"/>
      <c r="Z45" s="246"/>
      <c r="AA45" s="246"/>
      <c r="AB45" s="246"/>
      <c r="AC45" s="246"/>
      <c r="AD45" s="246"/>
      <c r="AE45" s="246"/>
      <c r="AF45" s="268"/>
      <c r="AG45" s="266"/>
      <c r="AH45" s="246"/>
      <c r="AI45" s="246"/>
      <c r="AJ45" s="246"/>
      <c r="AK45" s="246"/>
      <c r="AL45" s="246"/>
      <c r="AM45" s="246"/>
      <c r="AN45" s="268"/>
      <c r="AO45" s="266"/>
      <c r="AP45" s="246"/>
      <c r="AQ45" s="246"/>
      <c r="AR45" s="246"/>
      <c r="AS45" s="246"/>
      <c r="AT45" s="246"/>
      <c r="AU45" s="246"/>
      <c r="AV45" s="268"/>
      <c r="AW45" s="266"/>
      <c r="AX45" s="246"/>
      <c r="AY45" s="246"/>
      <c r="AZ45" s="246"/>
      <c r="BA45" s="246"/>
      <c r="BB45" s="246"/>
      <c r="BC45" s="246"/>
      <c r="BD45" s="268"/>
      <c r="BE45" s="971"/>
      <c r="BF45" s="141"/>
      <c r="BG45" s="141"/>
      <c r="BH45" s="141"/>
      <c r="BI45" s="141"/>
    </row>
    <row r="46" spans="1:135">
      <c r="B46" s="837">
        <v>19</v>
      </c>
      <c r="C46" s="957" t="s">
        <v>53</v>
      </c>
      <c r="D46" s="819" t="s">
        <v>248</v>
      </c>
      <c r="E46" s="823" t="s">
        <v>251</v>
      </c>
      <c r="F46" s="811">
        <v>1</v>
      </c>
      <c r="G46" s="886"/>
      <c r="H46" s="886"/>
      <c r="I46" s="886"/>
      <c r="J46" s="886"/>
      <c r="K46" s="886"/>
      <c r="L46" s="886"/>
      <c r="M46" s="886"/>
      <c r="N46" s="886"/>
      <c r="O46" s="886"/>
      <c r="P46" s="886"/>
      <c r="Q46" s="886"/>
      <c r="R46" s="887"/>
      <c r="S46" s="810"/>
      <c r="T46" s="886">
        <v>2</v>
      </c>
      <c r="U46" s="888"/>
      <c r="V46" s="888"/>
      <c r="W46" s="933"/>
      <c r="X46" s="934"/>
      <c r="Y46" s="810"/>
      <c r="Z46" s="886"/>
      <c r="AA46" s="886"/>
      <c r="AB46" s="886"/>
      <c r="AC46" s="886"/>
      <c r="AD46" s="886"/>
      <c r="AE46" s="886"/>
      <c r="AF46" s="888"/>
      <c r="AG46" s="811"/>
      <c r="AH46" s="886"/>
      <c r="AI46" s="886"/>
      <c r="AJ46" s="886"/>
      <c r="AK46" s="886"/>
      <c r="AL46" s="886"/>
      <c r="AM46" s="886"/>
      <c r="AN46" s="888"/>
      <c r="AO46" s="811"/>
      <c r="AP46" s="886"/>
      <c r="AQ46" s="886"/>
      <c r="AR46" s="886"/>
      <c r="AS46" s="886"/>
      <c r="AT46" s="886"/>
      <c r="AU46" s="886"/>
      <c r="AV46" s="888"/>
      <c r="AW46" s="811"/>
      <c r="AX46" s="886"/>
      <c r="AY46" s="886"/>
      <c r="AZ46" s="886"/>
      <c r="BA46" s="886"/>
      <c r="BB46" s="886"/>
      <c r="BC46" s="886"/>
      <c r="BD46" s="888"/>
      <c r="BE46" s="973"/>
      <c r="BF46" s="20"/>
    </row>
    <row r="47" spans="1:135">
      <c r="B47" s="837">
        <v>20</v>
      </c>
      <c r="C47" s="957" t="s">
        <v>54</v>
      </c>
      <c r="D47" s="819" t="s">
        <v>248</v>
      </c>
      <c r="E47" s="823" t="s">
        <v>251</v>
      </c>
      <c r="F47" s="811">
        <v>1</v>
      </c>
      <c r="G47" s="886">
        <v>1</v>
      </c>
      <c r="H47" s="886">
        <v>1</v>
      </c>
      <c r="I47" s="886">
        <v>2</v>
      </c>
      <c r="J47" s="886"/>
      <c r="K47" s="886">
        <v>1</v>
      </c>
      <c r="L47" s="886"/>
      <c r="M47" s="886"/>
      <c r="N47" s="886"/>
      <c r="O47" s="886"/>
      <c r="P47" s="886"/>
      <c r="Q47" s="886"/>
      <c r="R47" s="887"/>
      <c r="S47" s="810"/>
      <c r="T47" s="886">
        <v>2</v>
      </c>
      <c r="U47" s="888"/>
      <c r="V47" s="888"/>
      <c r="W47" s="933"/>
      <c r="X47" s="934"/>
      <c r="Y47" s="810">
        <v>0.25</v>
      </c>
      <c r="Z47" s="886">
        <v>0.25</v>
      </c>
      <c r="AA47" s="886"/>
      <c r="AB47" s="886"/>
      <c r="AC47" s="886"/>
      <c r="AD47" s="886"/>
      <c r="AE47" s="886"/>
      <c r="AF47" s="888"/>
      <c r="AG47" s="811"/>
      <c r="AH47" s="886">
        <v>0.25</v>
      </c>
      <c r="AI47" s="886"/>
      <c r="AJ47" s="886"/>
      <c r="AK47" s="886"/>
      <c r="AL47" s="886"/>
      <c r="AM47" s="886"/>
      <c r="AN47" s="888"/>
      <c r="AO47" s="811"/>
      <c r="AP47" s="886">
        <v>0.25</v>
      </c>
      <c r="AQ47" s="886"/>
      <c r="AR47" s="886"/>
      <c r="AS47" s="886"/>
      <c r="AT47" s="886"/>
      <c r="AU47" s="886"/>
      <c r="AV47" s="888"/>
      <c r="AW47" s="811"/>
      <c r="AX47" s="886"/>
      <c r="AY47" s="886"/>
      <c r="AZ47" s="886"/>
      <c r="BA47" s="886"/>
      <c r="BB47" s="886"/>
      <c r="BC47" s="886"/>
      <c r="BD47" s="888"/>
      <c r="BE47" s="973"/>
      <c r="BF47" s="20"/>
    </row>
    <row r="48" spans="1:135">
      <c r="B48" s="837">
        <v>21</v>
      </c>
      <c r="C48" s="957" t="s">
        <v>55</v>
      </c>
      <c r="D48" s="819" t="s">
        <v>248</v>
      </c>
      <c r="E48" s="823" t="s">
        <v>251</v>
      </c>
      <c r="F48" s="811">
        <v>1</v>
      </c>
      <c r="G48" s="886">
        <v>1</v>
      </c>
      <c r="H48" s="886">
        <v>1</v>
      </c>
      <c r="I48" s="886">
        <v>1</v>
      </c>
      <c r="J48" s="886"/>
      <c r="K48" s="886">
        <v>1</v>
      </c>
      <c r="L48" s="886"/>
      <c r="M48" s="886"/>
      <c r="N48" s="886"/>
      <c r="O48" s="886"/>
      <c r="P48" s="886"/>
      <c r="Q48" s="886"/>
      <c r="R48" s="887"/>
      <c r="S48" s="810"/>
      <c r="T48" s="886">
        <v>1</v>
      </c>
      <c r="U48" s="888"/>
      <c r="V48" s="888"/>
      <c r="W48" s="933"/>
      <c r="X48" s="934"/>
      <c r="Y48" s="810">
        <v>0.25</v>
      </c>
      <c r="Z48" s="886">
        <v>0.25</v>
      </c>
      <c r="AA48" s="886"/>
      <c r="AB48" s="886"/>
      <c r="AC48" s="886"/>
      <c r="AD48" s="886"/>
      <c r="AE48" s="886"/>
      <c r="AF48" s="888"/>
      <c r="AG48" s="811"/>
      <c r="AH48" s="886">
        <v>0.25</v>
      </c>
      <c r="AI48" s="886"/>
      <c r="AJ48" s="886"/>
      <c r="AK48" s="886"/>
      <c r="AL48" s="886"/>
      <c r="AM48" s="886"/>
      <c r="AN48" s="888"/>
      <c r="AO48" s="811"/>
      <c r="AP48" s="886">
        <v>0.25</v>
      </c>
      <c r="AQ48" s="886"/>
      <c r="AR48" s="886"/>
      <c r="AS48" s="886"/>
      <c r="AT48" s="886"/>
      <c r="AU48" s="886"/>
      <c r="AV48" s="888"/>
      <c r="AW48" s="811"/>
      <c r="AX48" s="886"/>
      <c r="AY48" s="886"/>
      <c r="AZ48" s="886"/>
      <c r="BA48" s="886"/>
      <c r="BB48" s="886"/>
      <c r="BC48" s="886"/>
      <c r="BD48" s="888"/>
      <c r="BE48" s="973"/>
      <c r="BF48" s="20"/>
    </row>
    <row r="49" spans="2:60">
      <c r="B49" s="837">
        <v>22</v>
      </c>
      <c r="C49" s="957" t="s">
        <v>56</v>
      </c>
      <c r="D49" s="819" t="s">
        <v>248</v>
      </c>
      <c r="E49" s="823" t="s">
        <v>251</v>
      </c>
      <c r="F49" s="811"/>
      <c r="G49" s="886"/>
      <c r="H49" s="886"/>
      <c r="I49" s="886"/>
      <c r="J49" s="886"/>
      <c r="K49" s="886"/>
      <c r="L49" s="886"/>
      <c r="M49" s="886"/>
      <c r="N49" s="886"/>
      <c r="O49" s="886"/>
      <c r="P49" s="886"/>
      <c r="Q49" s="886"/>
      <c r="R49" s="887"/>
      <c r="S49" s="810"/>
      <c r="T49" s="886"/>
      <c r="U49" s="888"/>
      <c r="V49" s="888"/>
      <c r="W49" s="933"/>
      <c r="X49" s="934"/>
      <c r="Y49" s="810"/>
      <c r="Z49" s="886">
        <v>0.25</v>
      </c>
      <c r="AA49" s="886">
        <v>0.5</v>
      </c>
      <c r="AB49" s="886"/>
      <c r="AC49" s="886"/>
      <c r="AD49" s="886"/>
      <c r="AE49" s="886"/>
      <c r="AF49" s="888"/>
      <c r="AG49" s="811"/>
      <c r="AH49" s="886">
        <v>0.25</v>
      </c>
      <c r="AI49" s="886">
        <v>0.5</v>
      </c>
      <c r="AJ49" s="886"/>
      <c r="AK49" s="886"/>
      <c r="AL49" s="886"/>
      <c r="AM49" s="886"/>
      <c r="AN49" s="888"/>
      <c r="AO49" s="811"/>
      <c r="AP49" s="886">
        <v>0.25</v>
      </c>
      <c r="AQ49" s="886">
        <v>0.5</v>
      </c>
      <c r="AR49" s="886"/>
      <c r="AS49" s="886"/>
      <c r="AT49" s="886"/>
      <c r="AU49" s="886"/>
      <c r="AV49" s="888"/>
      <c r="AW49" s="811"/>
      <c r="AX49" s="886"/>
      <c r="AY49" s="886"/>
      <c r="AZ49" s="886"/>
      <c r="BA49" s="886"/>
      <c r="BB49" s="886"/>
      <c r="BC49" s="886"/>
      <c r="BD49" s="888"/>
      <c r="BE49" s="973"/>
      <c r="BF49" s="20"/>
    </row>
    <row r="50" spans="2:60">
      <c r="B50" s="837">
        <v>23</v>
      </c>
      <c r="C50" s="957" t="s">
        <v>57</v>
      </c>
      <c r="D50" s="819" t="s">
        <v>248</v>
      </c>
      <c r="E50" s="823" t="s">
        <v>251</v>
      </c>
      <c r="F50" s="811"/>
      <c r="G50" s="886"/>
      <c r="H50" s="886"/>
      <c r="I50" s="886"/>
      <c r="J50" s="886"/>
      <c r="K50" s="886"/>
      <c r="L50" s="886"/>
      <c r="M50" s="886"/>
      <c r="N50" s="886"/>
      <c r="O50" s="886"/>
      <c r="P50" s="886"/>
      <c r="Q50" s="886"/>
      <c r="R50" s="887"/>
      <c r="S50" s="810"/>
      <c r="T50" s="886"/>
      <c r="U50" s="888"/>
      <c r="V50" s="888"/>
      <c r="W50" s="933"/>
      <c r="X50" s="934"/>
      <c r="Y50" s="810"/>
      <c r="Z50" s="886">
        <v>0.25</v>
      </c>
      <c r="AA50" s="886">
        <v>0.5</v>
      </c>
      <c r="AB50" s="886"/>
      <c r="AC50" s="886"/>
      <c r="AD50" s="886"/>
      <c r="AE50" s="886">
        <v>3</v>
      </c>
      <c r="AF50" s="888"/>
      <c r="AG50" s="811"/>
      <c r="AH50" s="886">
        <v>0.25</v>
      </c>
      <c r="AI50" s="886">
        <v>0.5</v>
      </c>
      <c r="AJ50" s="886"/>
      <c r="AK50" s="886"/>
      <c r="AL50" s="886"/>
      <c r="AM50" s="886">
        <v>3</v>
      </c>
      <c r="AN50" s="888"/>
      <c r="AO50" s="811"/>
      <c r="AP50" s="886">
        <v>0.25</v>
      </c>
      <c r="AQ50" s="886">
        <v>0.5</v>
      </c>
      <c r="AR50" s="886">
        <v>0.25</v>
      </c>
      <c r="AS50" s="886"/>
      <c r="AT50" s="886"/>
      <c r="AU50" s="886">
        <v>3</v>
      </c>
      <c r="AV50" s="888"/>
      <c r="AW50" s="811"/>
      <c r="AX50" s="886"/>
      <c r="AY50" s="886"/>
      <c r="AZ50" s="886"/>
      <c r="BA50" s="886"/>
      <c r="BB50" s="886"/>
      <c r="BC50" s="886"/>
      <c r="BD50" s="888"/>
      <c r="BE50" s="973"/>
      <c r="BF50" s="20"/>
    </row>
    <row r="51" spans="2:60">
      <c r="B51" s="897">
        <v>24</v>
      </c>
      <c r="C51" s="962" t="s">
        <v>106</v>
      </c>
      <c r="D51" s="819" t="s">
        <v>248</v>
      </c>
      <c r="E51" s="823" t="s">
        <v>251</v>
      </c>
      <c r="F51" s="811">
        <v>0.5</v>
      </c>
      <c r="G51" s="886">
        <f>2+5</f>
        <v>7</v>
      </c>
      <c r="H51" s="886"/>
      <c r="I51" s="886">
        <f>2+2</f>
        <v>4</v>
      </c>
      <c r="J51" s="886"/>
      <c r="K51" s="886"/>
      <c r="L51" s="886"/>
      <c r="M51" s="886"/>
      <c r="N51" s="886"/>
      <c r="O51" s="886"/>
      <c r="P51" s="886"/>
      <c r="Q51" s="886"/>
      <c r="R51" s="887"/>
      <c r="S51" s="810"/>
      <c r="T51" s="886">
        <v>1</v>
      </c>
      <c r="U51" s="888"/>
      <c r="V51" s="888">
        <v>0.5</v>
      </c>
      <c r="W51" s="933"/>
      <c r="X51" s="934"/>
      <c r="Y51" s="810"/>
      <c r="Z51" s="886"/>
      <c r="AA51" s="886"/>
      <c r="AB51" s="886"/>
      <c r="AC51" s="886"/>
      <c r="AD51" s="886"/>
      <c r="AE51" s="886"/>
      <c r="AF51" s="888"/>
      <c r="AG51" s="811"/>
      <c r="AH51" s="886"/>
      <c r="AI51" s="886"/>
      <c r="AJ51" s="886"/>
      <c r="AK51" s="886"/>
      <c r="AL51" s="886"/>
      <c r="AM51" s="886"/>
      <c r="AN51" s="888"/>
      <c r="AO51" s="811"/>
      <c r="AP51" s="886"/>
      <c r="AQ51" s="886"/>
      <c r="AR51" s="886"/>
      <c r="AS51" s="886"/>
      <c r="AT51" s="886"/>
      <c r="AU51" s="886"/>
      <c r="AV51" s="888"/>
      <c r="AW51" s="811"/>
      <c r="AX51" s="886"/>
      <c r="AY51" s="886"/>
      <c r="AZ51" s="886"/>
      <c r="BA51" s="886"/>
      <c r="BB51" s="886"/>
      <c r="BC51" s="886"/>
      <c r="BD51" s="888"/>
      <c r="BE51" s="973"/>
      <c r="BF51" s="20"/>
    </row>
    <row r="52" spans="2:60">
      <c r="B52" s="987">
        <v>25</v>
      </c>
      <c r="C52" s="988" t="s">
        <v>113</v>
      </c>
      <c r="D52" s="989" t="s">
        <v>247</v>
      </c>
      <c r="E52" s="997" t="s">
        <v>247</v>
      </c>
      <c r="F52" s="901">
        <v>6</v>
      </c>
      <c r="G52" s="902">
        <v>9.5</v>
      </c>
      <c r="H52" s="902">
        <v>4.5</v>
      </c>
      <c r="I52" s="902">
        <v>9.5</v>
      </c>
      <c r="J52" s="902">
        <v>4</v>
      </c>
      <c r="K52" s="902">
        <v>4.5</v>
      </c>
      <c r="L52" s="902"/>
      <c r="M52" s="902"/>
      <c r="N52" s="902"/>
      <c r="O52" s="902"/>
      <c r="P52" s="902"/>
      <c r="Q52" s="902">
        <v>2</v>
      </c>
      <c r="R52" s="903"/>
      <c r="S52" s="904"/>
      <c r="T52" s="902">
        <v>5</v>
      </c>
      <c r="U52" s="905"/>
      <c r="V52" s="905">
        <v>0.5</v>
      </c>
      <c r="W52" s="937"/>
      <c r="X52" s="938"/>
      <c r="Y52" s="904">
        <v>0.5</v>
      </c>
      <c r="Z52" s="902">
        <v>0</v>
      </c>
      <c r="AA52" s="902">
        <v>0.25</v>
      </c>
      <c r="AB52" s="902"/>
      <c r="AC52" s="902"/>
      <c r="AD52" s="902"/>
      <c r="AE52" s="902"/>
      <c r="AF52" s="905"/>
      <c r="AG52" s="901"/>
      <c r="AH52" s="902">
        <v>0.75</v>
      </c>
      <c r="AI52" s="902">
        <v>0.75</v>
      </c>
      <c r="AJ52" s="902">
        <v>0.25</v>
      </c>
      <c r="AK52" s="902"/>
      <c r="AL52" s="902"/>
      <c r="AM52" s="902"/>
      <c r="AN52" s="905"/>
      <c r="AO52" s="901"/>
      <c r="AP52" s="902">
        <v>0.75</v>
      </c>
      <c r="AQ52" s="902">
        <v>0.75</v>
      </c>
      <c r="AR52" s="902"/>
      <c r="AS52" s="902"/>
      <c r="AT52" s="902"/>
      <c r="AU52" s="902"/>
      <c r="AV52" s="905"/>
      <c r="AW52" s="901"/>
      <c r="AX52" s="902"/>
      <c r="AY52" s="902"/>
      <c r="AZ52" s="902"/>
      <c r="BA52" s="902"/>
      <c r="BB52" s="902"/>
      <c r="BC52" s="902"/>
      <c r="BD52" s="905"/>
      <c r="BE52" s="975">
        <v>1</v>
      </c>
      <c r="BF52" s="20"/>
    </row>
    <row r="53" spans="2:60">
      <c r="B53" s="983"/>
      <c r="C53" s="946" t="s">
        <v>26</v>
      </c>
      <c r="D53" s="947"/>
      <c r="E53" s="948"/>
      <c r="F53" s="914">
        <f>SUM(F3:F52)</f>
        <v>42</v>
      </c>
      <c r="G53" s="914">
        <f t="shared" ref="G53:AI53" si="0">SUM(G3:G52)</f>
        <v>64.5</v>
      </c>
      <c r="H53" s="914">
        <f t="shared" si="0"/>
        <v>34.5</v>
      </c>
      <c r="I53" s="914">
        <f t="shared" si="0"/>
        <v>64.5</v>
      </c>
      <c r="J53" s="914">
        <f t="shared" si="0"/>
        <v>26</v>
      </c>
      <c r="K53" s="914">
        <f t="shared" si="0"/>
        <v>25</v>
      </c>
      <c r="L53" s="914">
        <f t="shared" si="0"/>
        <v>0</v>
      </c>
      <c r="M53" s="914">
        <f t="shared" si="0"/>
        <v>1</v>
      </c>
      <c r="N53" s="914">
        <f t="shared" si="0"/>
        <v>4.5</v>
      </c>
      <c r="O53" s="914">
        <f t="shared" si="0"/>
        <v>0.5</v>
      </c>
      <c r="P53" s="914">
        <f t="shared" si="0"/>
        <v>0</v>
      </c>
      <c r="Q53" s="914">
        <f t="shared" si="0"/>
        <v>9</v>
      </c>
      <c r="R53" s="914">
        <f t="shared" si="0"/>
        <v>3</v>
      </c>
      <c r="S53" s="914">
        <f t="shared" si="0"/>
        <v>0</v>
      </c>
      <c r="T53" s="914">
        <f t="shared" si="0"/>
        <v>26</v>
      </c>
      <c r="U53" s="914">
        <f>SUM(U3:U52)</f>
        <v>1</v>
      </c>
      <c r="V53" s="914">
        <f t="shared" si="0"/>
        <v>5</v>
      </c>
      <c r="W53" s="914">
        <f t="shared" si="0"/>
        <v>0</v>
      </c>
      <c r="X53" s="914">
        <f t="shared" si="0"/>
        <v>3</v>
      </c>
      <c r="Y53" s="914">
        <f t="shared" si="0"/>
        <v>2</v>
      </c>
      <c r="Z53" s="914">
        <f t="shared" si="0"/>
        <v>4.75</v>
      </c>
      <c r="AA53" s="914">
        <f t="shared" si="0"/>
        <v>2.75</v>
      </c>
      <c r="AB53" s="914">
        <f t="shared" si="0"/>
        <v>0</v>
      </c>
      <c r="AC53" s="914">
        <f t="shared" si="0"/>
        <v>0</v>
      </c>
      <c r="AD53" s="914">
        <f t="shared" si="0"/>
        <v>1</v>
      </c>
      <c r="AE53" s="914">
        <f t="shared" si="0"/>
        <v>3</v>
      </c>
      <c r="AF53" s="914">
        <f t="shared" si="0"/>
        <v>0</v>
      </c>
      <c r="AG53" s="914">
        <f t="shared" si="0"/>
        <v>0</v>
      </c>
      <c r="AH53" s="914">
        <f t="shared" si="0"/>
        <v>5.5</v>
      </c>
      <c r="AI53" s="914">
        <f t="shared" si="0"/>
        <v>4</v>
      </c>
      <c r="AJ53" s="914">
        <f>SUM(AJ3:AJ52)</f>
        <v>0.5</v>
      </c>
      <c r="AK53" s="914">
        <f t="shared" ref="AK53:AX53" si="1">SUM(AK3:AK52)</f>
        <v>0</v>
      </c>
      <c r="AL53" s="914">
        <f t="shared" si="1"/>
        <v>1</v>
      </c>
      <c r="AM53" s="914">
        <f t="shared" si="1"/>
        <v>3</v>
      </c>
      <c r="AN53" s="914">
        <f t="shared" si="1"/>
        <v>0</v>
      </c>
      <c r="AO53" s="914">
        <f t="shared" si="1"/>
        <v>0</v>
      </c>
      <c r="AP53" s="914">
        <f t="shared" si="1"/>
        <v>6</v>
      </c>
      <c r="AQ53" s="914">
        <f t="shared" si="1"/>
        <v>4.5</v>
      </c>
      <c r="AR53" s="914">
        <f t="shared" si="1"/>
        <v>1</v>
      </c>
      <c r="AS53" s="914">
        <f t="shared" si="1"/>
        <v>0</v>
      </c>
      <c r="AT53" s="914">
        <f t="shared" si="1"/>
        <v>1</v>
      </c>
      <c r="AU53" s="914">
        <f t="shared" si="1"/>
        <v>3</v>
      </c>
      <c r="AV53" s="914">
        <f t="shared" si="1"/>
        <v>0</v>
      </c>
      <c r="AW53" s="914">
        <f t="shared" si="1"/>
        <v>0</v>
      </c>
      <c r="AX53" s="914">
        <f t="shared" si="1"/>
        <v>0</v>
      </c>
      <c r="AY53" s="914">
        <f>SUM(AY3:AY52)</f>
        <v>0</v>
      </c>
      <c r="AZ53" s="914">
        <f t="shared" ref="AZ53:BE53" si="2">SUM(AZ3:AZ52)</f>
        <v>0</v>
      </c>
      <c r="BA53" s="914">
        <f t="shared" si="2"/>
        <v>0</v>
      </c>
      <c r="BB53" s="914">
        <f t="shared" si="2"/>
        <v>0</v>
      </c>
      <c r="BC53" s="914">
        <f t="shared" si="2"/>
        <v>0</v>
      </c>
      <c r="BD53" s="976">
        <f t="shared" si="2"/>
        <v>0</v>
      </c>
      <c r="BE53" s="977">
        <f t="shared" si="2"/>
        <v>3</v>
      </c>
      <c r="BF53" s="915">
        <f>SUM(F53:BE53)</f>
        <v>355.5</v>
      </c>
    </row>
    <row r="54" spans="2:60">
      <c r="B54" s="838"/>
      <c r="C54" s="852" t="s">
        <v>27</v>
      </c>
      <c r="D54" s="819"/>
      <c r="E54" s="844"/>
      <c r="F54" s="727">
        <v>8500</v>
      </c>
      <c r="G54" s="453">
        <v>8500</v>
      </c>
      <c r="H54" s="453">
        <v>14000</v>
      </c>
      <c r="I54" s="453">
        <v>14000</v>
      </c>
      <c r="J54" s="453">
        <v>8500</v>
      </c>
      <c r="K54" s="453">
        <v>8500</v>
      </c>
      <c r="L54" s="453">
        <v>8500</v>
      </c>
      <c r="M54" s="453">
        <v>8500</v>
      </c>
      <c r="N54" s="453">
        <v>8500</v>
      </c>
      <c r="O54" s="453">
        <v>14000</v>
      </c>
      <c r="P54" s="453">
        <v>8500</v>
      </c>
      <c r="Q54" s="453">
        <v>8500</v>
      </c>
      <c r="R54" s="453">
        <v>8500</v>
      </c>
      <c r="S54" s="453">
        <v>14000</v>
      </c>
      <c r="T54" s="453">
        <v>14000</v>
      </c>
      <c r="U54" s="508">
        <v>14000</v>
      </c>
      <c r="V54" s="453">
        <v>7500</v>
      </c>
      <c r="W54" s="453">
        <v>8500</v>
      </c>
      <c r="X54" s="453">
        <v>8500</v>
      </c>
      <c r="Y54" s="453">
        <v>14000</v>
      </c>
      <c r="Z54" s="453">
        <v>8500</v>
      </c>
      <c r="AA54" s="453">
        <v>14000</v>
      </c>
      <c r="AB54" s="453">
        <v>8500</v>
      </c>
      <c r="AC54" s="453">
        <v>8500</v>
      </c>
      <c r="AD54" s="453">
        <v>8500</v>
      </c>
      <c r="AE54" s="453">
        <v>8500</v>
      </c>
      <c r="AF54" s="453">
        <v>8500</v>
      </c>
      <c r="AG54" s="453">
        <v>14000</v>
      </c>
      <c r="AH54" s="453">
        <v>8500</v>
      </c>
      <c r="AI54" s="453">
        <v>14000</v>
      </c>
      <c r="AJ54" s="453">
        <v>8500</v>
      </c>
      <c r="AK54" s="453">
        <v>8500</v>
      </c>
      <c r="AL54" s="453">
        <v>8500</v>
      </c>
      <c r="AM54" s="453">
        <v>8500</v>
      </c>
      <c r="AN54" s="453">
        <v>8500</v>
      </c>
      <c r="AO54" s="453">
        <v>14000</v>
      </c>
      <c r="AP54" s="453">
        <v>8500</v>
      </c>
      <c r="AQ54" s="453">
        <v>14000</v>
      </c>
      <c r="AR54" s="453">
        <v>8500</v>
      </c>
      <c r="AS54" s="453">
        <v>8500</v>
      </c>
      <c r="AT54" s="453">
        <v>8500</v>
      </c>
      <c r="AU54" s="453">
        <v>8500</v>
      </c>
      <c r="AV54" s="453">
        <v>8500</v>
      </c>
      <c r="AW54" s="453">
        <v>14000</v>
      </c>
      <c r="AX54" s="453">
        <v>8500</v>
      </c>
      <c r="AY54" s="453">
        <v>14000</v>
      </c>
      <c r="AZ54" s="453">
        <v>8500</v>
      </c>
      <c r="BA54" s="453">
        <v>8500</v>
      </c>
      <c r="BB54" s="453">
        <v>8500</v>
      </c>
      <c r="BC54" s="453">
        <v>8500</v>
      </c>
      <c r="BD54" s="743">
        <v>8500</v>
      </c>
      <c r="BE54" s="978">
        <v>8500</v>
      </c>
    </row>
    <row r="55" spans="2:60" ht="15" thickBot="1">
      <c r="B55" s="840"/>
      <c r="C55" s="853" t="s">
        <v>28</v>
      </c>
      <c r="D55" s="829"/>
      <c r="E55" s="854"/>
      <c r="F55" s="728">
        <f>F53*F54</f>
        <v>357000</v>
      </c>
      <c r="G55" s="459">
        <f t="shared" ref="G55:BE55" si="3">G53*G54</f>
        <v>548250</v>
      </c>
      <c r="H55" s="459">
        <f t="shared" si="3"/>
        <v>483000</v>
      </c>
      <c r="I55" s="459">
        <f t="shared" si="3"/>
        <v>903000</v>
      </c>
      <c r="J55" s="459">
        <f t="shared" si="3"/>
        <v>221000</v>
      </c>
      <c r="K55" s="459">
        <f t="shared" si="3"/>
        <v>212500</v>
      </c>
      <c r="L55" s="459">
        <f t="shared" si="3"/>
        <v>0</v>
      </c>
      <c r="M55" s="459">
        <f t="shared" si="3"/>
        <v>8500</v>
      </c>
      <c r="N55" s="459">
        <f t="shared" si="3"/>
        <v>38250</v>
      </c>
      <c r="O55" s="459">
        <f t="shared" si="3"/>
        <v>7000</v>
      </c>
      <c r="P55" s="459">
        <f t="shared" si="3"/>
        <v>0</v>
      </c>
      <c r="Q55" s="459">
        <f t="shared" si="3"/>
        <v>76500</v>
      </c>
      <c r="R55" s="459">
        <f t="shared" si="3"/>
        <v>25500</v>
      </c>
      <c r="S55" s="459">
        <f t="shared" si="3"/>
        <v>0</v>
      </c>
      <c r="T55" s="459">
        <f t="shared" si="3"/>
        <v>364000</v>
      </c>
      <c r="U55" s="459">
        <f t="shared" si="3"/>
        <v>14000</v>
      </c>
      <c r="V55" s="459">
        <f t="shared" si="3"/>
        <v>37500</v>
      </c>
      <c r="W55" s="459">
        <f t="shared" si="3"/>
        <v>0</v>
      </c>
      <c r="X55" s="459">
        <f t="shared" si="3"/>
        <v>25500</v>
      </c>
      <c r="Y55" s="459">
        <f t="shared" si="3"/>
        <v>28000</v>
      </c>
      <c r="Z55" s="459">
        <f t="shared" si="3"/>
        <v>40375</v>
      </c>
      <c r="AA55" s="459">
        <f t="shared" si="3"/>
        <v>38500</v>
      </c>
      <c r="AB55" s="459">
        <f t="shared" si="3"/>
        <v>0</v>
      </c>
      <c r="AC55" s="459">
        <f t="shared" si="3"/>
        <v>0</v>
      </c>
      <c r="AD55" s="459">
        <f t="shared" si="3"/>
        <v>8500</v>
      </c>
      <c r="AE55" s="459">
        <f t="shared" si="3"/>
        <v>25500</v>
      </c>
      <c r="AF55" s="459">
        <f>AF53*AF54</f>
        <v>0</v>
      </c>
      <c r="AG55" s="459">
        <f>AG53*AG54</f>
        <v>0</v>
      </c>
      <c r="AH55" s="459">
        <f>AH53*AH54</f>
        <v>46750</v>
      </c>
      <c r="AI55" s="459">
        <f t="shared" si="3"/>
        <v>56000</v>
      </c>
      <c r="AJ55" s="459">
        <f>AJ53*AJ54</f>
        <v>4250</v>
      </c>
      <c r="AK55" s="459">
        <f t="shared" si="3"/>
        <v>0</v>
      </c>
      <c r="AL55" s="459">
        <f t="shared" si="3"/>
        <v>8500</v>
      </c>
      <c r="AM55" s="459">
        <f t="shared" si="3"/>
        <v>25500</v>
      </c>
      <c r="AN55" s="459">
        <f>AN53*AN54</f>
        <v>0</v>
      </c>
      <c r="AO55" s="459">
        <f t="shared" si="3"/>
        <v>0</v>
      </c>
      <c r="AP55" s="459">
        <f>AP53*AP54</f>
        <v>51000</v>
      </c>
      <c r="AQ55" s="459">
        <f t="shared" si="3"/>
        <v>63000</v>
      </c>
      <c r="AR55" s="459">
        <f t="shared" si="3"/>
        <v>8500</v>
      </c>
      <c r="AS55" s="459">
        <f t="shared" si="3"/>
        <v>0</v>
      </c>
      <c r="AT55" s="459">
        <f t="shared" si="3"/>
        <v>8500</v>
      </c>
      <c r="AU55" s="459">
        <f t="shared" si="3"/>
        <v>25500</v>
      </c>
      <c r="AV55" s="459">
        <f>AV53*AV54</f>
        <v>0</v>
      </c>
      <c r="AW55" s="459">
        <f t="shared" si="3"/>
        <v>0</v>
      </c>
      <c r="AX55" s="459">
        <f t="shared" si="3"/>
        <v>0</v>
      </c>
      <c r="AY55" s="459">
        <f t="shared" si="3"/>
        <v>0</v>
      </c>
      <c r="AZ55" s="459">
        <f t="shared" si="3"/>
        <v>0</v>
      </c>
      <c r="BA55" s="459">
        <f>BA53*BA54</f>
        <v>0</v>
      </c>
      <c r="BB55" s="459">
        <f>BB53*BB54</f>
        <v>0</v>
      </c>
      <c r="BC55" s="459">
        <f>BC53*BC54</f>
        <v>0</v>
      </c>
      <c r="BD55" s="744">
        <f>BD53*BD54</f>
        <v>0</v>
      </c>
      <c r="BE55" s="979">
        <f t="shared" si="3"/>
        <v>25500</v>
      </c>
      <c r="BF55" s="511">
        <f>SUM(F55:BE55)</f>
        <v>3785375</v>
      </c>
      <c r="BG55" s="281"/>
      <c r="BH55" s="281"/>
    </row>
    <row r="56" spans="2:60" ht="13.5" customHeight="1">
      <c r="F56" s="19" t="s">
        <v>124</v>
      </c>
      <c r="G56" s="19" t="s">
        <v>124</v>
      </c>
      <c r="H56" s="19" t="s">
        <v>124</v>
      </c>
      <c r="I56" s="19" t="s">
        <v>124</v>
      </c>
      <c r="K56" s="19" t="s">
        <v>124</v>
      </c>
      <c r="N56" s="19" t="s">
        <v>124</v>
      </c>
      <c r="O56" s="19" t="s">
        <v>124</v>
      </c>
      <c r="Q56" s="19" t="s">
        <v>124</v>
      </c>
      <c r="R56" s="19" t="s">
        <v>124</v>
      </c>
      <c r="Y56" s="19" t="s">
        <v>124</v>
      </c>
      <c r="Z56" s="19" t="s">
        <v>124</v>
      </c>
      <c r="AH56" s="19" t="s">
        <v>124</v>
      </c>
      <c r="AP56" s="19" t="s">
        <v>124</v>
      </c>
      <c r="AQ56" s="19" t="s">
        <v>124</v>
      </c>
      <c r="AX56" s="19" t="s">
        <v>124</v>
      </c>
      <c r="BE56" s="19" t="s">
        <v>124</v>
      </c>
      <c r="BH56" s="281"/>
    </row>
    <row r="57" spans="2:60">
      <c r="C57" s="20" t="s">
        <v>125</v>
      </c>
      <c r="F57" s="19">
        <f t="shared" ref="F57:R57" si="4">F53*8</f>
        <v>336</v>
      </c>
      <c r="G57" s="19">
        <f t="shared" si="4"/>
        <v>516</v>
      </c>
      <c r="H57" s="19">
        <f t="shared" si="4"/>
        <v>276</v>
      </c>
      <c r="I57" s="19">
        <f t="shared" si="4"/>
        <v>516</v>
      </c>
      <c r="J57" s="19">
        <f t="shared" si="4"/>
        <v>208</v>
      </c>
      <c r="K57" s="19">
        <f t="shared" si="4"/>
        <v>200</v>
      </c>
      <c r="L57" s="19">
        <f t="shared" si="4"/>
        <v>0</v>
      </c>
      <c r="M57" s="19">
        <f t="shared" si="4"/>
        <v>8</v>
      </c>
      <c r="N57" s="19">
        <f t="shared" si="4"/>
        <v>36</v>
      </c>
      <c r="O57" s="19">
        <f t="shared" si="4"/>
        <v>4</v>
      </c>
      <c r="P57" s="19">
        <f t="shared" si="4"/>
        <v>0</v>
      </c>
      <c r="Q57" s="19">
        <f t="shared" si="4"/>
        <v>72</v>
      </c>
      <c r="R57" s="19">
        <f t="shared" si="4"/>
        <v>24</v>
      </c>
      <c r="T57" s="19">
        <f>T53*8</f>
        <v>208</v>
      </c>
      <c r="V57" s="19">
        <f>V53*8</f>
        <v>40</v>
      </c>
      <c r="Y57" s="19">
        <f>Y53*8</f>
        <v>16</v>
      </c>
      <c r="Z57" s="19">
        <f>Z53*8</f>
        <v>38</v>
      </c>
      <c r="AE57" s="19">
        <f>AE53*8</f>
        <v>24</v>
      </c>
      <c r="AG57" s="19">
        <f>AG53*8</f>
        <v>0</v>
      </c>
      <c r="AH57" s="19">
        <f>AH53*8</f>
        <v>44</v>
      </c>
      <c r="AM57" s="19">
        <f>AM53*8</f>
        <v>24</v>
      </c>
      <c r="AO57" s="19">
        <f>AO53*8</f>
        <v>0</v>
      </c>
      <c r="AP57" s="19">
        <f>AP53*8</f>
        <v>48</v>
      </c>
      <c r="AU57" s="19">
        <f>AU53*8</f>
        <v>24</v>
      </c>
      <c r="AW57" s="19">
        <f>AW53*8</f>
        <v>0</v>
      </c>
      <c r="AX57" s="19">
        <f>AX53*8</f>
        <v>0</v>
      </c>
      <c r="BD57" s="19">
        <f>BD53*8</f>
        <v>0</v>
      </c>
      <c r="BE57" s="19">
        <f>BE53*8</f>
        <v>24</v>
      </c>
    </row>
    <row r="58" spans="2:60" ht="13.5" customHeight="1" thickBot="1"/>
    <row r="59" spans="2:60" ht="62" thickBot="1">
      <c r="C59" s="228" t="s">
        <v>252</v>
      </c>
      <c r="D59" s="228"/>
      <c r="F59" s="22" t="s">
        <v>127</v>
      </c>
      <c r="G59" s="22" t="s">
        <v>128</v>
      </c>
      <c r="H59" s="22" t="s">
        <v>129</v>
      </c>
      <c r="I59" s="22" t="s">
        <v>130</v>
      </c>
      <c r="J59" s="22" t="s">
        <v>131</v>
      </c>
      <c r="L59" s="940" t="s">
        <v>132</v>
      </c>
      <c r="M59" s="940" t="s">
        <v>133</v>
      </c>
      <c r="N59" s="940" t="s">
        <v>134</v>
      </c>
      <c r="O59" s="940" t="s">
        <v>135</v>
      </c>
      <c r="P59" s="940" t="s">
        <v>136</v>
      </c>
      <c r="R59" s="20"/>
      <c r="S59" s="941" t="s">
        <v>132</v>
      </c>
      <c r="T59" s="942" t="s">
        <v>133</v>
      </c>
      <c r="U59" s="942" t="s">
        <v>134</v>
      </c>
      <c r="V59" s="942" t="s">
        <v>135</v>
      </c>
      <c r="W59" s="942" t="s">
        <v>136</v>
      </c>
      <c r="X59" s="515"/>
      <c r="Y59" s="20"/>
      <c r="Z59" s="514" t="s">
        <v>132</v>
      </c>
      <c r="AA59" s="515" t="s">
        <v>133</v>
      </c>
      <c r="AB59" s="515" t="s">
        <v>134</v>
      </c>
      <c r="AC59" s="515" t="s">
        <v>135</v>
      </c>
      <c r="AD59" s="515" t="s">
        <v>136</v>
      </c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</row>
    <row r="60" spans="2:60" ht="43">
      <c r="F60" s="22" t="s">
        <v>137</v>
      </c>
      <c r="G60" s="22" t="s">
        <v>138</v>
      </c>
      <c r="H60" s="22">
        <v>20</v>
      </c>
      <c r="I60" s="508">
        <v>8500</v>
      </c>
      <c r="J60" s="508">
        <f>H60*I60</f>
        <v>170000</v>
      </c>
      <c r="L60" s="939" t="s">
        <v>139</v>
      </c>
      <c r="M60" s="69" t="s">
        <v>140</v>
      </c>
      <c r="N60" s="82">
        <v>42</v>
      </c>
      <c r="O60" s="508">
        <v>8500</v>
      </c>
      <c r="P60" s="508">
        <f>N60*O60</f>
        <v>357000</v>
      </c>
      <c r="Q60" s="1031" t="s">
        <v>253</v>
      </c>
      <c r="R60" s="20"/>
      <c r="S60" s="1006" t="s">
        <v>139</v>
      </c>
      <c r="T60" s="686" t="s">
        <v>140</v>
      </c>
      <c r="U60" s="686">
        <v>42</v>
      </c>
      <c r="V60" s="1007">
        <v>8500</v>
      </c>
      <c r="W60" s="1007">
        <f>U60*V60</f>
        <v>357000</v>
      </c>
      <c r="X60" s="569"/>
      <c r="Y60" s="20"/>
      <c r="Z60" s="685" t="s">
        <v>139</v>
      </c>
      <c r="AA60" s="686" t="s">
        <v>140</v>
      </c>
      <c r="AB60" s="309"/>
      <c r="AC60" s="569">
        <v>8500</v>
      </c>
      <c r="AD60" s="569">
        <v>144500</v>
      </c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</row>
    <row r="61" spans="2:60" ht="13.5" customHeight="1">
      <c r="F61" s="22" t="s">
        <v>141</v>
      </c>
      <c r="G61" s="22" t="s">
        <v>142</v>
      </c>
      <c r="H61" s="22">
        <v>37.5</v>
      </c>
      <c r="I61" s="508">
        <v>8500</v>
      </c>
      <c r="J61" s="508">
        <f t="shared" ref="J61:J77" si="5">H61*I61</f>
        <v>318750</v>
      </c>
      <c r="L61" s="939" t="s">
        <v>143</v>
      </c>
      <c r="M61" s="69" t="s">
        <v>144</v>
      </c>
      <c r="N61" s="82">
        <v>67</v>
      </c>
      <c r="O61" s="508">
        <v>8500</v>
      </c>
      <c r="P61" s="508">
        <f t="shared" ref="P61:P85" si="6">N61*O61</f>
        <v>569500</v>
      </c>
      <c r="Q61" s="1031"/>
      <c r="R61" s="20"/>
      <c r="S61" s="1006" t="s">
        <v>143</v>
      </c>
      <c r="T61" s="686" t="s">
        <v>144</v>
      </c>
      <c r="U61" s="686">
        <v>67</v>
      </c>
      <c r="V61" s="1007">
        <v>8500</v>
      </c>
      <c r="W61" s="1007">
        <f t="shared" ref="W61:W83" si="7">U61*V61</f>
        <v>569500</v>
      </c>
      <c r="X61" s="569"/>
      <c r="Y61" s="20"/>
      <c r="Z61" s="685" t="s">
        <v>143</v>
      </c>
      <c r="AA61" s="686" t="s">
        <v>144</v>
      </c>
      <c r="AB61" s="309"/>
      <c r="AC61" s="569">
        <v>8500</v>
      </c>
      <c r="AD61" s="569">
        <v>246500</v>
      </c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</row>
    <row r="62" spans="2:60" ht="13.5" customHeight="1">
      <c r="F62" s="22" t="s">
        <v>141</v>
      </c>
      <c r="G62" s="22" t="s">
        <v>5</v>
      </c>
      <c r="H62" s="22">
        <v>13.5</v>
      </c>
      <c r="I62" s="508">
        <v>14000</v>
      </c>
      <c r="J62" s="508">
        <f t="shared" si="5"/>
        <v>189000</v>
      </c>
      <c r="L62" s="939" t="s">
        <v>145</v>
      </c>
      <c r="M62" s="69" t="s">
        <v>146</v>
      </c>
      <c r="N62" s="82">
        <v>35</v>
      </c>
      <c r="O62" s="508">
        <v>14000</v>
      </c>
      <c r="P62" s="508">
        <f t="shared" si="6"/>
        <v>490000</v>
      </c>
      <c r="Q62" s="1031"/>
      <c r="R62" s="20"/>
      <c r="S62" s="1006" t="s">
        <v>145</v>
      </c>
      <c r="T62" s="686" t="s">
        <v>146</v>
      </c>
      <c r="U62" s="686">
        <v>35</v>
      </c>
      <c r="V62" s="1007">
        <v>14000</v>
      </c>
      <c r="W62" s="1007">
        <f t="shared" si="7"/>
        <v>490000</v>
      </c>
      <c r="X62" s="569"/>
      <c r="Y62" s="20"/>
      <c r="Z62" s="685" t="s">
        <v>145</v>
      </c>
      <c r="AA62" s="686" t="s">
        <v>146</v>
      </c>
      <c r="AB62" s="309"/>
      <c r="AC62" s="569">
        <v>14000</v>
      </c>
      <c r="AD62" s="569">
        <v>168000</v>
      </c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</row>
    <row r="63" spans="2:60" ht="13.5" customHeight="1">
      <c r="F63" s="22" t="s">
        <v>141</v>
      </c>
      <c r="G63" s="22" t="s">
        <v>108</v>
      </c>
      <c r="H63" s="22">
        <v>35</v>
      </c>
      <c r="I63" s="508">
        <v>14000</v>
      </c>
      <c r="J63" s="508">
        <f t="shared" si="5"/>
        <v>490000</v>
      </c>
      <c r="L63" s="939" t="s">
        <v>147</v>
      </c>
      <c r="M63" s="69" t="s">
        <v>148</v>
      </c>
      <c r="N63" s="82">
        <v>64</v>
      </c>
      <c r="O63" s="508">
        <v>14000</v>
      </c>
      <c r="P63" s="508">
        <f t="shared" si="6"/>
        <v>896000</v>
      </c>
      <c r="Q63" s="1031"/>
      <c r="R63" s="20"/>
      <c r="S63" s="1006" t="s">
        <v>147</v>
      </c>
      <c r="T63" s="686" t="s">
        <v>148</v>
      </c>
      <c r="U63" s="686">
        <v>64</v>
      </c>
      <c r="V63" s="1007">
        <v>14000</v>
      </c>
      <c r="W63" s="1007">
        <f t="shared" si="7"/>
        <v>896000</v>
      </c>
      <c r="X63" s="569"/>
      <c r="Y63" s="20"/>
      <c r="Z63" s="685" t="s">
        <v>147</v>
      </c>
      <c r="AA63" s="686" t="s">
        <v>148</v>
      </c>
      <c r="AB63" s="309"/>
      <c r="AC63" s="569">
        <v>14000</v>
      </c>
      <c r="AD63" s="569">
        <v>462000</v>
      </c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</row>
    <row r="64" spans="2:60" ht="13.5" customHeight="1">
      <c r="F64" s="22" t="s">
        <v>141</v>
      </c>
      <c r="G64" s="505" t="s">
        <v>7</v>
      </c>
      <c r="H64" s="22">
        <v>13</v>
      </c>
      <c r="I64" s="508">
        <v>8500</v>
      </c>
      <c r="J64" s="508">
        <f t="shared" si="5"/>
        <v>110500</v>
      </c>
      <c r="L64" s="939" t="s">
        <v>254</v>
      </c>
      <c r="M64" s="69" t="s">
        <v>163</v>
      </c>
      <c r="N64" s="22">
        <v>26</v>
      </c>
      <c r="O64" s="508">
        <v>8500</v>
      </c>
      <c r="P64" s="508">
        <f t="shared" si="6"/>
        <v>221000</v>
      </c>
      <c r="Q64" s="1031"/>
      <c r="R64" s="20"/>
      <c r="S64" s="1006" t="s">
        <v>254</v>
      </c>
      <c r="T64" s="686" t="s">
        <v>163</v>
      </c>
      <c r="U64" s="686">
        <v>26</v>
      </c>
      <c r="V64" s="1007">
        <v>8500</v>
      </c>
      <c r="W64" s="1007">
        <f t="shared" si="7"/>
        <v>221000</v>
      </c>
      <c r="X64" s="569"/>
      <c r="Y64" s="20"/>
      <c r="Z64" s="685" t="s">
        <v>149</v>
      </c>
      <c r="AA64" s="686" t="s">
        <v>150</v>
      </c>
      <c r="AB64" s="309"/>
      <c r="AC64" s="569">
        <v>8500</v>
      </c>
      <c r="AD64" s="569">
        <v>110500</v>
      </c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</row>
    <row r="65" spans="6:58" ht="13.5" customHeight="1">
      <c r="F65" s="22" t="s">
        <v>60</v>
      </c>
      <c r="G65" s="506" t="s">
        <v>71</v>
      </c>
      <c r="H65" s="22">
        <v>17</v>
      </c>
      <c r="I65" s="508">
        <v>14000</v>
      </c>
      <c r="J65" s="508">
        <f t="shared" si="5"/>
        <v>238000</v>
      </c>
      <c r="L65" s="939" t="s">
        <v>149</v>
      </c>
      <c r="M65" s="69" t="s">
        <v>150</v>
      </c>
      <c r="N65" s="82">
        <v>27</v>
      </c>
      <c r="O65" s="508">
        <v>8500</v>
      </c>
      <c r="P65" s="508">
        <f t="shared" si="6"/>
        <v>229500</v>
      </c>
      <c r="Q65" s="1031"/>
      <c r="R65" s="20"/>
      <c r="S65" s="1006" t="s">
        <v>149</v>
      </c>
      <c r="T65" s="686" t="s">
        <v>150</v>
      </c>
      <c r="U65" s="686">
        <v>27</v>
      </c>
      <c r="V65" s="1007">
        <v>8500</v>
      </c>
      <c r="W65" s="1007">
        <f t="shared" si="7"/>
        <v>229500</v>
      </c>
      <c r="X65" s="569"/>
      <c r="Y65" s="20"/>
      <c r="Z65" s="685" t="s">
        <v>182</v>
      </c>
      <c r="AA65" s="686" t="s">
        <v>152</v>
      </c>
      <c r="AB65" s="309"/>
      <c r="AC65" s="569">
        <v>14000</v>
      </c>
      <c r="AD65" s="569">
        <v>224000</v>
      </c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</row>
    <row r="66" spans="6:58" ht="13.5" customHeight="1">
      <c r="F66" s="22" t="s">
        <v>60</v>
      </c>
      <c r="G66" s="22" t="s">
        <v>153</v>
      </c>
      <c r="H66" s="22">
        <v>5</v>
      </c>
      <c r="I66" s="508">
        <v>7500</v>
      </c>
      <c r="J66" s="508">
        <f t="shared" si="5"/>
        <v>37500</v>
      </c>
      <c r="L66" s="939" t="s">
        <v>255</v>
      </c>
      <c r="M66" s="69" t="s">
        <v>256</v>
      </c>
      <c r="N66" s="22">
        <v>1</v>
      </c>
      <c r="O66" s="508">
        <v>8500</v>
      </c>
      <c r="P66" s="508">
        <f t="shared" si="6"/>
        <v>8500</v>
      </c>
      <c r="Q66" s="1031"/>
      <c r="R66" s="20"/>
      <c r="S66" s="1006" t="s">
        <v>255</v>
      </c>
      <c r="T66" s="686" t="s">
        <v>256</v>
      </c>
      <c r="U66" s="686">
        <v>1</v>
      </c>
      <c r="V66" s="1007">
        <v>8500</v>
      </c>
      <c r="W66" s="1007">
        <f t="shared" si="7"/>
        <v>8500</v>
      </c>
      <c r="X66" s="569"/>
      <c r="Y66" s="20"/>
      <c r="Z66" s="685" t="s">
        <v>154</v>
      </c>
      <c r="AA66" s="686" t="s">
        <v>153</v>
      </c>
      <c r="AB66" s="309"/>
      <c r="AC66" s="569">
        <v>7500</v>
      </c>
      <c r="AD66" s="569">
        <v>37500</v>
      </c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</row>
    <row r="67" spans="6:58" ht="13.5" customHeight="1">
      <c r="F67" s="22" t="s">
        <v>155</v>
      </c>
      <c r="G67" s="22" t="s">
        <v>74</v>
      </c>
      <c r="H67" s="22">
        <v>0.5</v>
      </c>
      <c r="I67" s="508">
        <v>14000</v>
      </c>
      <c r="J67" s="508">
        <f t="shared" si="5"/>
        <v>7000</v>
      </c>
      <c r="L67" s="939" t="s">
        <v>167</v>
      </c>
      <c r="M67" s="69" t="s">
        <v>168</v>
      </c>
      <c r="N67" s="82">
        <v>10</v>
      </c>
      <c r="O67" s="508">
        <v>8500</v>
      </c>
      <c r="P67" s="508">
        <f t="shared" si="6"/>
        <v>85000</v>
      </c>
      <c r="Q67" s="1031"/>
      <c r="R67" s="20"/>
      <c r="S67" s="1006" t="s">
        <v>167</v>
      </c>
      <c r="T67" s="686" t="s">
        <v>168</v>
      </c>
      <c r="U67" s="686">
        <v>10</v>
      </c>
      <c r="V67" s="1007">
        <v>8500</v>
      </c>
      <c r="W67" s="1007">
        <f t="shared" si="7"/>
        <v>85000</v>
      </c>
      <c r="X67" s="569"/>
      <c r="Y67" s="20"/>
      <c r="Z67" s="685" t="s">
        <v>156</v>
      </c>
      <c r="AA67" s="686" t="s">
        <v>157</v>
      </c>
      <c r="AB67" s="309"/>
      <c r="AC67" s="569">
        <v>14000</v>
      </c>
      <c r="AD67" s="569">
        <v>14000</v>
      </c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</row>
    <row r="68" spans="6:58" ht="13.5" customHeight="1">
      <c r="F68" s="22" t="s">
        <v>155</v>
      </c>
      <c r="G68" s="22" t="s">
        <v>142</v>
      </c>
      <c r="H68" s="22">
        <v>0.75</v>
      </c>
      <c r="I68" s="508">
        <v>8500</v>
      </c>
      <c r="J68" s="508">
        <f t="shared" si="5"/>
        <v>6375</v>
      </c>
      <c r="L68" s="939" t="s">
        <v>170</v>
      </c>
      <c r="M68" s="69" t="s">
        <v>171</v>
      </c>
      <c r="N68" s="82">
        <v>2</v>
      </c>
      <c r="O68" s="508">
        <v>14000</v>
      </c>
      <c r="P68" s="508">
        <f t="shared" si="6"/>
        <v>28000</v>
      </c>
      <c r="Q68" s="1031"/>
      <c r="R68" s="20"/>
      <c r="S68" s="1006" t="s">
        <v>170</v>
      </c>
      <c r="T68" s="686" t="s">
        <v>171</v>
      </c>
      <c r="U68" s="686">
        <v>2</v>
      </c>
      <c r="V68" s="1007">
        <v>14000</v>
      </c>
      <c r="W68" s="1007">
        <f t="shared" si="7"/>
        <v>28000</v>
      </c>
      <c r="X68" s="569"/>
      <c r="Y68" s="20"/>
      <c r="Z68" s="685" t="s">
        <v>158</v>
      </c>
      <c r="AA68" s="686" t="s">
        <v>150</v>
      </c>
      <c r="AB68" s="309"/>
      <c r="AC68" s="569">
        <v>8500</v>
      </c>
      <c r="AD68" s="569">
        <v>8500</v>
      </c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</row>
    <row r="69" spans="6:58" ht="13.5" customHeight="1">
      <c r="F69" s="22" t="s">
        <v>63</v>
      </c>
      <c r="G69" s="22" t="s">
        <v>142</v>
      </c>
      <c r="H69" s="22">
        <v>0.5</v>
      </c>
      <c r="I69" s="508">
        <v>8500</v>
      </c>
      <c r="J69" s="508">
        <f t="shared" si="5"/>
        <v>4250</v>
      </c>
      <c r="L69" s="939" t="s">
        <v>175</v>
      </c>
      <c r="M69" s="69" t="s">
        <v>176</v>
      </c>
      <c r="N69" s="82">
        <v>12</v>
      </c>
      <c r="O69" s="508">
        <v>8500</v>
      </c>
      <c r="P69" s="508">
        <f t="shared" si="6"/>
        <v>102000</v>
      </c>
      <c r="Q69" s="1031"/>
      <c r="R69" s="20"/>
      <c r="S69" s="1006" t="s">
        <v>175</v>
      </c>
      <c r="T69" s="686" t="s">
        <v>176</v>
      </c>
      <c r="U69" s="686">
        <v>12</v>
      </c>
      <c r="V69" s="1007">
        <v>8500</v>
      </c>
      <c r="W69" s="1007">
        <f t="shared" si="7"/>
        <v>102000</v>
      </c>
      <c r="X69" s="569"/>
      <c r="Y69" s="20"/>
      <c r="Z69" s="685" t="s">
        <v>159</v>
      </c>
      <c r="AA69" s="686" t="s">
        <v>150</v>
      </c>
      <c r="AB69" s="309"/>
      <c r="AC69" s="569">
        <v>8500</v>
      </c>
      <c r="AD69" s="569">
        <v>17000</v>
      </c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</row>
    <row r="70" spans="6:58" ht="13.5" customHeight="1">
      <c r="F70" s="22" t="s">
        <v>64</v>
      </c>
      <c r="G70" s="22" t="s">
        <v>142</v>
      </c>
      <c r="H70" s="22">
        <v>0.75</v>
      </c>
      <c r="I70" s="508">
        <v>8500</v>
      </c>
      <c r="J70" s="508">
        <f t="shared" si="5"/>
        <v>6375</v>
      </c>
      <c r="L70" s="939" t="s">
        <v>183</v>
      </c>
      <c r="M70" s="69" t="s">
        <v>178</v>
      </c>
      <c r="N70" s="82">
        <v>15</v>
      </c>
      <c r="O70" s="508">
        <v>8500</v>
      </c>
      <c r="P70" s="508">
        <f t="shared" si="6"/>
        <v>127500</v>
      </c>
      <c r="Q70" s="1031"/>
      <c r="R70" s="20"/>
      <c r="S70" s="1006" t="s">
        <v>183</v>
      </c>
      <c r="T70" s="686" t="s">
        <v>178</v>
      </c>
      <c r="U70" s="686">
        <v>15</v>
      </c>
      <c r="V70" s="1007">
        <v>8500</v>
      </c>
      <c r="W70" s="1007">
        <f t="shared" si="7"/>
        <v>127500</v>
      </c>
      <c r="X70" s="569"/>
      <c r="Y70" s="20"/>
      <c r="Z70" s="685" t="s">
        <v>162</v>
      </c>
      <c r="AA70" s="686" t="s">
        <v>163</v>
      </c>
      <c r="AB70" s="309"/>
      <c r="AC70" s="569">
        <v>8500</v>
      </c>
      <c r="AD70" s="569">
        <v>8500</v>
      </c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</row>
    <row r="71" spans="6:58" ht="13.5" customHeight="1">
      <c r="F71" s="22" t="s">
        <v>160</v>
      </c>
      <c r="G71" s="22" t="s">
        <v>161</v>
      </c>
      <c r="H71" s="22">
        <v>0.5</v>
      </c>
      <c r="I71" s="508">
        <v>8500</v>
      </c>
      <c r="J71" s="508">
        <f t="shared" si="5"/>
        <v>4250</v>
      </c>
      <c r="L71" s="939" t="s">
        <v>182</v>
      </c>
      <c r="M71" s="69" t="s">
        <v>152</v>
      </c>
      <c r="N71" s="82">
        <v>30</v>
      </c>
      <c r="O71" s="508">
        <v>14000</v>
      </c>
      <c r="P71" s="508">
        <f t="shared" si="6"/>
        <v>420000</v>
      </c>
      <c r="Q71" s="1031" t="s">
        <v>60</v>
      </c>
      <c r="R71" s="20"/>
      <c r="S71" s="1006" t="s">
        <v>182</v>
      </c>
      <c r="T71" s="686" t="s">
        <v>152</v>
      </c>
      <c r="U71" s="686">
        <v>30</v>
      </c>
      <c r="V71" s="1007">
        <v>14000</v>
      </c>
      <c r="W71" s="1007">
        <f t="shared" si="7"/>
        <v>420000</v>
      </c>
      <c r="X71" s="569"/>
      <c r="Y71" s="20"/>
      <c r="Z71" s="685" t="s">
        <v>165</v>
      </c>
      <c r="AA71" s="686" t="s">
        <v>144</v>
      </c>
      <c r="AB71" s="309"/>
      <c r="AC71" s="569">
        <v>8500</v>
      </c>
      <c r="AD71" s="569">
        <v>8500</v>
      </c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</row>
    <row r="72" spans="6:58" ht="13.5" customHeight="1">
      <c r="F72" s="22" t="s">
        <v>164</v>
      </c>
      <c r="G72" s="22" t="s">
        <v>142</v>
      </c>
      <c r="H72" s="22">
        <v>0.5</v>
      </c>
      <c r="I72" s="508">
        <v>8500</v>
      </c>
      <c r="J72" s="508">
        <f t="shared" si="5"/>
        <v>4250</v>
      </c>
      <c r="L72" s="939" t="s">
        <v>257</v>
      </c>
      <c r="M72" s="69" t="s">
        <v>230</v>
      </c>
      <c r="N72" s="82">
        <v>1</v>
      </c>
      <c r="O72" s="508">
        <v>14000</v>
      </c>
      <c r="P72" s="508">
        <f t="shared" si="6"/>
        <v>14000</v>
      </c>
      <c r="Q72" s="1031"/>
      <c r="R72" s="20"/>
      <c r="S72" s="1006" t="s">
        <v>257</v>
      </c>
      <c r="T72" s="686" t="s">
        <v>258</v>
      </c>
      <c r="U72" s="686">
        <v>1</v>
      </c>
      <c r="V72" s="1007">
        <v>14000</v>
      </c>
      <c r="W72" s="1007">
        <f t="shared" si="7"/>
        <v>14000</v>
      </c>
      <c r="X72" s="569"/>
      <c r="Y72" s="20"/>
      <c r="Z72" s="685" t="s">
        <v>167</v>
      </c>
      <c r="AA72" s="686" t="s">
        <v>168</v>
      </c>
      <c r="AB72" s="309"/>
      <c r="AC72" s="569">
        <v>8500</v>
      </c>
      <c r="AD72" s="569">
        <v>42500</v>
      </c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</row>
    <row r="73" spans="6:58" ht="13.5" customHeight="1">
      <c r="F73" s="22" t="s">
        <v>137</v>
      </c>
      <c r="G73" s="22" t="s">
        <v>166</v>
      </c>
      <c r="H73" s="22">
        <v>6</v>
      </c>
      <c r="I73" s="508">
        <v>8500</v>
      </c>
      <c r="J73" s="508">
        <f t="shared" si="5"/>
        <v>51000</v>
      </c>
      <c r="L73" s="939" t="s">
        <v>154</v>
      </c>
      <c r="M73" s="69" t="s">
        <v>153</v>
      </c>
      <c r="N73" s="82">
        <v>5</v>
      </c>
      <c r="O73" s="508">
        <v>7500</v>
      </c>
      <c r="P73" s="508">
        <f t="shared" si="6"/>
        <v>37500</v>
      </c>
      <c r="Q73" s="1031"/>
      <c r="R73" s="20"/>
      <c r="S73" s="1006" t="s">
        <v>154</v>
      </c>
      <c r="T73" s="686" t="s">
        <v>153</v>
      </c>
      <c r="U73" s="686">
        <v>5</v>
      </c>
      <c r="V73" s="1007">
        <v>7500</v>
      </c>
      <c r="W73" s="1007">
        <f t="shared" si="7"/>
        <v>37500</v>
      </c>
      <c r="X73" s="569"/>
      <c r="Y73" s="20"/>
      <c r="Z73" s="685" t="s">
        <v>170</v>
      </c>
      <c r="AA73" s="686" t="s">
        <v>171</v>
      </c>
      <c r="AB73" s="309"/>
      <c r="AC73" s="569">
        <v>14000</v>
      </c>
      <c r="AD73" s="569">
        <v>14000</v>
      </c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</row>
    <row r="74" spans="6:58" ht="13.5" customHeight="1">
      <c r="F74" s="22" t="s">
        <v>137</v>
      </c>
      <c r="G74" s="22" t="s">
        <v>169</v>
      </c>
      <c r="H74" s="22">
        <v>0.5</v>
      </c>
      <c r="I74" s="508">
        <v>14000</v>
      </c>
      <c r="J74" s="508">
        <f t="shared" si="5"/>
        <v>7000</v>
      </c>
      <c r="L74" s="939"/>
      <c r="M74" s="69" t="s">
        <v>61</v>
      </c>
      <c r="N74" s="22"/>
      <c r="O74" s="508">
        <v>8500</v>
      </c>
      <c r="P74" s="508">
        <f t="shared" si="6"/>
        <v>0</v>
      </c>
      <c r="Q74" s="1031" t="s">
        <v>61</v>
      </c>
      <c r="R74" s="20"/>
      <c r="S74" s="1006" t="s">
        <v>259</v>
      </c>
      <c r="T74" s="686" t="s">
        <v>260</v>
      </c>
      <c r="U74" s="686">
        <v>3</v>
      </c>
      <c r="V74" s="1007">
        <v>8500</v>
      </c>
      <c r="W74" s="1007">
        <f t="shared" si="7"/>
        <v>25500</v>
      </c>
      <c r="X74" s="569"/>
      <c r="Y74" s="20"/>
      <c r="Z74" s="685" t="s">
        <v>173</v>
      </c>
      <c r="AA74" s="686" t="s">
        <v>174</v>
      </c>
      <c r="AB74" s="309"/>
      <c r="AC74" s="569">
        <v>8500</v>
      </c>
      <c r="AD74" s="569">
        <v>25500</v>
      </c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</row>
    <row r="75" spans="6:58" ht="13.5" customHeight="1">
      <c r="F75" s="22" t="s">
        <v>137</v>
      </c>
      <c r="G75" s="22" t="s">
        <v>172</v>
      </c>
      <c r="H75" s="22">
        <v>3</v>
      </c>
      <c r="I75" s="508">
        <v>8500</v>
      </c>
      <c r="J75" s="508">
        <f t="shared" si="5"/>
        <v>25500</v>
      </c>
      <c r="L75" s="939" t="s">
        <v>259</v>
      </c>
      <c r="M75" s="69" t="s">
        <v>261</v>
      </c>
      <c r="N75" s="22">
        <v>3</v>
      </c>
      <c r="O75" s="508">
        <v>8500</v>
      </c>
      <c r="P75" s="508">
        <f t="shared" si="6"/>
        <v>25500</v>
      </c>
      <c r="Q75" s="1031"/>
      <c r="R75" s="20"/>
      <c r="S75" s="1006" t="s">
        <v>156</v>
      </c>
      <c r="T75" s="686" t="s">
        <v>157</v>
      </c>
      <c r="U75" s="686">
        <v>2</v>
      </c>
      <c r="V75" s="1007">
        <v>14000</v>
      </c>
      <c r="W75" s="1007">
        <f t="shared" si="7"/>
        <v>28000</v>
      </c>
      <c r="X75" s="569"/>
      <c r="Y75" s="20"/>
      <c r="Z75" s="685" t="s">
        <v>175</v>
      </c>
      <c r="AA75" s="686" t="s">
        <v>176</v>
      </c>
      <c r="AB75" s="309"/>
      <c r="AC75" s="569">
        <v>8500</v>
      </c>
      <c r="AD75" s="569">
        <v>17000</v>
      </c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</row>
    <row r="76" spans="6:58" ht="13.5" customHeight="1">
      <c r="F76" s="22" t="s">
        <v>137</v>
      </c>
      <c r="G76" s="22" t="s">
        <v>35</v>
      </c>
      <c r="H76" s="22">
        <v>2</v>
      </c>
      <c r="I76" s="508">
        <v>8500</v>
      </c>
      <c r="J76" s="508">
        <f t="shared" si="5"/>
        <v>17000</v>
      </c>
      <c r="L76" s="939" t="s">
        <v>156</v>
      </c>
      <c r="M76" s="69" t="s">
        <v>157</v>
      </c>
      <c r="N76" s="82">
        <v>2</v>
      </c>
      <c r="O76" s="508">
        <v>14000</v>
      </c>
      <c r="P76" s="508">
        <f t="shared" si="6"/>
        <v>28000</v>
      </c>
      <c r="Q76" s="1031" t="s">
        <v>262</v>
      </c>
      <c r="R76" s="20"/>
      <c r="S76" s="1006" t="s">
        <v>158</v>
      </c>
      <c r="T76" s="686" t="s">
        <v>150</v>
      </c>
      <c r="U76" s="686">
        <v>5</v>
      </c>
      <c r="V76" s="1007">
        <v>8500</v>
      </c>
      <c r="W76" s="1007">
        <f t="shared" si="7"/>
        <v>42500</v>
      </c>
      <c r="X76" s="569"/>
      <c r="Y76" s="20"/>
      <c r="Z76" s="685" t="s">
        <v>183</v>
      </c>
      <c r="AA76" s="686" t="s">
        <v>178</v>
      </c>
      <c r="AB76" s="309"/>
      <c r="AC76" s="569">
        <v>8500</v>
      </c>
      <c r="AD76" s="569">
        <v>25500</v>
      </c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</row>
    <row r="77" spans="6:58" ht="21.65" customHeight="1">
      <c r="F77" s="22" t="s">
        <v>137</v>
      </c>
      <c r="G77" s="22" t="s">
        <v>11</v>
      </c>
      <c r="H77" s="22">
        <v>3</v>
      </c>
      <c r="I77" s="508">
        <v>8500</v>
      </c>
      <c r="J77" s="508">
        <f t="shared" si="5"/>
        <v>25500</v>
      </c>
      <c r="L77" s="939" t="s">
        <v>158</v>
      </c>
      <c r="M77" s="69" t="s">
        <v>150</v>
      </c>
      <c r="N77" s="82">
        <v>5</v>
      </c>
      <c r="O77" s="508">
        <v>8500</v>
      </c>
      <c r="P77" s="508">
        <f t="shared" si="6"/>
        <v>42500</v>
      </c>
      <c r="Q77" s="1031"/>
      <c r="R77" s="20"/>
      <c r="S77" s="1006" t="s">
        <v>263</v>
      </c>
      <c r="T77" s="686" t="s">
        <v>148</v>
      </c>
      <c r="U77" s="686">
        <v>3</v>
      </c>
      <c r="V77" s="1007">
        <v>14000</v>
      </c>
      <c r="W77" s="1007">
        <f t="shared" si="7"/>
        <v>42000</v>
      </c>
      <c r="X77" s="569"/>
      <c r="Y77" s="20"/>
      <c r="Z77" s="1057" t="s">
        <v>184</v>
      </c>
      <c r="AA77" s="1058"/>
      <c r="AB77" s="309">
        <v>145</v>
      </c>
      <c r="AC77" s="570"/>
      <c r="AD77" s="569">
        <v>1574000</v>
      </c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</row>
    <row r="78" spans="6:58" ht="13.5" customHeight="1">
      <c r="H78" s="507">
        <f>SUM(H60:H77)</f>
        <v>159</v>
      </c>
      <c r="I78" s="509"/>
      <c r="J78" s="510">
        <f>SUM(J60:J77)</f>
        <v>1712250</v>
      </c>
      <c r="L78" s="939" t="s">
        <v>263</v>
      </c>
      <c r="M78" s="69" t="s">
        <v>264</v>
      </c>
      <c r="N78" s="22">
        <v>3</v>
      </c>
      <c r="O78" s="508">
        <v>14000</v>
      </c>
      <c r="P78" s="508">
        <f t="shared" si="6"/>
        <v>42000</v>
      </c>
      <c r="Q78" s="1031"/>
      <c r="R78" s="20"/>
      <c r="S78" s="1006" t="s">
        <v>159</v>
      </c>
      <c r="T78" s="686" t="s">
        <v>144</v>
      </c>
      <c r="U78" s="686">
        <v>13</v>
      </c>
      <c r="V78" s="1007">
        <v>8500</v>
      </c>
      <c r="W78" s="1007">
        <f t="shared" si="7"/>
        <v>110500</v>
      </c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</row>
    <row r="79" spans="6:58" ht="13.5" customHeight="1">
      <c r="J79" s="512">
        <f>J78-BC55</f>
        <v>1712250</v>
      </c>
      <c r="L79" s="939" t="s">
        <v>159</v>
      </c>
      <c r="M79" s="69" t="s">
        <v>142</v>
      </c>
      <c r="N79" s="82">
        <v>6</v>
      </c>
      <c r="O79" s="508">
        <v>8500</v>
      </c>
      <c r="P79" s="508">
        <f t="shared" si="6"/>
        <v>51000</v>
      </c>
      <c r="Q79" s="1031" t="s">
        <v>265</v>
      </c>
      <c r="R79" s="20"/>
      <c r="S79" s="1006" t="s">
        <v>266</v>
      </c>
      <c r="T79" s="686" t="s">
        <v>148</v>
      </c>
      <c r="U79" s="686">
        <v>12</v>
      </c>
      <c r="V79" s="1007">
        <v>14000</v>
      </c>
      <c r="W79" s="1007">
        <f t="shared" si="7"/>
        <v>168000</v>
      </c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</row>
    <row r="80" spans="6:58" ht="19" customHeight="1">
      <c r="L80" s="939" t="s">
        <v>266</v>
      </c>
      <c r="M80" s="69" t="s">
        <v>264</v>
      </c>
      <c r="N80" s="22">
        <v>5</v>
      </c>
      <c r="O80" s="508">
        <v>14000</v>
      </c>
      <c r="P80" s="508">
        <f t="shared" si="6"/>
        <v>70000</v>
      </c>
      <c r="Q80" s="1031"/>
      <c r="R80" s="20"/>
      <c r="S80" s="1006" t="s">
        <v>267</v>
      </c>
      <c r="T80" s="686" t="s">
        <v>163</v>
      </c>
      <c r="U80" s="686">
        <v>2</v>
      </c>
      <c r="V80" s="1007">
        <v>8500</v>
      </c>
      <c r="W80" s="1007">
        <f t="shared" si="7"/>
        <v>17000</v>
      </c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</row>
    <row r="81" spans="12:58" ht="13.5" customHeight="1">
      <c r="L81" s="939" t="s">
        <v>267</v>
      </c>
      <c r="M81" s="69" t="s">
        <v>268</v>
      </c>
      <c r="N81" s="22">
        <v>0.5</v>
      </c>
      <c r="O81" s="508">
        <v>8500</v>
      </c>
      <c r="P81" s="508">
        <f t="shared" si="6"/>
        <v>4250</v>
      </c>
      <c r="Q81" s="1031"/>
      <c r="R81" s="20"/>
      <c r="S81" s="1006" t="s">
        <v>269</v>
      </c>
      <c r="T81" s="686" t="s">
        <v>148</v>
      </c>
      <c r="U81" s="686">
        <v>2</v>
      </c>
      <c r="V81" s="1007">
        <v>14000</v>
      </c>
      <c r="W81" s="1007">
        <f t="shared" si="7"/>
        <v>28000</v>
      </c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</row>
    <row r="82" spans="12:58" ht="13.5" customHeight="1">
      <c r="L82" s="939" t="s">
        <v>159</v>
      </c>
      <c r="M82" s="69" t="s">
        <v>142</v>
      </c>
      <c r="N82" s="82">
        <v>7</v>
      </c>
      <c r="O82" s="508">
        <v>8500</v>
      </c>
      <c r="P82" s="508">
        <f t="shared" si="6"/>
        <v>59500</v>
      </c>
      <c r="Q82" s="1031" t="s">
        <v>270</v>
      </c>
      <c r="R82" s="20"/>
      <c r="S82" s="1006" t="s">
        <v>165</v>
      </c>
      <c r="T82" s="686" t="s">
        <v>144</v>
      </c>
      <c r="U82" s="686">
        <v>10</v>
      </c>
      <c r="V82" s="1007">
        <v>8500</v>
      </c>
      <c r="W82" s="1007">
        <f t="shared" si="7"/>
        <v>85000</v>
      </c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</row>
    <row r="83" spans="12:58" ht="13.5" customHeight="1">
      <c r="L83" s="939" t="s">
        <v>266</v>
      </c>
      <c r="M83" s="69" t="s">
        <v>264</v>
      </c>
      <c r="N83" s="22">
        <v>7</v>
      </c>
      <c r="O83" s="508">
        <v>14000</v>
      </c>
      <c r="P83" s="508">
        <f t="shared" si="6"/>
        <v>98000</v>
      </c>
      <c r="Q83" s="1031"/>
      <c r="R83" s="20"/>
      <c r="S83" s="1006" t="s">
        <v>271</v>
      </c>
      <c r="T83" s="686" t="s">
        <v>178</v>
      </c>
      <c r="U83" s="686">
        <v>2</v>
      </c>
      <c r="V83" s="1007">
        <v>8500</v>
      </c>
      <c r="W83" s="1007">
        <f t="shared" si="7"/>
        <v>17000</v>
      </c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</row>
    <row r="84" spans="12:58" ht="13.5" customHeight="1">
      <c r="L84" s="939" t="s">
        <v>267</v>
      </c>
      <c r="M84" s="69" t="s">
        <v>268</v>
      </c>
      <c r="N84" s="22">
        <v>1.5</v>
      </c>
      <c r="O84" s="508">
        <v>8500</v>
      </c>
      <c r="P84" s="508">
        <f t="shared" si="6"/>
        <v>12750</v>
      </c>
      <c r="Q84" s="1031"/>
      <c r="R84" s="20"/>
      <c r="S84" s="1006" t="s">
        <v>173</v>
      </c>
      <c r="T84" s="686" t="s">
        <v>272</v>
      </c>
      <c r="U84" s="686">
        <v>6</v>
      </c>
      <c r="V84" s="1007">
        <v>8500</v>
      </c>
      <c r="W84" s="1007">
        <f>U84*V84</f>
        <v>51000</v>
      </c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</row>
    <row r="85" spans="12:58" ht="21" customHeight="1">
      <c r="L85" s="939" t="s">
        <v>173</v>
      </c>
      <c r="M85" s="69" t="s">
        <v>163</v>
      </c>
      <c r="N85" s="82">
        <v>3</v>
      </c>
      <c r="O85" s="508">
        <v>8500</v>
      </c>
      <c r="P85" s="508">
        <f t="shared" si="6"/>
        <v>25500</v>
      </c>
      <c r="Q85" s="60" t="s">
        <v>275</v>
      </c>
      <c r="R85" s="20"/>
      <c r="S85" s="1101" t="s">
        <v>184</v>
      </c>
      <c r="T85" s="1102"/>
      <c r="U85" s="686">
        <f>SUM(U60:U84)</f>
        <v>397</v>
      </c>
      <c r="V85" s="1008"/>
      <c r="W85" s="1007">
        <f>SUM(W60:W84)</f>
        <v>4200000</v>
      </c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</row>
    <row r="86" spans="12:58" ht="13.5" customHeight="1">
      <c r="N86" s="568">
        <f>SUM(N60:N85)</f>
        <v>380</v>
      </c>
      <c r="O86" s="509"/>
      <c r="P86" s="510">
        <f>SUM(P60:P85)</f>
        <v>4044500</v>
      </c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</row>
    <row r="87" spans="12:58" ht="13.5" customHeight="1"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</row>
    <row r="88" spans="12:58" ht="13.5" customHeight="1"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</row>
    <row r="89" spans="12:58" ht="13.5" customHeight="1"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</row>
    <row r="90" spans="12:58" ht="13.5" customHeight="1"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</row>
    <row r="91" spans="12:58" ht="13.5" customHeight="1"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</row>
    <row r="92" spans="12:58" ht="13.5" customHeight="1"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</row>
    <row r="93" spans="12:58" ht="13.5" customHeight="1"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</row>
    <row r="94" spans="12:58" ht="13.5" customHeight="1">
      <c r="O94" s="513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</row>
    <row r="95" spans="12:58" ht="13.5" customHeight="1"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</row>
    <row r="96" spans="12:58" ht="13.5" customHeight="1"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</row>
    <row r="97" spans="14:58" ht="13.5" customHeight="1"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</row>
    <row r="98" spans="14:58" ht="13.5" customHeight="1"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</row>
    <row r="99" spans="14:58" ht="13.5" customHeight="1"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</row>
    <row r="100" spans="14:58" ht="13.5" customHeight="1"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</row>
    <row r="101" spans="14:58" ht="13.5" customHeight="1"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</row>
    <row r="102" spans="14:58" ht="13.5" customHeight="1"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</row>
    <row r="103" spans="14:58" ht="13.5" customHeight="1"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</row>
    <row r="104" spans="14:58" ht="13.5" customHeight="1"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</row>
    <row r="105" spans="14:58" ht="13.5" customHeight="1"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</row>
    <row r="106" spans="14:58" ht="13.5" customHeight="1"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</row>
    <row r="107" spans="14:58" ht="13.5" customHeight="1"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</row>
    <row r="108" spans="14:58" ht="13.5" customHeight="1"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</row>
    <row r="109" spans="14:58" ht="13.5" customHeight="1"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</row>
    <row r="110" spans="14:58" ht="13.5" customHeight="1">
      <c r="N110" s="513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</row>
    <row r="111" spans="14:58" ht="13.5" customHeight="1"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</row>
    <row r="112" spans="14:58" ht="13.5" customHeight="1"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</row>
    <row r="113" spans="16:58" ht="13.5" customHeight="1"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</row>
    <row r="114" spans="16:58" ht="13.5" customHeight="1"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</row>
    <row r="115" spans="16:58" ht="13.5" customHeight="1"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</row>
    <row r="116" spans="16:58" ht="13.5" customHeight="1"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</row>
    <row r="117" spans="16:58" ht="13.5" customHeight="1"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</row>
    <row r="118" spans="16:58" ht="13.5" customHeight="1"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</row>
    <row r="119" spans="16:58" ht="13.5" customHeight="1"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</row>
    <row r="120" spans="16:58" ht="13.5" customHeight="1"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</row>
    <row r="121" spans="16:58" ht="13.5" customHeight="1"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</row>
    <row r="122" spans="16:58" ht="13.5" customHeight="1"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</row>
    <row r="123" spans="16:58" ht="13.5" customHeight="1"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</row>
    <row r="124" spans="16:58" ht="13.5" customHeight="1"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</row>
    <row r="125" spans="16:58" ht="13.5" customHeight="1"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</row>
    <row r="126" spans="16:58" ht="13.5" customHeight="1"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</row>
    <row r="127" spans="16:58" ht="13.5" customHeight="1"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</row>
    <row r="128" spans="16:58" ht="13.5" customHeight="1"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</row>
    <row r="129" spans="16:58" ht="13.5" customHeight="1"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</row>
    <row r="130" spans="16:58" ht="13.5" customHeight="1"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</row>
    <row r="131" spans="16:58" ht="13.5" customHeight="1"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</row>
    <row r="132" spans="16:58" ht="13.5" customHeight="1"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</row>
    <row r="133" spans="16:58" ht="13.5" customHeight="1"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</row>
    <row r="134" spans="16:58" ht="13.5" customHeight="1"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</row>
    <row r="135" spans="16:58" ht="13.5" customHeight="1"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</row>
    <row r="136" spans="16:58" ht="13.5" customHeight="1"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</row>
    <row r="137" spans="16:58" ht="13.5" customHeight="1">
      <c r="P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</row>
    <row r="138" spans="16:58" ht="13.5" customHeight="1">
      <c r="P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</row>
    <row r="139" spans="16:58" ht="13.5" customHeight="1"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</row>
  </sheetData>
  <autoFilter ref="A2:EE57" xr:uid="{481CC179-ECF6-4748-96A9-1D852131BE18}"/>
  <mergeCells count="22">
    <mergeCell ref="Q82:Q84"/>
    <mergeCell ref="S85:T85"/>
    <mergeCell ref="F41:F43"/>
    <mergeCell ref="G41:G43"/>
    <mergeCell ref="H41:H43"/>
    <mergeCell ref="I41:I43"/>
    <mergeCell ref="Z77:AA77"/>
    <mergeCell ref="Q79:Q81"/>
    <mergeCell ref="K37:K38"/>
    <mergeCell ref="AW1:BD1"/>
    <mergeCell ref="F8:F18"/>
    <mergeCell ref="F1:R1"/>
    <mergeCell ref="S1:V1"/>
    <mergeCell ref="W1:X1"/>
    <mergeCell ref="Y1:AF1"/>
    <mergeCell ref="AG1:AN1"/>
    <mergeCell ref="AO1:AV1"/>
    <mergeCell ref="F20:F24"/>
    <mergeCell ref="Q60:Q70"/>
    <mergeCell ref="Q71:Q73"/>
    <mergeCell ref="Q74:Q75"/>
    <mergeCell ref="Q76:Q7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D7218-DBD7-4AA2-8AFE-2244F180F110}">
  <sheetPr>
    <tabColor rgb="FF7030A0"/>
  </sheetPr>
  <dimension ref="A1:EE138"/>
  <sheetViews>
    <sheetView tabSelected="1" zoomScale="85" zoomScaleNormal="85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AW44" sqref="AW44"/>
    </sheetView>
  </sheetViews>
  <sheetFormatPr defaultColWidth="8.6328125" defaultRowHeight="14.5"/>
  <cols>
    <col min="1" max="1" width="4.36328125" style="20" customWidth="1"/>
    <col min="2" max="2" width="5.08984375" style="87" customWidth="1"/>
    <col min="3" max="3" width="61.36328125" style="20" customWidth="1"/>
    <col min="4" max="4" width="9.08984375" style="20" customWidth="1"/>
    <col min="5" max="5" width="8.6328125" style="87" customWidth="1"/>
    <col min="6" max="6" width="11.90625" style="19" customWidth="1"/>
    <col min="7" max="7" width="12" style="19" customWidth="1"/>
    <col min="8" max="8" width="12.6328125" style="19" customWidth="1"/>
    <col min="9" max="9" width="14.90625" style="19" customWidth="1"/>
    <col min="10" max="10" width="16.6328125" style="19" customWidth="1"/>
    <col min="11" max="12" width="11.6328125" style="19" customWidth="1"/>
    <col min="13" max="13" width="12.6328125" style="19" customWidth="1"/>
    <col min="14" max="14" width="11.90625" style="19" customWidth="1"/>
    <col min="15" max="15" width="11.36328125" style="19" customWidth="1"/>
    <col min="16" max="16" width="14.36328125" style="19" customWidth="1"/>
    <col min="17" max="17" width="11.36328125" style="19" customWidth="1"/>
    <col min="18" max="21" width="12.6328125" style="19" customWidth="1"/>
    <col min="22" max="56" width="13.08984375" style="19" customWidth="1"/>
    <col min="57" max="57" width="32.26953125" style="19" bestFit="1" customWidth="1"/>
    <col min="58" max="58" width="17.36328125" style="19" customWidth="1"/>
    <col min="59" max="59" width="11.08984375" style="20" bestFit="1" customWidth="1"/>
    <col min="60" max="60" width="15.36328125" style="20" bestFit="1" customWidth="1"/>
    <col min="61" max="16384" width="8.6328125" style="20"/>
  </cols>
  <sheetData>
    <row r="1" spans="1:135" ht="15" customHeight="1" thickBot="1">
      <c r="A1" s="1106" t="s">
        <v>343</v>
      </c>
      <c r="B1" s="1106"/>
      <c r="C1" s="1106"/>
      <c r="D1" s="549"/>
      <c r="E1" s="812"/>
      <c r="F1" s="1096" t="s">
        <v>236</v>
      </c>
      <c r="G1" s="1097"/>
      <c r="H1" s="1097"/>
      <c r="I1" s="1097"/>
      <c r="J1" s="1097"/>
      <c r="K1" s="1097"/>
      <c r="L1" s="1097"/>
      <c r="M1" s="1097"/>
      <c r="N1" s="1097"/>
      <c r="O1" s="1097"/>
      <c r="P1" s="1097"/>
      <c r="Q1" s="1097"/>
      <c r="R1" s="1098"/>
      <c r="S1" s="1078" t="s">
        <v>60</v>
      </c>
      <c r="T1" s="1079"/>
      <c r="U1" s="1080"/>
      <c r="V1" s="1080"/>
      <c r="W1" s="1085" t="s">
        <v>61</v>
      </c>
      <c r="X1" s="1080"/>
      <c r="Y1" s="1085" t="s">
        <v>62</v>
      </c>
      <c r="Z1" s="1079"/>
      <c r="AA1" s="1079"/>
      <c r="AB1" s="1079"/>
      <c r="AC1" s="1079"/>
      <c r="AD1" s="1079"/>
      <c r="AE1" s="1079"/>
      <c r="AF1" s="1080"/>
      <c r="AG1" s="1085" t="s">
        <v>63</v>
      </c>
      <c r="AH1" s="1079"/>
      <c r="AI1" s="1079"/>
      <c r="AJ1" s="1079"/>
      <c r="AK1" s="1079"/>
      <c r="AL1" s="1079"/>
      <c r="AM1" s="1079"/>
      <c r="AN1" s="1080"/>
      <c r="AO1" s="1085" t="s">
        <v>64</v>
      </c>
      <c r="AP1" s="1079"/>
      <c r="AQ1" s="1079"/>
      <c r="AR1" s="1079"/>
      <c r="AS1" s="1079"/>
      <c r="AT1" s="1079"/>
      <c r="AU1" s="1079"/>
      <c r="AV1" s="1080"/>
      <c r="AW1" s="1085" t="s">
        <v>65</v>
      </c>
      <c r="AX1" s="1079"/>
      <c r="AY1" s="1079"/>
      <c r="AZ1" s="1079"/>
      <c r="BA1" s="1079"/>
      <c r="BB1" s="1079"/>
      <c r="BC1" s="1079"/>
      <c r="BD1" s="1086"/>
      <c r="BE1" s="867" t="s">
        <v>348</v>
      </c>
      <c r="BF1" s="20"/>
    </row>
    <row r="2" spans="1:135" ht="44.15" customHeight="1" thickBot="1">
      <c r="B2" s="981" t="s">
        <v>29</v>
      </c>
      <c r="C2" s="982" t="s">
        <v>30</v>
      </c>
      <c r="D2" s="842" t="s">
        <v>237</v>
      </c>
      <c r="E2" s="857" t="s">
        <v>238</v>
      </c>
      <c r="F2" s="314" t="s">
        <v>3</v>
      </c>
      <c r="G2" s="315" t="s">
        <v>31</v>
      </c>
      <c r="H2" s="315" t="s">
        <v>5</v>
      </c>
      <c r="I2" s="315" t="s">
        <v>108</v>
      </c>
      <c r="J2" s="994" t="s">
        <v>239</v>
      </c>
      <c r="K2" s="315" t="s">
        <v>7</v>
      </c>
      <c r="L2" s="315" t="s">
        <v>68</v>
      </c>
      <c r="M2" s="315" t="s">
        <v>69</v>
      </c>
      <c r="N2" s="315" t="s">
        <v>8</v>
      </c>
      <c r="O2" s="315" t="s">
        <v>9</v>
      </c>
      <c r="P2" s="315" t="s">
        <v>10</v>
      </c>
      <c r="Q2" s="315" t="s">
        <v>35</v>
      </c>
      <c r="R2" s="316" t="s">
        <v>11</v>
      </c>
      <c r="S2" s="998" t="s">
        <v>70</v>
      </c>
      <c r="T2" s="862" t="s">
        <v>71</v>
      </c>
      <c r="U2" s="916" t="s">
        <v>240</v>
      </c>
      <c r="V2" s="918" t="s">
        <v>34</v>
      </c>
      <c r="W2" s="921" t="s">
        <v>72</v>
      </c>
      <c r="X2" s="922" t="s">
        <v>73</v>
      </c>
      <c r="Y2" s="919" t="s">
        <v>74</v>
      </c>
      <c r="Z2" s="825" t="s">
        <v>31</v>
      </c>
      <c r="AA2" s="825" t="s">
        <v>6</v>
      </c>
      <c r="AB2" s="825" t="s">
        <v>75</v>
      </c>
      <c r="AC2" s="825" t="s">
        <v>7</v>
      </c>
      <c r="AD2" s="825" t="s">
        <v>76</v>
      </c>
      <c r="AE2" s="825" t="s">
        <v>77</v>
      </c>
      <c r="AF2" s="826" t="s">
        <v>189</v>
      </c>
      <c r="AG2" s="863" t="s">
        <v>74</v>
      </c>
      <c r="AH2" s="913" t="s">
        <v>241</v>
      </c>
      <c r="AI2" s="913" t="s">
        <v>242</v>
      </c>
      <c r="AJ2" s="913" t="s">
        <v>243</v>
      </c>
      <c r="AK2" s="864" t="s">
        <v>7</v>
      </c>
      <c r="AL2" s="864" t="s">
        <v>76</v>
      </c>
      <c r="AM2" s="864" t="s">
        <v>77</v>
      </c>
      <c r="AN2" s="866" t="s">
        <v>189</v>
      </c>
      <c r="AO2" s="863" t="s">
        <v>74</v>
      </c>
      <c r="AP2" s="913" t="s">
        <v>241</v>
      </c>
      <c r="AQ2" s="913" t="s">
        <v>242</v>
      </c>
      <c r="AR2" s="913" t="s">
        <v>243</v>
      </c>
      <c r="AS2" s="864" t="s">
        <v>7</v>
      </c>
      <c r="AT2" s="864" t="s">
        <v>76</v>
      </c>
      <c r="AU2" s="864" t="s">
        <v>77</v>
      </c>
      <c r="AV2" s="866" t="s">
        <v>189</v>
      </c>
      <c r="AW2" s="863" t="s">
        <v>74</v>
      </c>
      <c r="AX2" s="864" t="s">
        <v>31</v>
      </c>
      <c r="AY2" s="913" t="s">
        <v>244</v>
      </c>
      <c r="AZ2" s="913" t="s">
        <v>245</v>
      </c>
      <c r="BA2" s="913" t="s">
        <v>246</v>
      </c>
      <c r="BB2" s="864" t="s">
        <v>7</v>
      </c>
      <c r="BC2" s="864" t="s">
        <v>76</v>
      </c>
      <c r="BD2" s="865" t="s">
        <v>77</v>
      </c>
      <c r="BE2" s="964" t="s">
        <v>78</v>
      </c>
      <c r="BF2" s="20"/>
    </row>
    <row r="3" spans="1:135">
      <c r="B3" s="983">
        <v>1</v>
      </c>
      <c r="C3" s="949" t="s">
        <v>36</v>
      </c>
      <c r="D3" s="813" t="s">
        <v>247</v>
      </c>
      <c r="E3" s="820" t="s">
        <v>247</v>
      </c>
      <c r="F3" s="233">
        <v>3</v>
      </c>
      <c r="G3" s="62">
        <v>3</v>
      </c>
      <c r="H3" s="322"/>
      <c r="I3" s="322"/>
      <c r="J3" s="322"/>
      <c r="K3" s="322"/>
      <c r="L3" s="322"/>
      <c r="M3" s="322"/>
      <c r="N3" s="322"/>
      <c r="O3" s="322"/>
      <c r="P3" s="322"/>
      <c r="Q3" s="322"/>
      <c r="R3" s="323"/>
      <c r="S3" s="860"/>
      <c r="T3" s="824"/>
      <c r="U3" s="827"/>
      <c r="V3" s="827"/>
      <c r="W3" s="923"/>
      <c r="X3" s="924"/>
      <c r="Y3" s="860"/>
      <c r="Z3" s="824"/>
      <c r="AA3" s="824"/>
      <c r="AB3" s="824"/>
      <c r="AC3" s="824"/>
      <c r="AD3" s="824"/>
      <c r="AE3" s="824"/>
      <c r="AF3" s="827"/>
      <c r="AG3" s="654"/>
      <c r="AH3" s="325"/>
      <c r="AI3" s="325"/>
      <c r="AJ3" s="325"/>
      <c r="AK3" s="325"/>
      <c r="AL3" s="325"/>
      <c r="AM3" s="325"/>
      <c r="AN3" s="326"/>
      <c r="AO3" s="654"/>
      <c r="AP3" s="325"/>
      <c r="AQ3" s="325"/>
      <c r="AR3" s="325"/>
      <c r="AS3" s="325"/>
      <c r="AT3" s="325"/>
      <c r="AU3" s="325"/>
      <c r="AV3" s="326"/>
      <c r="AW3" s="654"/>
      <c r="AX3" s="325"/>
      <c r="AY3" s="325"/>
      <c r="AZ3" s="325"/>
      <c r="BA3" s="325"/>
      <c r="BB3" s="325"/>
      <c r="BC3" s="325"/>
      <c r="BD3" s="326"/>
      <c r="BE3" s="965"/>
      <c r="BF3" s="20"/>
    </row>
    <row r="4" spans="1:135" s="108" customFormat="1">
      <c r="A4" s="20"/>
      <c r="B4" s="984">
        <v>2</v>
      </c>
      <c r="C4" s="950" t="s">
        <v>79</v>
      </c>
      <c r="D4" s="814" t="s">
        <v>247</v>
      </c>
      <c r="E4" s="821" t="s">
        <v>247</v>
      </c>
      <c r="F4" s="229">
        <v>1</v>
      </c>
      <c r="G4" s="230">
        <v>0.5</v>
      </c>
      <c r="H4" s="334"/>
      <c r="I4" s="334"/>
      <c r="J4" s="334"/>
      <c r="K4" s="334"/>
      <c r="L4" s="231"/>
      <c r="M4" s="231"/>
      <c r="N4" s="231"/>
      <c r="O4" s="231"/>
      <c r="P4" s="231"/>
      <c r="Q4" s="231"/>
      <c r="R4" s="232"/>
      <c r="S4" s="335"/>
      <c r="T4" s="334"/>
      <c r="U4" s="336"/>
      <c r="V4" s="336"/>
      <c r="W4" s="925"/>
      <c r="X4" s="926"/>
      <c r="Y4" s="335"/>
      <c r="Z4" s="334"/>
      <c r="AA4" s="334"/>
      <c r="AB4" s="334"/>
      <c r="AC4" s="334"/>
      <c r="AD4" s="334"/>
      <c r="AE4" s="334"/>
      <c r="AF4" s="336"/>
      <c r="AG4" s="656"/>
      <c r="AH4" s="334"/>
      <c r="AI4" s="334"/>
      <c r="AJ4" s="334"/>
      <c r="AK4" s="334"/>
      <c r="AL4" s="334"/>
      <c r="AM4" s="334"/>
      <c r="AN4" s="336"/>
      <c r="AO4" s="656"/>
      <c r="AP4" s="334"/>
      <c r="AQ4" s="334"/>
      <c r="AR4" s="334"/>
      <c r="AS4" s="334"/>
      <c r="AT4" s="334"/>
      <c r="AU4" s="334"/>
      <c r="AV4" s="336"/>
      <c r="AW4" s="656"/>
      <c r="AX4" s="334"/>
      <c r="AY4" s="334"/>
      <c r="AZ4" s="334"/>
      <c r="BA4" s="334"/>
      <c r="BB4" s="334"/>
      <c r="BC4" s="334"/>
      <c r="BD4" s="336"/>
      <c r="BE4" s="966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</row>
    <row r="5" spans="1:135" s="910" customFormat="1">
      <c r="B5" s="836">
        <v>2</v>
      </c>
      <c r="C5" s="951" t="s">
        <v>80</v>
      </c>
      <c r="D5" s="817" t="s">
        <v>247</v>
      </c>
      <c r="E5" s="822" t="s">
        <v>247</v>
      </c>
      <c r="F5" s="909">
        <v>14</v>
      </c>
      <c r="G5" s="911">
        <v>4</v>
      </c>
      <c r="H5" s="254"/>
      <c r="I5" s="254"/>
      <c r="J5" s="254"/>
      <c r="K5" s="254"/>
      <c r="L5" s="254"/>
      <c r="M5" s="254"/>
      <c r="N5" s="254"/>
      <c r="O5" s="254"/>
      <c r="P5" s="254"/>
      <c r="Q5" s="254"/>
      <c r="R5" s="264"/>
      <c r="S5" s="349"/>
      <c r="T5" s="254"/>
      <c r="U5" s="267"/>
      <c r="V5" s="267"/>
      <c r="W5" s="927"/>
      <c r="X5" s="928"/>
      <c r="Y5" s="349"/>
      <c r="Z5" s="254"/>
      <c r="AA5" s="254"/>
      <c r="AB5" s="254"/>
      <c r="AC5" s="254"/>
      <c r="AD5" s="254"/>
      <c r="AE5" s="254"/>
      <c r="AF5" s="267"/>
      <c r="AG5" s="348"/>
      <c r="AH5" s="254"/>
      <c r="AI5" s="254"/>
      <c r="AJ5" s="254"/>
      <c r="AK5" s="254"/>
      <c r="AL5" s="254"/>
      <c r="AM5" s="254"/>
      <c r="AN5" s="267"/>
      <c r="AO5" s="348"/>
      <c r="AP5" s="254"/>
      <c r="AQ5" s="254"/>
      <c r="AR5" s="254"/>
      <c r="AS5" s="254"/>
      <c r="AT5" s="254"/>
      <c r="AU5" s="254"/>
      <c r="AV5" s="267"/>
      <c r="AW5" s="348"/>
      <c r="AX5" s="254"/>
      <c r="AY5" s="254"/>
      <c r="AZ5" s="254"/>
      <c r="BA5" s="254"/>
      <c r="BB5" s="254"/>
      <c r="BC5" s="254"/>
      <c r="BD5" s="267"/>
      <c r="BE5" s="967"/>
    </row>
    <row r="6" spans="1:135">
      <c r="B6" s="838">
        <v>3</v>
      </c>
      <c r="C6" s="952" t="s">
        <v>38</v>
      </c>
      <c r="D6" s="813" t="s">
        <v>247</v>
      </c>
      <c r="E6" s="820" t="s">
        <v>247</v>
      </c>
      <c r="F6" s="233">
        <v>2</v>
      </c>
      <c r="G6" s="62">
        <v>6</v>
      </c>
      <c r="H6" s="322">
        <v>2</v>
      </c>
      <c r="I6" s="322"/>
      <c r="J6" s="322"/>
      <c r="K6" s="322">
        <v>1</v>
      </c>
      <c r="L6" s="322"/>
      <c r="M6" s="322"/>
      <c r="N6" s="322"/>
      <c r="O6" s="322"/>
      <c r="P6" s="322"/>
      <c r="Q6" s="322"/>
      <c r="R6" s="323"/>
      <c r="S6" s="343"/>
      <c r="T6" s="322">
        <v>2</v>
      </c>
      <c r="U6" s="344"/>
      <c r="V6" s="344"/>
      <c r="W6" s="929"/>
      <c r="X6" s="930"/>
      <c r="Y6" s="271"/>
      <c r="Z6" s="62"/>
      <c r="AA6" s="62"/>
      <c r="AB6" s="62"/>
      <c r="AC6" s="62"/>
      <c r="AD6" s="62"/>
      <c r="AE6" s="62"/>
      <c r="AF6" s="262"/>
      <c r="AG6" s="233"/>
      <c r="AH6" s="62"/>
      <c r="AI6" s="62"/>
      <c r="AJ6" s="62"/>
      <c r="AK6" s="62"/>
      <c r="AL6" s="62"/>
      <c r="AM6" s="62"/>
      <c r="AN6" s="262"/>
      <c r="AO6" s="233"/>
      <c r="AP6" s="62"/>
      <c r="AQ6" s="62"/>
      <c r="AR6" s="62"/>
      <c r="AS6" s="62"/>
      <c r="AT6" s="62"/>
      <c r="AU6" s="62"/>
      <c r="AV6" s="262"/>
      <c r="AW6" s="233"/>
      <c r="AX6" s="62"/>
      <c r="AY6" s="62"/>
      <c r="AZ6" s="62"/>
      <c r="BA6" s="62"/>
      <c r="BB6" s="62"/>
      <c r="BC6" s="62"/>
      <c r="BD6" s="262"/>
      <c r="BE6" s="968"/>
      <c r="BF6" s="20"/>
    </row>
    <row r="7" spans="1:135" s="910" customFormat="1">
      <c r="B7" s="836">
        <v>4</v>
      </c>
      <c r="C7" s="951" t="s">
        <v>81</v>
      </c>
      <c r="D7" s="817" t="s">
        <v>247</v>
      </c>
      <c r="E7" s="822" t="s">
        <v>247</v>
      </c>
      <c r="F7" s="909">
        <v>2</v>
      </c>
      <c r="G7" s="911">
        <v>4</v>
      </c>
      <c r="H7" s="254"/>
      <c r="I7" s="254"/>
      <c r="J7" s="254"/>
      <c r="K7" s="254"/>
      <c r="L7" s="254"/>
      <c r="M7" s="254"/>
      <c r="N7" s="254"/>
      <c r="O7" s="254"/>
      <c r="P7" s="254"/>
      <c r="Q7" s="254"/>
      <c r="R7" s="264"/>
      <c r="S7" s="349"/>
      <c r="T7" s="254"/>
      <c r="U7" s="267"/>
      <c r="V7" s="267"/>
      <c r="W7" s="927"/>
      <c r="X7" s="928"/>
      <c r="Y7" s="920"/>
      <c r="Z7" s="254">
        <v>1</v>
      </c>
      <c r="AA7" s="254"/>
      <c r="AB7" s="254"/>
      <c r="AC7" s="254"/>
      <c r="AD7" s="254"/>
      <c r="AE7" s="254"/>
      <c r="AF7" s="267"/>
      <c r="AG7" s="909"/>
      <c r="AH7" s="254">
        <v>1</v>
      </c>
      <c r="AI7" s="254"/>
      <c r="AJ7" s="254"/>
      <c r="AK7" s="254"/>
      <c r="AL7" s="254"/>
      <c r="AM7" s="254"/>
      <c r="AN7" s="267"/>
      <c r="AO7" s="909"/>
      <c r="AP7" s="254">
        <v>1</v>
      </c>
      <c r="AQ7" s="254"/>
      <c r="AR7" s="254"/>
      <c r="AS7" s="254"/>
      <c r="AT7" s="254"/>
      <c r="AU7" s="254"/>
      <c r="AV7" s="267"/>
      <c r="AW7" s="909"/>
      <c r="AX7" s="254"/>
      <c r="AY7" s="254"/>
      <c r="AZ7" s="254"/>
      <c r="BA7" s="254"/>
      <c r="BB7" s="254"/>
      <c r="BC7" s="254"/>
      <c r="BD7" s="267"/>
      <c r="BE7" s="969"/>
    </row>
    <row r="8" spans="1:135">
      <c r="B8" s="838">
        <v>5</v>
      </c>
      <c r="C8" s="953" t="s">
        <v>83</v>
      </c>
      <c r="D8" s="875" t="s">
        <v>248</v>
      </c>
      <c r="E8" s="820" t="s">
        <v>249</v>
      </c>
      <c r="F8" s="1077">
        <v>2</v>
      </c>
      <c r="G8" s="322"/>
      <c r="H8" s="322"/>
      <c r="I8" s="322"/>
      <c r="J8" s="322"/>
      <c r="K8" s="322"/>
      <c r="L8" s="322"/>
      <c r="M8" s="322"/>
      <c r="N8" s="322"/>
      <c r="O8" s="322"/>
      <c r="P8" s="322"/>
      <c r="Q8" s="322"/>
      <c r="R8" s="323"/>
      <c r="S8" s="343"/>
      <c r="T8" s="322"/>
      <c r="U8" s="344"/>
      <c r="V8" s="344"/>
      <c r="W8" s="929"/>
      <c r="X8" s="930"/>
      <c r="Y8" s="343"/>
      <c r="Z8" s="322"/>
      <c r="AA8" s="322"/>
      <c r="AB8" s="322"/>
      <c r="AC8" s="322"/>
      <c r="AD8" s="322"/>
      <c r="AE8" s="322"/>
      <c r="AF8" s="344"/>
      <c r="AG8" s="657"/>
      <c r="AH8" s="322"/>
      <c r="AI8" s="322"/>
      <c r="AJ8" s="322"/>
      <c r="AK8" s="322"/>
      <c r="AL8" s="322"/>
      <c r="AM8" s="322"/>
      <c r="AN8" s="344"/>
      <c r="AO8" s="657"/>
      <c r="AP8" s="322"/>
      <c r="AQ8" s="322"/>
      <c r="AR8" s="322"/>
      <c r="AS8" s="322"/>
      <c r="AT8" s="322"/>
      <c r="AU8" s="322"/>
      <c r="AV8" s="344"/>
      <c r="AW8" s="657"/>
      <c r="AX8" s="322"/>
      <c r="AY8" s="322"/>
      <c r="AZ8" s="322"/>
      <c r="BA8" s="322"/>
      <c r="BB8" s="322"/>
      <c r="BC8" s="322"/>
      <c r="BD8" s="344"/>
      <c r="BE8" s="970"/>
      <c r="BF8" s="20"/>
    </row>
    <row r="9" spans="1:135" ht="18.75" customHeight="1">
      <c r="B9" s="838">
        <v>5.0999999999999996</v>
      </c>
      <c r="C9" s="953" t="s">
        <v>84</v>
      </c>
      <c r="D9" s="875" t="s">
        <v>248</v>
      </c>
      <c r="E9" s="820" t="s">
        <v>249</v>
      </c>
      <c r="F9" s="1077"/>
      <c r="G9" s="322"/>
      <c r="H9" s="322"/>
      <c r="I9" s="322"/>
      <c r="J9" s="322"/>
      <c r="K9" s="322"/>
      <c r="L9" s="877"/>
      <c r="M9" s="877"/>
      <c r="N9" s="322"/>
      <c r="O9" s="322"/>
      <c r="P9" s="322"/>
      <c r="Q9" s="877"/>
      <c r="R9" s="878"/>
      <c r="S9" s="343"/>
      <c r="T9" s="322"/>
      <c r="U9" s="344"/>
      <c r="V9" s="344"/>
      <c r="W9" s="929"/>
      <c r="X9" s="930"/>
      <c r="Y9" s="343"/>
      <c r="Z9" s="322"/>
      <c r="AA9" s="322"/>
      <c r="AB9" s="322"/>
      <c r="AC9" s="322"/>
      <c r="AD9" s="322"/>
      <c r="AE9" s="322"/>
      <c r="AF9" s="344"/>
      <c r="AG9" s="657"/>
      <c r="AH9" s="322"/>
      <c r="AI9" s="322"/>
      <c r="AJ9" s="322"/>
      <c r="AK9" s="322"/>
      <c r="AL9" s="322"/>
      <c r="AM9" s="322"/>
      <c r="AN9" s="344"/>
      <c r="AO9" s="657"/>
      <c r="AP9" s="322"/>
      <c r="AQ9" s="322"/>
      <c r="AR9" s="322"/>
      <c r="AS9" s="322"/>
      <c r="AT9" s="322"/>
      <c r="AU9" s="322"/>
      <c r="AV9" s="344"/>
      <c r="AW9" s="657"/>
      <c r="AX9" s="322"/>
      <c r="AY9" s="322"/>
      <c r="AZ9" s="322"/>
      <c r="BA9" s="322"/>
      <c r="BB9" s="322"/>
      <c r="BC9" s="322"/>
      <c r="BD9" s="344"/>
      <c r="BE9" s="970"/>
      <c r="BF9" s="20"/>
    </row>
    <row r="10" spans="1:135" ht="87" customHeight="1">
      <c r="B10" s="838"/>
      <c r="C10" s="953" t="s">
        <v>115</v>
      </c>
      <c r="D10" s="875" t="s">
        <v>248</v>
      </c>
      <c r="E10" s="820" t="s">
        <v>249</v>
      </c>
      <c r="F10" s="1077"/>
      <c r="G10" s="322"/>
      <c r="H10" s="322"/>
      <c r="I10" s="322"/>
      <c r="J10" s="322"/>
      <c r="K10" s="322"/>
      <c r="L10" s="877"/>
      <c r="M10" s="877"/>
      <c r="N10" s="322">
        <v>3</v>
      </c>
      <c r="O10" s="322">
        <v>0.5</v>
      </c>
      <c r="P10" s="322"/>
      <c r="Q10" s="877"/>
      <c r="R10" s="878"/>
      <c r="S10" s="343"/>
      <c r="T10" s="322">
        <v>6</v>
      </c>
      <c r="U10" s="344">
        <v>1</v>
      </c>
      <c r="V10" s="344">
        <v>4</v>
      </c>
      <c r="W10" s="929"/>
      <c r="X10" s="930"/>
      <c r="Y10" s="343"/>
      <c r="Z10" s="322"/>
      <c r="AA10" s="322"/>
      <c r="AB10" s="322"/>
      <c r="AC10" s="322"/>
      <c r="AD10" s="322"/>
      <c r="AE10" s="322"/>
      <c r="AF10" s="344"/>
      <c r="AG10" s="657"/>
      <c r="AH10" s="322"/>
      <c r="AI10" s="322"/>
      <c r="AJ10" s="322"/>
      <c r="AK10" s="322"/>
      <c r="AL10" s="322"/>
      <c r="AM10" s="322"/>
      <c r="AN10" s="344"/>
      <c r="AO10" s="657"/>
      <c r="AP10" s="322"/>
      <c r="AQ10" s="322"/>
      <c r="AR10" s="322"/>
      <c r="AS10" s="322"/>
      <c r="AT10" s="322"/>
      <c r="AU10" s="322"/>
      <c r="AV10" s="344"/>
      <c r="AW10" s="657"/>
      <c r="AX10" s="322"/>
      <c r="AY10" s="322"/>
      <c r="AZ10" s="322"/>
      <c r="BA10" s="322"/>
      <c r="BB10" s="322"/>
      <c r="BC10" s="322"/>
      <c r="BD10" s="344"/>
      <c r="BE10" s="970"/>
      <c r="BF10" s="20"/>
    </row>
    <row r="11" spans="1:135" ht="18.5">
      <c r="B11" s="838"/>
      <c r="C11" s="953" t="s">
        <v>116</v>
      </c>
      <c r="D11" s="875" t="s">
        <v>248</v>
      </c>
      <c r="E11" s="820" t="s">
        <v>249</v>
      </c>
      <c r="F11" s="1077"/>
      <c r="G11" s="322"/>
      <c r="H11" s="322"/>
      <c r="I11" s="322"/>
      <c r="J11" s="322"/>
      <c r="K11" s="322"/>
      <c r="L11" s="877"/>
      <c r="M11" s="877"/>
      <c r="N11" s="322"/>
      <c r="O11" s="322"/>
      <c r="P11" s="322"/>
      <c r="Q11" s="877"/>
      <c r="R11" s="878"/>
      <c r="S11" s="343"/>
      <c r="T11" s="322"/>
      <c r="U11" s="344"/>
      <c r="V11" s="344"/>
      <c r="W11" s="929"/>
      <c r="X11" s="930"/>
      <c r="Y11" s="343"/>
      <c r="Z11" s="322"/>
      <c r="AA11" s="322"/>
      <c r="AB11" s="322"/>
      <c r="AC11" s="322"/>
      <c r="AD11" s="322"/>
      <c r="AE11" s="322"/>
      <c r="AF11" s="344"/>
      <c r="AG11" s="657"/>
      <c r="AH11" s="322"/>
      <c r="AI11" s="322"/>
      <c r="AJ11" s="322"/>
      <c r="AK11" s="322"/>
      <c r="AL11" s="322"/>
      <c r="AM11" s="322"/>
      <c r="AN11" s="344"/>
      <c r="AO11" s="657"/>
      <c r="AP11" s="322"/>
      <c r="AQ11" s="322"/>
      <c r="AR11" s="322"/>
      <c r="AS11" s="322"/>
      <c r="AT11" s="322"/>
      <c r="AU11" s="322"/>
      <c r="AV11" s="344"/>
      <c r="AW11" s="657"/>
      <c r="AX11" s="322"/>
      <c r="AY11" s="322"/>
      <c r="AZ11" s="322"/>
      <c r="BA11" s="322"/>
      <c r="BB11" s="322"/>
      <c r="BC11" s="322"/>
      <c r="BD11" s="344"/>
      <c r="BE11" s="970"/>
      <c r="BF11" s="20"/>
    </row>
    <row r="12" spans="1:135" ht="18.5">
      <c r="B12" s="838"/>
      <c r="C12" s="953" t="s">
        <v>117</v>
      </c>
      <c r="D12" s="875" t="s">
        <v>248</v>
      </c>
      <c r="E12" s="820" t="s">
        <v>249</v>
      </c>
      <c r="F12" s="1077"/>
      <c r="G12" s="322"/>
      <c r="H12" s="322"/>
      <c r="I12" s="322"/>
      <c r="J12" s="322"/>
      <c r="K12" s="322"/>
      <c r="L12" s="877"/>
      <c r="M12" s="877"/>
      <c r="N12" s="322"/>
      <c r="O12" s="322"/>
      <c r="P12" s="322"/>
      <c r="Q12" s="877"/>
      <c r="R12" s="878"/>
      <c r="S12" s="343"/>
      <c r="T12" s="322"/>
      <c r="U12" s="344"/>
      <c r="V12" s="344"/>
      <c r="W12" s="929"/>
      <c r="X12" s="930"/>
      <c r="Y12" s="343"/>
      <c r="Z12" s="322"/>
      <c r="AA12" s="322"/>
      <c r="AB12" s="322"/>
      <c r="AC12" s="322"/>
      <c r="AD12" s="322"/>
      <c r="AE12" s="322"/>
      <c r="AF12" s="344"/>
      <c r="AG12" s="657"/>
      <c r="AH12" s="322"/>
      <c r="AI12" s="322"/>
      <c r="AJ12" s="322"/>
      <c r="AK12" s="322"/>
      <c r="AL12" s="322"/>
      <c r="AM12" s="322"/>
      <c r="AN12" s="344"/>
      <c r="AO12" s="657"/>
      <c r="AP12" s="322"/>
      <c r="AQ12" s="322"/>
      <c r="AR12" s="322"/>
      <c r="AS12" s="322"/>
      <c r="AT12" s="322"/>
      <c r="AU12" s="322"/>
      <c r="AV12" s="344"/>
      <c r="AW12" s="657"/>
      <c r="AX12" s="322"/>
      <c r="AY12" s="322"/>
      <c r="AZ12" s="322"/>
      <c r="BA12" s="322"/>
      <c r="BB12" s="322"/>
      <c r="BC12" s="322"/>
      <c r="BD12" s="344"/>
      <c r="BE12" s="970"/>
      <c r="BF12" s="20"/>
    </row>
    <row r="13" spans="1:135" ht="18.5">
      <c r="B13" s="838"/>
      <c r="C13" s="953" t="s">
        <v>118</v>
      </c>
      <c r="D13" s="875" t="s">
        <v>248</v>
      </c>
      <c r="E13" s="820" t="s">
        <v>249</v>
      </c>
      <c r="F13" s="1077"/>
      <c r="G13" s="322"/>
      <c r="H13" s="322"/>
      <c r="I13" s="322"/>
      <c r="J13" s="322"/>
      <c r="K13" s="322"/>
      <c r="L13" s="877"/>
      <c r="M13" s="877"/>
      <c r="N13" s="322"/>
      <c r="O13" s="322"/>
      <c r="P13" s="322"/>
      <c r="Q13" s="877"/>
      <c r="R13" s="878"/>
      <c r="S13" s="343"/>
      <c r="T13" s="322"/>
      <c r="U13" s="344"/>
      <c r="V13" s="344"/>
      <c r="W13" s="929"/>
      <c r="X13" s="930"/>
      <c r="Y13" s="343"/>
      <c r="Z13" s="322"/>
      <c r="AA13" s="322"/>
      <c r="AB13" s="322"/>
      <c r="AC13" s="322"/>
      <c r="AD13" s="322"/>
      <c r="AE13" s="322"/>
      <c r="AF13" s="344"/>
      <c r="AG13" s="657"/>
      <c r="AH13" s="322"/>
      <c r="AI13" s="322"/>
      <c r="AJ13" s="322"/>
      <c r="AK13" s="322"/>
      <c r="AL13" s="322"/>
      <c r="AM13" s="322"/>
      <c r="AN13" s="344"/>
      <c r="AO13" s="657"/>
      <c r="AP13" s="322"/>
      <c r="AQ13" s="322"/>
      <c r="AR13" s="322"/>
      <c r="AS13" s="322"/>
      <c r="AT13" s="322"/>
      <c r="AU13" s="322"/>
      <c r="AV13" s="344"/>
      <c r="AW13" s="657"/>
      <c r="AX13" s="322"/>
      <c r="AY13" s="322"/>
      <c r="AZ13" s="322"/>
      <c r="BA13" s="322"/>
      <c r="BB13" s="322"/>
      <c r="BC13" s="322"/>
      <c r="BD13" s="344"/>
      <c r="BE13" s="970"/>
      <c r="BF13" s="20"/>
    </row>
    <row r="14" spans="1:135" ht="18.5">
      <c r="B14" s="838">
        <v>5.2</v>
      </c>
      <c r="C14" s="953" t="s">
        <v>86</v>
      </c>
      <c r="D14" s="875" t="s">
        <v>248</v>
      </c>
      <c r="E14" s="820" t="s">
        <v>249</v>
      </c>
      <c r="F14" s="1077"/>
      <c r="G14" s="322"/>
      <c r="H14" s="322"/>
      <c r="I14" s="322"/>
      <c r="J14" s="322"/>
      <c r="K14" s="322"/>
      <c r="L14" s="877"/>
      <c r="M14" s="877"/>
      <c r="N14" s="322"/>
      <c r="O14" s="322"/>
      <c r="P14" s="322"/>
      <c r="Q14" s="877"/>
      <c r="R14" s="878"/>
      <c r="S14" s="343"/>
      <c r="T14" s="322"/>
      <c r="U14" s="344"/>
      <c r="V14" s="344"/>
      <c r="W14" s="929"/>
      <c r="X14" s="930"/>
      <c r="Y14" s="343"/>
      <c r="Z14" s="322"/>
      <c r="AA14" s="322"/>
      <c r="AB14" s="322"/>
      <c r="AC14" s="322"/>
      <c r="AD14" s="322"/>
      <c r="AE14" s="322"/>
      <c r="AF14" s="344"/>
      <c r="AG14" s="657"/>
      <c r="AH14" s="322"/>
      <c r="AI14" s="322"/>
      <c r="AJ14" s="322"/>
      <c r="AK14" s="322"/>
      <c r="AL14" s="322"/>
      <c r="AM14" s="322"/>
      <c r="AN14" s="344"/>
      <c r="AO14" s="657"/>
      <c r="AP14" s="322"/>
      <c r="AQ14" s="322"/>
      <c r="AR14" s="322"/>
      <c r="AS14" s="322"/>
      <c r="AT14" s="322"/>
      <c r="AU14" s="322"/>
      <c r="AV14" s="344"/>
      <c r="AW14" s="657"/>
      <c r="AX14" s="322"/>
      <c r="AY14" s="322"/>
      <c r="AZ14" s="322"/>
      <c r="BA14" s="322"/>
      <c r="BB14" s="322"/>
      <c r="BC14" s="322"/>
      <c r="BD14" s="344"/>
      <c r="BE14" s="970"/>
      <c r="BF14" s="20"/>
    </row>
    <row r="15" spans="1:135" ht="18.5">
      <c r="B15" s="838"/>
      <c r="C15" s="953" t="s">
        <v>87</v>
      </c>
      <c r="D15" s="875" t="s">
        <v>248</v>
      </c>
      <c r="E15" s="820" t="s">
        <v>249</v>
      </c>
      <c r="F15" s="1077"/>
      <c r="G15" s="322">
        <v>0.5</v>
      </c>
      <c r="H15" s="322">
        <v>3</v>
      </c>
      <c r="I15" s="322">
        <v>7</v>
      </c>
      <c r="J15" s="322"/>
      <c r="K15" s="322">
        <v>3</v>
      </c>
      <c r="L15" s="877"/>
      <c r="M15" s="877"/>
      <c r="N15" s="322"/>
      <c r="O15" s="322"/>
      <c r="P15" s="322"/>
      <c r="Q15" s="877"/>
      <c r="R15" s="878"/>
      <c r="S15" s="343"/>
      <c r="T15" s="322"/>
      <c r="U15" s="344"/>
      <c r="V15" s="344"/>
      <c r="W15" s="929"/>
      <c r="X15" s="930"/>
      <c r="Y15" s="343"/>
      <c r="Z15" s="322"/>
      <c r="AA15" s="322"/>
      <c r="AB15" s="322"/>
      <c r="AC15" s="322"/>
      <c r="AD15" s="322"/>
      <c r="AE15" s="322"/>
      <c r="AF15" s="344"/>
      <c r="AG15" s="657"/>
      <c r="AH15" s="322"/>
      <c r="AI15" s="322"/>
      <c r="AJ15" s="322"/>
      <c r="AK15" s="322"/>
      <c r="AL15" s="322"/>
      <c r="AM15" s="322"/>
      <c r="AN15" s="344"/>
      <c r="AO15" s="657"/>
      <c r="AP15" s="322"/>
      <c r="AQ15" s="322"/>
      <c r="AR15" s="322"/>
      <c r="AS15" s="322"/>
      <c r="AT15" s="322"/>
      <c r="AU15" s="322"/>
      <c r="AV15" s="344"/>
      <c r="AW15" s="657"/>
      <c r="AX15" s="322"/>
      <c r="AY15" s="322"/>
      <c r="AZ15" s="322"/>
      <c r="BA15" s="322"/>
      <c r="BB15" s="322"/>
      <c r="BC15" s="322"/>
      <c r="BD15" s="344"/>
      <c r="BE15" s="970"/>
      <c r="BF15" s="20"/>
    </row>
    <row r="16" spans="1:135" ht="18.5">
      <c r="B16" s="838"/>
      <c r="C16" s="953" t="s">
        <v>179</v>
      </c>
      <c r="D16" s="875" t="s">
        <v>248</v>
      </c>
      <c r="E16" s="820" t="s">
        <v>249</v>
      </c>
      <c r="F16" s="1077"/>
      <c r="G16" s="322">
        <v>0.5</v>
      </c>
      <c r="H16" s="322">
        <v>1</v>
      </c>
      <c r="I16" s="322">
        <v>3</v>
      </c>
      <c r="J16" s="322"/>
      <c r="K16" s="322">
        <v>2</v>
      </c>
      <c r="L16" s="877"/>
      <c r="M16" s="877"/>
      <c r="N16" s="322"/>
      <c r="O16" s="322"/>
      <c r="P16" s="322"/>
      <c r="Q16" s="877"/>
      <c r="R16" s="878"/>
      <c r="S16" s="343"/>
      <c r="T16" s="322"/>
      <c r="U16" s="344"/>
      <c r="V16" s="344"/>
      <c r="W16" s="929"/>
      <c r="X16" s="930"/>
      <c r="Y16" s="343"/>
      <c r="Z16" s="322"/>
      <c r="AA16" s="322"/>
      <c r="AB16" s="322"/>
      <c r="AC16" s="322"/>
      <c r="AD16" s="322"/>
      <c r="AE16" s="322"/>
      <c r="AF16" s="344"/>
      <c r="AG16" s="657"/>
      <c r="AH16" s="322"/>
      <c r="AI16" s="322"/>
      <c r="AJ16" s="322"/>
      <c r="AK16" s="322"/>
      <c r="AL16" s="322"/>
      <c r="AM16" s="322"/>
      <c r="AN16" s="344"/>
      <c r="AO16" s="657"/>
      <c r="AP16" s="322"/>
      <c r="AQ16" s="322"/>
      <c r="AR16" s="322"/>
      <c r="AS16" s="322"/>
      <c r="AT16" s="322"/>
      <c r="AU16" s="322"/>
      <c r="AV16" s="344"/>
      <c r="AW16" s="657"/>
      <c r="AX16" s="322"/>
      <c r="AY16" s="322"/>
      <c r="AZ16" s="322"/>
      <c r="BA16" s="322"/>
      <c r="BB16" s="322"/>
      <c r="BC16" s="322"/>
      <c r="BD16" s="344"/>
      <c r="BE16" s="970">
        <v>1</v>
      </c>
      <c r="BF16" s="20"/>
    </row>
    <row r="17" spans="2:65" ht="18.5">
      <c r="B17" s="838"/>
      <c r="C17" s="953" t="s">
        <v>180</v>
      </c>
      <c r="D17" s="875" t="s">
        <v>248</v>
      </c>
      <c r="E17" s="820" t="s">
        <v>249</v>
      </c>
      <c r="F17" s="1077"/>
      <c r="G17" s="322">
        <v>0.5</v>
      </c>
      <c r="H17" s="322">
        <v>2</v>
      </c>
      <c r="I17" s="322">
        <v>6</v>
      </c>
      <c r="J17" s="322"/>
      <c r="K17" s="322">
        <v>2</v>
      </c>
      <c r="L17" s="877"/>
      <c r="M17" s="877"/>
      <c r="N17" s="322"/>
      <c r="O17" s="322"/>
      <c r="P17" s="322"/>
      <c r="Q17" s="877"/>
      <c r="R17" s="878"/>
      <c r="S17" s="343"/>
      <c r="T17" s="322"/>
      <c r="U17" s="344"/>
      <c r="V17" s="344"/>
      <c r="W17" s="929"/>
      <c r="X17" s="930"/>
      <c r="Y17" s="343"/>
      <c r="Z17" s="322"/>
      <c r="AA17" s="322"/>
      <c r="AB17" s="322"/>
      <c r="AC17" s="322"/>
      <c r="AD17" s="322"/>
      <c r="AE17" s="322"/>
      <c r="AF17" s="344"/>
      <c r="AG17" s="657"/>
      <c r="AH17" s="322"/>
      <c r="AI17" s="322"/>
      <c r="AJ17" s="322"/>
      <c r="AK17" s="322"/>
      <c r="AL17" s="322"/>
      <c r="AM17" s="322"/>
      <c r="AN17" s="344"/>
      <c r="AO17" s="657"/>
      <c r="AP17" s="322"/>
      <c r="AQ17" s="322"/>
      <c r="AR17" s="322"/>
      <c r="AS17" s="322"/>
      <c r="AT17" s="322"/>
      <c r="AU17" s="322"/>
      <c r="AV17" s="344"/>
      <c r="AW17" s="657"/>
      <c r="AX17" s="322"/>
      <c r="AY17" s="322"/>
      <c r="AZ17" s="322"/>
      <c r="BA17" s="322"/>
      <c r="BB17" s="322"/>
      <c r="BC17" s="322"/>
      <c r="BD17" s="344"/>
      <c r="BE17" s="970">
        <v>1</v>
      </c>
      <c r="BF17" s="20"/>
    </row>
    <row r="18" spans="2:65" ht="18.5">
      <c r="B18" s="838"/>
      <c r="C18" s="953" t="s">
        <v>181</v>
      </c>
      <c r="D18" s="875" t="s">
        <v>248</v>
      </c>
      <c r="E18" s="820" t="s">
        <v>249</v>
      </c>
      <c r="F18" s="1077"/>
      <c r="G18" s="322">
        <v>0.5</v>
      </c>
      <c r="H18" s="322">
        <v>1</v>
      </c>
      <c r="I18" s="322">
        <v>3</v>
      </c>
      <c r="J18" s="322"/>
      <c r="K18" s="322">
        <v>1</v>
      </c>
      <c r="L18" s="877"/>
      <c r="M18" s="877"/>
      <c r="N18" s="322"/>
      <c r="O18" s="322"/>
      <c r="P18" s="322"/>
      <c r="Q18" s="877"/>
      <c r="R18" s="878"/>
      <c r="S18" s="343"/>
      <c r="T18" s="322"/>
      <c r="U18" s="344"/>
      <c r="V18" s="344"/>
      <c r="W18" s="929"/>
      <c r="X18" s="930"/>
      <c r="Y18" s="343"/>
      <c r="Z18" s="322"/>
      <c r="AA18" s="322"/>
      <c r="AB18" s="322"/>
      <c r="AC18" s="322"/>
      <c r="AD18" s="322"/>
      <c r="AE18" s="322"/>
      <c r="AF18" s="344"/>
      <c r="AG18" s="657"/>
      <c r="AH18" s="322"/>
      <c r="AI18" s="322"/>
      <c r="AJ18" s="322"/>
      <c r="AK18" s="322"/>
      <c r="AL18" s="322"/>
      <c r="AM18" s="322"/>
      <c r="AN18" s="344"/>
      <c r="AO18" s="657"/>
      <c r="AP18" s="322"/>
      <c r="AQ18" s="322"/>
      <c r="AR18" s="322"/>
      <c r="AS18" s="322"/>
      <c r="AT18" s="322"/>
      <c r="AU18" s="322"/>
      <c r="AV18" s="344"/>
      <c r="AW18" s="657"/>
      <c r="AX18" s="322"/>
      <c r="AY18" s="322"/>
      <c r="AZ18" s="322"/>
      <c r="BA18" s="322"/>
      <c r="BB18" s="322"/>
      <c r="BC18" s="322"/>
      <c r="BD18" s="344"/>
      <c r="BE18" s="970"/>
      <c r="BF18" s="20"/>
    </row>
    <row r="19" spans="2:65" ht="18.75" customHeight="1">
      <c r="B19" s="907">
        <v>6</v>
      </c>
      <c r="C19" s="954" t="s">
        <v>192</v>
      </c>
      <c r="D19" s="815" t="s">
        <v>212</v>
      </c>
      <c r="E19" s="822" t="s">
        <v>249</v>
      </c>
      <c r="F19" s="1012"/>
      <c r="G19" s="254"/>
      <c r="H19" s="254"/>
      <c r="I19" s="254"/>
      <c r="J19" s="254"/>
      <c r="K19" s="254"/>
      <c r="L19" s="255"/>
      <c r="M19" s="255"/>
      <c r="N19" s="254"/>
      <c r="O19" s="254"/>
      <c r="P19" s="254"/>
      <c r="Q19" s="254"/>
      <c r="R19" s="264"/>
      <c r="S19" s="437"/>
      <c r="T19" s="254"/>
      <c r="U19" s="267"/>
      <c r="V19" s="267"/>
      <c r="W19" s="927"/>
      <c r="X19" s="928"/>
      <c r="Y19" s="349"/>
      <c r="Z19" s="254"/>
      <c r="AA19" s="254"/>
      <c r="AB19" s="254"/>
      <c r="AC19" s="254"/>
      <c r="AD19" s="254"/>
      <c r="AE19" s="254"/>
      <c r="AF19" s="267"/>
      <c r="AG19" s="348"/>
      <c r="AH19" s="254"/>
      <c r="AI19" s="254"/>
      <c r="AJ19" s="254"/>
      <c r="AK19" s="254"/>
      <c r="AL19" s="254"/>
      <c r="AM19" s="254"/>
      <c r="AN19" s="267"/>
      <c r="AO19" s="348"/>
      <c r="AP19" s="254"/>
      <c r="AQ19" s="254"/>
      <c r="AR19" s="254"/>
      <c r="AS19" s="254"/>
      <c r="AT19" s="254"/>
      <c r="AU19" s="254"/>
      <c r="AV19" s="267"/>
      <c r="AW19" s="348"/>
      <c r="AX19" s="254"/>
      <c r="AY19" s="254"/>
      <c r="AZ19" s="254"/>
      <c r="BA19" s="254"/>
      <c r="BB19" s="254"/>
      <c r="BC19" s="254"/>
      <c r="BD19" s="267"/>
      <c r="BE19" s="967"/>
      <c r="BF19" s="20"/>
      <c r="BG19" s="141"/>
      <c r="BK19" s="141"/>
      <c r="BL19" s="141"/>
      <c r="BM19" s="141"/>
    </row>
    <row r="20" spans="2:65" ht="18.75" customHeight="1">
      <c r="B20" s="879">
        <v>6.1</v>
      </c>
      <c r="C20" s="955" t="s">
        <v>193</v>
      </c>
      <c r="D20" s="816" t="s">
        <v>212</v>
      </c>
      <c r="E20" s="823" t="s">
        <v>249</v>
      </c>
      <c r="F20" s="1107">
        <v>1</v>
      </c>
      <c r="G20" s="362"/>
      <c r="H20" s="246"/>
      <c r="I20" s="246"/>
      <c r="J20" s="246"/>
      <c r="K20" s="246"/>
      <c r="L20" s="247"/>
      <c r="M20" s="247"/>
      <c r="N20" s="246"/>
      <c r="O20" s="246"/>
      <c r="P20" s="246"/>
      <c r="Q20" s="246"/>
      <c r="R20" s="257"/>
      <c r="S20" s="438"/>
      <c r="T20" s="246"/>
      <c r="U20" s="268"/>
      <c r="V20" s="268"/>
      <c r="W20" s="931"/>
      <c r="X20" s="932"/>
      <c r="Y20" s="362"/>
      <c r="Z20" s="246"/>
      <c r="AA20" s="246"/>
      <c r="AB20" s="246"/>
      <c r="AC20" s="246"/>
      <c r="AD20" s="246"/>
      <c r="AE20" s="246"/>
      <c r="AF20" s="268"/>
      <c r="AG20" s="266"/>
      <c r="AH20" s="246"/>
      <c r="AI20" s="246"/>
      <c r="AJ20" s="246"/>
      <c r="AK20" s="246"/>
      <c r="AL20" s="246"/>
      <c r="AM20" s="246"/>
      <c r="AN20" s="268"/>
      <c r="AO20" s="266"/>
      <c r="AP20" s="246"/>
      <c r="AQ20" s="246"/>
      <c r="AR20" s="246"/>
      <c r="AS20" s="246"/>
      <c r="AT20" s="246"/>
      <c r="AU20" s="246"/>
      <c r="AV20" s="268"/>
      <c r="AW20" s="266"/>
      <c r="AX20" s="246"/>
      <c r="AY20" s="246"/>
      <c r="AZ20" s="246"/>
      <c r="BA20" s="246"/>
      <c r="BB20" s="246"/>
      <c r="BC20" s="246"/>
      <c r="BD20" s="268"/>
      <c r="BE20" s="971"/>
      <c r="BF20" s="20"/>
      <c r="BG20" s="141"/>
      <c r="BK20" s="141"/>
      <c r="BL20" s="141"/>
      <c r="BM20" s="141"/>
    </row>
    <row r="21" spans="2:65" ht="18.75" customHeight="1">
      <c r="B21" s="879"/>
      <c r="C21" s="955" t="s">
        <v>194</v>
      </c>
      <c r="D21" s="816" t="s">
        <v>212</v>
      </c>
      <c r="E21" s="823" t="s">
        <v>249</v>
      </c>
      <c r="F21" s="1107"/>
      <c r="G21" s="362">
        <v>0.5</v>
      </c>
      <c r="H21" s="246">
        <v>1</v>
      </c>
      <c r="I21" s="246">
        <v>2</v>
      </c>
      <c r="J21" s="246"/>
      <c r="K21" s="246">
        <v>0.5</v>
      </c>
      <c r="L21" s="247"/>
      <c r="M21" s="247"/>
      <c r="N21" s="246"/>
      <c r="O21" s="246"/>
      <c r="P21" s="246"/>
      <c r="Q21" s="246"/>
      <c r="R21" s="257"/>
      <c r="S21" s="438"/>
      <c r="T21" s="246"/>
      <c r="U21" s="268"/>
      <c r="V21" s="268"/>
      <c r="W21" s="931"/>
      <c r="X21" s="932"/>
      <c r="Y21" s="362"/>
      <c r="Z21" s="246"/>
      <c r="AA21" s="246"/>
      <c r="AB21" s="246"/>
      <c r="AC21" s="246"/>
      <c r="AD21" s="246"/>
      <c r="AE21" s="246"/>
      <c r="AF21" s="268"/>
      <c r="AG21" s="266"/>
      <c r="AH21" s="246"/>
      <c r="AI21" s="246"/>
      <c r="AJ21" s="246"/>
      <c r="AK21" s="246"/>
      <c r="AL21" s="246"/>
      <c r="AM21" s="246"/>
      <c r="AN21" s="268"/>
      <c r="AO21" s="266"/>
      <c r="AP21" s="246"/>
      <c r="AQ21" s="246"/>
      <c r="AR21" s="246"/>
      <c r="AS21" s="246"/>
      <c r="AT21" s="246"/>
      <c r="AU21" s="246"/>
      <c r="AV21" s="268"/>
      <c r="AW21" s="266"/>
      <c r="AX21" s="246"/>
      <c r="AY21" s="246"/>
      <c r="AZ21" s="246"/>
      <c r="BA21" s="246"/>
      <c r="BB21" s="246"/>
      <c r="BC21" s="246"/>
      <c r="BD21" s="268"/>
      <c r="BE21" s="971"/>
      <c r="BF21" s="20"/>
      <c r="BG21" s="141"/>
      <c r="BK21" s="141"/>
      <c r="BL21" s="141"/>
      <c r="BM21" s="141"/>
    </row>
    <row r="22" spans="2:65" ht="18.649999999999999" customHeight="1">
      <c r="B22" s="879">
        <v>6.2</v>
      </c>
      <c r="C22" s="956" t="s">
        <v>195</v>
      </c>
      <c r="D22" s="882" t="s">
        <v>212</v>
      </c>
      <c r="E22" s="823" t="s">
        <v>249</v>
      </c>
      <c r="F22" s="1107"/>
      <c r="G22" s="362"/>
      <c r="H22" s="246"/>
      <c r="I22" s="246"/>
      <c r="J22" s="246"/>
      <c r="K22" s="246"/>
      <c r="L22" s="247"/>
      <c r="M22" s="247"/>
      <c r="N22" s="246"/>
      <c r="O22" s="246"/>
      <c r="P22" s="246"/>
      <c r="Q22" s="246"/>
      <c r="R22" s="257"/>
      <c r="S22" s="438"/>
      <c r="T22" s="246"/>
      <c r="U22" s="268"/>
      <c r="V22" s="268"/>
      <c r="W22" s="931"/>
      <c r="X22" s="932"/>
      <c r="Y22" s="362"/>
      <c r="Z22" s="246"/>
      <c r="AA22" s="246"/>
      <c r="AB22" s="246"/>
      <c r="AC22" s="246"/>
      <c r="AD22" s="246"/>
      <c r="AE22" s="246"/>
      <c r="AF22" s="268"/>
      <c r="AG22" s="266"/>
      <c r="AH22" s="246"/>
      <c r="AI22" s="246"/>
      <c r="AJ22" s="246"/>
      <c r="AK22" s="246"/>
      <c r="AL22" s="246"/>
      <c r="AM22" s="246"/>
      <c r="AN22" s="268"/>
      <c r="AO22" s="266"/>
      <c r="AP22" s="246"/>
      <c r="AQ22" s="246"/>
      <c r="AR22" s="246"/>
      <c r="AS22" s="246"/>
      <c r="AT22" s="246"/>
      <c r="AU22" s="246"/>
      <c r="AV22" s="268"/>
      <c r="AW22" s="266"/>
      <c r="AX22" s="246"/>
      <c r="AY22" s="246"/>
      <c r="AZ22" s="246"/>
      <c r="BA22" s="246"/>
      <c r="BB22" s="246"/>
      <c r="BC22" s="246"/>
      <c r="BD22" s="268"/>
      <c r="BE22" s="971"/>
      <c r="BF22" s="20"/>
      <c r="BG22" s="141"/>
      <c r="BK22" s="141"/>
      <c r="BL22" s="141"/>
      <c r="BM22" s="141"/>
    </row>
    <row r="23" spans="2:65" ht="29.15" customHeight="1">
      <c r="B23" s="879"/>
      <c r="C23" s="1010" t="s">
        <v>196</v>
      </c>
      <c r="D23" s="816" t="s">
        <v>212</v>
      </c>
      <c r="E23" s="823" t="s">
        <v>249</v>
      </c>
      <c r="F23" s="1107"/>
      <c r="G23" s="362"/>
      <c r="H23" s="246"/>
      <c r="I23" s="246"/>
      <c r="J23" s="246"/>
      <c r="K23" s="246"/>
      <c r="L23" s="247"/>
      <c r="M23" s="247"/>
      <c r="N23" s="246"/>
      <c r="O23" s="246"/>
      <c r="P23" s="246"/>
      <c r="Q23" s="246"/>
      <c r="R23" s="257"/>
      <c r="S23" s="438"/>
      <c r="T23" s="246"/>
      <c r="U23" s="268"/>
      <c r="V23" s="268"/>
      <c r="W23" s="931"/>
      <c r="X23" s="932"/>
      <c r="Y23" s="362"/>
      <c r="Z23" s="246"/>
      <c r="AA23" s="246"/>
      <c r="AB23" s="246"/>
      <c r="AC23" s="246"/>
      <c r="AD23" s="246"/>
      <c r="AE23" s="246"/>
      <c r="AF23" s="268"/>
      <c r="AG23" s="266"/>
      <c r="AH23" s="246"/>
      <c r="AI23" s="246"/>
      <c r="AJ23" s="246"/>
      <c r="AK23" s="246"/>
      <c r="AL23" s="246"/>
      <c r="AM23" s="246"/>
      <c r="AN23" s="268"/>
      <c r="AO23" s="266"/>
      <c r="AP23" s="246"/>
      <c r="AQ23" s="246"/>
      <c r="AR23" s="246"/>
      <c r="AS23" s="246"/>
      <c r="AT23" s="246"/>
      <c r="AU23" s="246"/>
      <c r="AV23" s="268"/>
      <c r="AW23" s="883"/>
      <c r="AX23" s="884"/>
      <c r="AY23" s="884"/>
      <c r="AZ23" s="884"/>
      <c r="BA23" s="884"/>
      <c r="BB23" s="884"/>
      <c r="BC23" s="884"/>
      <c r="BD23" s="963"/>
      <c r="BE23" s="972"/>
      <c r="BF23" s="20"/>
      <c r="BG23" s="770"/>
      <c r="BK23" s="141"/>
      <c r="BL23" s="141"/>
      <c r="BM23" s="141"/>
    </row>
    <row r="24" spans="2:65" ht="18.75" customHeight="1">
      <c r="B24" s="879"/>
      <c r="C24" s="955" t="s">
        <v>197</v>
      </c>
      <c r="D24" s="816" t="s">
        <v>212</v>
      </c>
      <c r="E24" s="823" t="s">
        <v>249</v>
      </c>
      <c r="F24" s="1107"/>
      <c r="G24" s="1011">
        <v>1</v>
      </c>
      <c r="H24" s="944">
        <v>1</v>
      </c>
      <c r="I24" s="944">
        <v>3</v>
      </c>
      <c r="J24" s="944"/>
      <c r="K24" s="944">
        <v>1</v>
      </c>
      <c r="L24" s="247"/>
      <c r="M24" s="247"/>
      <c r="N24" s="246">
        <v>1</v>
      </c>
      <c r="O24" s="246"/>
      <c r="P24" s="246"/>
      <c r="Q24" s="246"/>
      <c r="R24" s="257"/>
      <c r="S24" s="438"/>
      <c r="T24" s="246">
        <v>1</v>
      </c>
      <c r="U24" s="268"/>
      <c r="V24" s="268"/>
      <c r="W24" s="931"/>
      <c r="X24" s="932"/>
      <c r="Y24" s="362"/>
      <c r="Z24" s="246">
        <v>0.25</v>
      </c>
      <c r="AA24" s="246">
        <v>0.25</v>
      </c>
      <c r="AB24" s="246"/>
      <c r="AC24" s="246"/>
      <c r="AD24" s="246"/>
      <c r="AE24" s="246"/>
      <c r="AF24" s="268"/>
      <c r="AG24" s="266"/>
      <c r="AH24" s="246">
        <v>0.5</v>
      </c>
      <c r="AI24" s="246">
        <v>1</v>
      </c>
      <c r="AJ24" s="246"/>
      <c r="AK24" s="246"/>
      <c r="AL24" s="246"/>
      <c r="AM24" s="246"/>
      <c r="AN24" s="268"/>
      <c r="AO24" s="266"/>
      <c r="AP24" s="246">
        <v>0.5</v>
      </c>
      <c r="AQ24" s="246">
        <v>1</v>
      </c>
      <c r="AR24" s="246">
        <v>0.5</v>
      </c>
      <c r="AS24" s="246"/>
      <c r="AT24" s="246"/>
      <c r="AU24" s="246"/>
      <c r="AV24" s="268"/>
      <c r="AW24" s="266"/>
      <c r="AX24" s="246"/>
      <c r="AY24" s="246"/>
      <c r="AZ24" s="944"/>
      <c r="BA24" s="944"/>
      <c r="BB24" s="246"/>
      <c r="BC24" s="246"/>
      <c r="BD24" s="268"/>
      <c r="BE24" s="971"/>
      <c r="BF24" s="20"/>
      <c r="BG24" s="141"/>
      <c r="BK24" s="141"/>
      <c r="BL24" s="141"/>
      <c r="BM24" s="141"/>
    </row>
    <row r="25" spans="2:65" ht="43.5">
      <c r="B25" s="879"/>
      <c r="C25" s="955" t="s">
        <v>344</v>
      </c>
      <c r="D25" s="816" t="s">
        <v>212</v>
      </c>
      <c r="E25" s="823" t="s">
        <v>249</v>
      </c>
      <c r="F25" s="1107"/>
      <c r="G25" s="123">
        <v>0.5</v>
      </c>
      <c r="H25" s="124">
        <v>1</v>
      </c>
      <c r="I25" s="124">
        <v>0.5</v>
      </c>
      <c r="J25" s="124"/>
      <c r="K25" s="124">
        <v>1</v>
      </c>
      <c r="L25" s="992"/>
      <c r="M25" s="993"/>
      <c r="N25" s="944"/>
      <c r="O25" s="944"/>
      <c r="P25" s="246"/>
      <c r="Q25" s="246"/>
      <c r="R25" s="257"/>
      <c r="S25" s="438"/>
      <c r="T25" s="246"/>
      <c r="U25" s="268"/>
      <c r="V25" s="268"/>
      <c r="W25" s="931"/>
      <c r="X25" s="932"/>
      <c r="Y25" s="362"/>
      <c r="Z25" s="246"/>
      <c r="AA25" s="246"/>
      <c r="AB25" s="246"/>
      <c r="AC25" s="246"/>
      <c r="AD25" s="246"/>
      <c r="AE25" s="246"/>
      <c r="AF25" s="268"/>
      <c r="AG25" s="266"/>
      <c r="AH25" s="246"/>
      <c r="AI25" s="246"/>
      <c r="AJ25" s="246"/>
      <c r="AK25" s="246"/>
      <c r="AL25" s="246"/>
      <c r="AM25" s="246"/>
      <c r="AN25" s="268"/>
      <c r="AO25" s="266"/>
      <c r="AP25" s="246"/>
      <c r="AQ25" s="246"/>
      <c r="AR25" s="246"/>
      <c r="AS25" s="246"/>
      <c r="AT25" s="246"/>
      <c r="AU25" s="246"/>
      <c r="AV25" s="268"/>
      <c r="AW25" s="266"/>
      <c r="AX25" s="246"/>
      <c r="AY25" s="246"/>
      <c r="AZ25" s="1081">
        <v>1</v>
      </c>
      <c r="BA25" s="944"/>
      <c r="BB25" s="362"/>
      <c r="BC25" s="246"/>
      <c r="BD25" s="268"/>
      <c r="BE25" s="972"/>
      <c r="BF25" s="20"/>
      <c r="BG25" s="141"/>
      <c r="BK25" s="141"/>
      <c r="BL25" s="141"/>
      <c r="BM25" s="141"/>
    </row>
    <row r="26" spans="2:65" ht="18.75" customHeight="1">
      <c r="B26" s="879"/>
      <c r="C26" s="1010" t="s">
        <v>207</v>
      </c>
      <c r="D26" s="816" t="s">
        <v>212</v>
      </c>
      <c r="E26" s="823" t="s">
        <v>249</v>
      </c>
      <c r="F26" s="1013"/>
      <c r="G26" s="123"/>
      <c r="H26" s="124"/>
      <c r="I26" s="124"/>
      <c r="J26" s="124"/>
      <c r="K26" s="124"/>
      <c r="L26" s="438"/>
      <c r="M26" s="247"/>
      <c r="N26" s="246"/>
      <c r="O26" s="492"/>
      <c r="P26" s="362"/>
      <c r="Q26" s="246"/>
      <c r="R26" s="257"/>
      <c r="S26" s="438"/>
      <c r="T26" s="246"/>
      <c r="U26" s="268"/>
      <c r="V26" s="268"/>
      <c r="W26" s="931"/>
      <c r="X26" s="932"/>
      <c r="Y26" s="362"/>
      <c r="Z26" s="246"/>
      <c r="AA26" s="246"/>
      <c r="AB26" s="246"/>
      <c r="AC26" s="246"/>
      <c r="AD26" s="246"/>
      <c r="AE26" s="246"/>
      <c r="AF26" s="268"/>
      <c r="AG26" s="266"/>
      <c r="AH26" s="246"/>
      <c r="AI26" s="246"/>
      <c r="AJ26" s="246"/>
      <c r="AK26" s="246"/>
      <c r="AL26" s="246"/>
      <c r="AM26" s="246"/>
      <c r="AN26" s="268"/>
      <c r="AO26" s="266"/>
      <c r="AP26" s="246"/>
      <c r="AQ26" s="246"/>
      <c r="AR26" s="246"/>
      <c r="AS26" s="246"/>
      <c r="AT26" s="246"/>
      <c r="AU26" s="246"/>
      <c r="AV26" s="268"/>
      <c r="AW26" s="266"/>
      <c r="AX26" s="246"/>
      <c r="AY26" s="246"/>
      <c r="AZ26" s="1082"/>
      <c r="BA26" s="494"/>
      <c r="BB26" s="362"/>
      <c r="BC26" s="246"/>
      <c r="BD26" s="268"/>
      <c r="BE26" s="1009"/>
      <c r="BF26" s="20"/>
      <c r="BG26" s="777" t="s">
        <v>204</v>
      </c>
      <c r="BK26" s="141"/>
      <c r="BL26" s="141"/>
      <c r="BM26" s="141"/>
    </row>
    <row r="27" spans="2:65">
      <c r="B27" s="837">
        <v>7</v>
      </c>
      <c r="C27" s="957" t="s">
        <v>53</v>
      </c>
      <c r="D27" s="816" t="s">
        <v>247</v>
      </c>
      <c r="E27" s="823" t="s">
        <v>249</v>
      </c>
      <c r="F27" s="811">
        <v>0</v>
      </c>
      <c r="G27" s="886">
        <v>0</v>
      </c>
      <c r="H27" s="886">
        <v>0</v>
      </c>
      <c r="I27" s="886">
        <v>0</v>
      </c>
      <c r="J27" s="886"/>
      <c r="K27" s="886"/>
      <c r="L27" s="886"/>
      <c r="M27" s="886"/>
      <c r="N27" s="886"/>
      <c r="O27" s="886"/>
      <c r="P27" s="810"/>
      <c r="Q27" s="886"/>
      <c r="R27" s="887"/>
      <c r="S27" s="810"/>
      <c r="T27" s="886">
        <v>3</v>
      </c>
      <c r="U27" s="888"/>
      <c r="V27" s="888"/>
      <c r="W27" s="933"/>
      <c r="X27" s="934"/>
      <c r="Y27" s="810"/>
      <c r="Z27" s="886"/>
      <c r="AA27" s="886"/>
      <c r="AB27" s="886"/>
      <c r="AC27" s="886"/>
      <c r="AD27" s="886"/>
      <c r="AE27" s="886"/>
      <c r="AF27" s="888"/>
      <c r="AG27" s="811"/>
      <c r="AH27" s="886"/>
      <c r="AI27" s="886"/>
      <c r="AJ27" s="886"/>
      <c r="AK27" s="886"/>
      <c r="AL27" s="886"/>
      <c r="AM27" s="886"/>
      <c r="AN27" s="888"/>
      <c r="AO27" s="811"/>
      <c r="AP27" s="886"/>
      <c r="AQ27" s="886"/>
      <c r="AR27" s="886"/>
      <c r="AS27" s="886"/>
      <c r="AT27" s="886"/>
      <c r="AU27" s="886"/>
      <c r="AV27" s="888"/>
      <c r="AW27" s="811"/>
      <c r="AX27" s="886"/>
      <c r="AY27" s="886"/>
      <c r="AZ27" s="886">
        <v>1</v>
      </c>
      <c r="BA27" s="886"/>
      <c r="BB27" s="886"/>
      <c r="BC27" s="886"/>
      <c r="BD27" s="888"/>
      <c r="BE27" s="972"/>
      <c r="BF27" s="20"/>
    </row>
    <row r="28" spans="2:65">
      <c r="B28" s="837">
        <v>8</v>
      </c>
      <c r="C28" s="957" t="s">
        <v>54</v>
      </c>
      <c r="D28" s="816" t="s">
        <v>247</v>
      </c>
      <c r="E28" s="823" t="s">
        <v>249</v>
      </c>
      <c r="F28" s="996">
        <v>1</v>
      </c>
      <c r="G28" s="945">
        <v>2</v>
      </c>
      <c r="H28" s="945">
        <v>1</v>
      </c>
      <c r="I28" s="945">
        <v>2</v>
      </c>
      <c r="J28" s="945"/>
      <c r="K28" s="945">
        <v>1</v>
      </c>
      <c r="L28" s="945"/>
      <c r="M28" s="945"/>
      <c r="N28" s="945"/>
      <c r="O28" s="945"/>
      <c r="P28" s="886"/>
      <c r="Q28" s="886"/>
      <c r="R28" s="887"/>
      <c r="S28" s="810"/>
      <c r="T28" s="886">
        <v>2</v>
      </c>
      <c r="U28" s="888"/>
      <c r="V28" s="888"/>
      <c r="W28" s="933"/>
      <c r="X28" s="934"/>
      <c r="Y28" s="810">
        <v>0.25</v>
      </c>
      <c r="Z28" s="886">
        <v>0.5</v>
      </c>
      <c r="AA28" s="886"/>
      <c r="AB28" s="886"/>
      <c r="AC28" s="886"/>
      <c r="AD28" s="886"/>
      <c r="AE28" s="886"/>
      <c r="AF28" s="888"/>
      <c r="AG28" s="811"/>
      <c r="AH28" s="886">
        <v>0.25</v>
      </c>
      <c r="AI28" s="886"/>
      <c r="AJ28" s="886"/>
      <c r="AK28" s="886"/>
      <c r="AL28" s="886"/>
      <c r="AM28" s="886"/>
      <c r="AN28" s="888"/>
      <c r="AO28" s="811"/>
      <c r="AP28" s="886">
        <v>0.25</v>
      </c>
      <c r="AQ28" s="886">
        <v>0.25</v>
      </c>
      <c r="AR28" s="886"/>
      <c r="AS28" s="886"/>
      <c r="AT28" s="886"/>
      <c r="AU28" s="886"/>
      <c r="AV28" s="888"/>
      <c r="AW28" s="811"/>
      <c r="AX28" s="886"/>
      <c r="AY28" s="886">
        <v>0.25</v>
      </c>
      <c r="AZ28" s="886">
        <v>1</v>
      </c>
      <c r="BA28" s="886"/>
      <c r="BB28" s="886"/>
      <c r="BC28" s="886"/>
      <c r="BD28" s="888"/>
      <c r="BE28" s="972"/>
      <c r="BF28" s="20"/>
    </row>
    <row r="29" spans="2:65">
      <c r="B29" s="837">
        <v>9</v>
      </c>
      <c r="C29" s="957" t="s">
        <v>55</v>
      </c>
      <c r="D29" s="816" t="s">
        <v>247</v>
      </c>
      <c r="E29" s="823" t="s">
        <v>249</v>
      </c>
      <c r="F29" s="811">
        <v>0.5</v>
      </c>
      <c r="G29" s="886">
        <v>1</v>
      </c>
      <c r="H29" s="886">
        <v>1</v>
      </c>
      <c r="I29" s="886">
        <v>1</v>
      </c>
      <c r="J29" s="886"/>
      <c r="K29" s="886">
        <v>1</v>
      </c>
      <c r="L29" s="886"/>
      <c r="M29" s="886"/>
      <c r="N29" s="886"/>
      <c r="O29" s="886"/>
      <c r="P29" s="886"/>
      <c r="Q29" s="886"/>
      <c r="R29" s="887"/>
      <c r="S29" s="810"/>
      <c r="T29" s="886">
        <v>1</v>
      </c>
      <c r="U29" s="888"/>
      <c r="V29" s="888"/>
      <c r="W29" s="933"/>
      <c r="X29" s="934"/>
      <c r="Y29" s="810">
        <v>0.25</v>
      </c>
      <c r="Z29" s="886">
        <v>0.25</v>
      </c>
      <c r="AA29" s="886"/>
      <c r="AB29" s="886"/>
      <c r="AC29" s="886"/>
      <c r="AD29" s="886"/>
      <c r="AE29" s="886"/>
      <c r="AF29" s="888"/>
      <c r="AG29" s="811"/>
      <c r="AH29" s="886">
        <v>0.25</v>
      </c>
      <c r="AI29" s="886"/>
      <c r="AJ29" s="886"/>
      <c r="AK29" s="886"/>
      <c r="AL29" s="886"/>
      <c r="AM29" s="886"/>
      <c r="AN29" s="888"/>
      <c r="AO29" s="811"/>
      <c r="AP29" s="886">
        <v>0.25</v>
      </c>
      <c r="AQ29" s="886">
        <v>0.25</v>
      </c>
      <c r="AR29" s="886"/>
      <c r="AS29" s="886"/>
      <c r="AT29" s="886"/>
      <c r="AU29" s="886"/>
      <c r="AV29" s="888"/>
      <c r="AW29" s="811"/>
      <c r="AX29" s="886"/>
      <c r="AY29" s="886">
        <v>0.25</v>
      </c>
      <c r="AZ29" s="886">
        <v>1</v>
      </c>
      <c r="BA29" s="886"/>
      <c r="BB29" s="886"/>
      <c r="BC29" s="886"/>
      <c r="BD29" s="888"/>
      <c r="BE29" s="973"/>
      <c r="BF29" s="20"/>
    </row>
    <row r="30" spans="2:65">
      <c r="B30" s="837">
        <v>10</v>
      </c>
      <c r="C30" s="957" t="s">
        <v>56</v>
      </c>
      <c r="D30" s="816" t="s">
        <v>247</v>
      </c>
      <c r="E30" s="823" t="s">
        <v>249</v>
      </c>
      <c r="F30" s="811"/>
      <c r="G30" s="886"/>
      <c r="H30" s="886"/>
      <c r="I30" s="886">
        <v>1</v>
      </c>
      <c r="J30" s="886"/>
      <c r="K30" s="886"/>
      <c r="L30" s="886"/>
      <c r="M30" s="886"/>
      <c r="N30" s="886"/>
      <c r="O30" s="886"/>
      <c r="P30" s="886"/>
      <c r="Q30" s="886"/>
      <c r="R30" s="887"/>
      <c r="S30" s="810"/>
      <c r="T30" s="886"/>
      <c r="U30" s="888"/>
      <c r="V30" s="888"/>
      <c r="W30" s="933"/>
      <c r="X30" s="934"/>
      <c r="Y30" s="810"/>
      <c r="Z30" s="886">
        <v>0.25</v>
      </c>
      <c r="AA30" s="886">
        <v>0.5</v>
      </c>
      <c r="AB30" s="886"/>
      <c r="AC30" s="886"/>
      <c r="AD30" s="886"/>
      <c r="AE30" s="886"/>
      <c r="AF30" s="888"/>
      <c r="AG30" s="811"/>
      <c r="AH30" s="886">
        <v>0.25</v>
      </c>
      <c r="AI30" s="886">
        <v>0.5</v>
      </c>
      <c r="AJ30" s="886"/>
      <c r="AK30" s="886"/>
      <c r="AL30" s="886"/>
      <c r="AM30" s="886"/>
      <c r="AN30" s="888"/>
      <c r="AO30" s="811"/>
      <c r="AP30" s="886">
        <v>0.25</v>
      </c>
      <c r="AQ30" s="886">
        <v>0.5</v>
      </c>
      <c r="AR30" s="886"/>
      <c r="AS30" s="886"/>
      <c r="AT30" s="886"/>
      <c r="AU30" s="886"/>
      <c r="AV30" s="888"/>
      <c r="AW30" s="811"/>
      <c r="AX30" s="886"/>
      <c r="AY30" s="886"/>
      <c r="AZ30" s="886">
        <v>1</v>
      </c>
      <c r="BA30" s="886">
        <v>1</v>
      </c>
      <c r="BB30" s="886"/>
      <c r="BC30" s="886"/>
      <c r="BD30" s="888"/>
      <c r="BE30" s="973"/>
      <c r="BF30" s="20"/>
    </row>
    <row r="31" spans="2:65">
      <c r="B31" s="837">
        <v>11</v>
      </c>
      <c r="C31" s="957" t="s">
        <v>57</v>
      </c>
      <c r="D31" s="816" t="s">
        <v>247</v>
      </c>
      <c r="E31" s="823" t="s">
        <v>249</v>
      </c>
      <c r="F31" s="811"/>
      <c r="G31" s="886">
        <v>1</v>
      </c>
      <c r="H31" s="886"/>
      <c r="I31" s="886">
        <v>1</v>
      </c>
      <c r="J31" s="886"/>
      <c r="K31" s="886"/>
      <c r="L31" s="886"/>
      <c r="M31" s="886"/>
      <c r="N31" s="886"/>
      <c r="O31" s="886"/>
      <c r="P31" s="886"/>
      <c r="Q31" s="886"/>
      <c r="R31" s="887">
        <v>3</v>
      </c>
      <c r="S31" s="810"/>
      <c r="T31" s="886"/>
      <c r="U31" s="888"/>
      <c r="V31" s="888"/>
      <c r="W31" s="933"/>
      <c r="X31" s="934"/>
      <c r="Y31" s="810"/>
      <c r="Z31" s="886">
        <v>0.25</v>
      </c>
      <c r="AA31" s="886">
        <v>0.5</v>
      </c>
      <c r="AB31" s="886"/>
      <c r="AC31" s="886"/>
      <c r="AD31" s="886"/>
      <c r="AE31" s="886"/>
      <c r="AF31" s="888"/>
      <c r="AG31" s="811"/>
      <c r="AH31" s="886">
        <v>0.25</v>
      </c>
      <c r="AI31" s="886">
        <v>0.5</v>
      </c>
      <c r="AJ31" s="886"/>
      <c r="AK31" s="886"/>
      <c r="AL31" s="886"/>
      <c r="AM31" s="886"/>
      <c r="AN31" s="888"/>
      <c r="AO31" s="811"/>
      <c r="AP31" s="886">
        <v>0.25</v>
      </c>
      <c r="AQ31" s="886">
        <v>0.5</v>
      </c>
      <c r="AR31" s="886"/>
      <c r="AS31" s="886"/>
      <c r="AT31" s="886"/>
      <c r="AU31" s="886"/>
      <c r="AV31" s="888"/>
      <c r="AW31" s="811"/>
      <c r="AX31" s="886"/>
      <c r="AY31" s="886"/>
      <c r="AZ31" s="886"/>
      <c r="BA31" s="886"/>
      <c r="BB31" s="886"/>
      <c r="BC31" s="886"/>
      <c r="BD31" s="888"/>
      <c r="BE31" s="973"/>
      <c r="BF31" s="20"/>
    </row>
    <row r="32" spans="2:65" ht="15" thickBot="1">
      <c r="B32" s="986">
        <v>12</v>
      </c>
      <c r="C32" s="958" t="s">
        <v>106</v>
      </c>
      <c r="D32" s="816" t="s">
        <v>247</v>
      </c>
      <c r="E32" s="823" t="s">
        <v>249</v>
      </c>
      <c r="F32" s="811">
        <v>1</v>
      </c>
      <c r="G32" s="886">
        <f>2+5</f>
        <v>7</v>
      </c>
      <c r="H32" s="886"/>
      <c r="I32" s="886">
        <f>3+2</f>
        <v>5</v>
      </c>
      <c r="J32" s="886"/>
      <c r="K32" s="886"/>
      <c r="L32" s="886"/>
      <c r="M32" s="886"/>
      <c r="N32" s="886">
        <v>0.5</v>
      </c>
      <c r="O32" s="886"/>
      <c r="P32" s="886"/>
      <c r="Q32" s="886">
        <v>2</v>
      </c>
      <c r="R32" s="887"/>
      <c r="S32" s="810"/>
      <c r="T32" s="886">
        <v>1</v>
      </c>
      <c r="U32" s="888"/>
      <c r="V32" s="888"/>
      <c r="W32" s="933"/>
      <c r="X32" s="934"/>
      <c r="Y32" s="810"/>
      <c r="Z32" s="886">
        <v>0.25</v>
      </c>
      <c r="AA32" s="886">
        <v>0.25</v>
      </c>
      <c r="AB32" s="886"/>
      <c r="AC32" s="886"/>
      <c r="AD32" s="886"/>
      <c r="AE32" s="886"/>
      <c r="AF32" s="888"/>
      <c r="AG32" s="811"/>
      <c r="AH32" s="886">
        <v>0.25</v>
      </c>
      <c r="AI32" s="886">
        <v>0.25</v>
      </c>
      <c r="AJ32" s="886">
        <v>0.25</v>
      </c>
      <c r="AK32" s="886"/>
      <c r="AL32" s="886"/>
      <c r="AM32" s="886"/>
      <c r="AN32" s="888"/>
      <c r="AO32" s="811"/>
      <c r="AP32" s="886">
        <v>0.75</v>
      </c>
      <c r="AQ32" s="886">
        <v>0.25</v>
      </c>
      <c r="AR32" s="886">
        <v>0.25</v>
      </c>
      <c r="AS32" s="886"/>
      <c r="AT32" s="886"/>
      <c r="AU32" s="886"/>
      <c r="AV32" s="888"/>
      <c r="AW32" s="811"/>
      <c r="AX32" s="886"/>
      <c r="AY32" s="886">
        <v>1</v>
      </c>
      <c r="AZ32" s="886">
        <v>1</v>
      </c>
      <c r="BA32" s="886"/>
      <c r="BB32" s="886"/>
      <c r="BC32" s="886"/>
      <c r="BD32" s="888"/>
      <c r="BE32" s="973"/>
      <c r="BF32" s="20"/>
    </row>
    <row r="33" spans="1:135" s="120" customFormat="1">
      <c r="A33" s="20"/>
      <c r="B33" s="836">
        <v>13</v>
      </c>
      <c r="C33" s="951" t="s">
        <v>61</v>
      </c>
      <c r="D33" s="817" t="s">
        <v>248</v>
      </c>
      <c r="E33" s="822" t="s">
        <v>251</v>
      </c>
      <c r="F33" s="348"/>
      <c r="G33" s="254"/>
      <c r="H33" s="254"/>
      <c r="I33" s="254"/>
      <c r="J33" s="254"/>
      <c r="K33" s="254"/>
      <c r="L33" s="254"/>
      <c r="M33" s="254"/>
      <c r="N33" s="254"/>
      <c r="O33" s="254"/>
      <c r="P33" s="254"/>
      <c r="Q33" s="254"/>
      <c r="R33" s="264"/>
      <c r="S33" s="349"/>
      <c r="T33" s="254"/>
      <c r="U33" s="267"/>
      <c r="V33" s="267"/>
      <c r="W33" s="927"/>
      <c r="X33" s="928"/>
      <c r="Y33" s="349"/>
      <c r="Z33" s="254"/>
      <c r="AA33" s="254"/>
      <c r="AB33" s="254"/>
      <c r="AC33" s="254"/>
      <c r="AD33" s="254"/>
      <c r="AE33" s="254"/>
      <c r="AF33" s="267"/>
      <c r="AG33" s="348"/>
      <c r="AH33" s="254"/>
      <c r="AI33" s="254"/>
      <c r="AJ33" s="254"/>
      <c r="AK33" s="254"/>
      <c r="AL33" s="254"/>
      <c r="AM33" s="254"/>
      <c r="AN33" s="267"/>
      <c r="AO33" s="348"/>
      <c r="AP33" s="254"/>
      <c r="AQ33" s="254"/>
      <c r="AR33" s="254"/>
      <c r="AS33" s="254"/>
      <c r="AT33" s="254"/>
      <c r="AU33" s="254"/>
      <c r="AV33" s="267"/>
      <c r="AW33" s="348"/>
      <c r="AX33" s="254"/>
      <c r="AY33" s="254"/>
      <c r="AZ33" s="254"/>
      <c r="BA33" s="254"/>
      <c r="BB33" s="254"/>
      <c r="BC33" s="254"/>
      <c r="BD33" s="267"/>
      <c r="BE33" s="967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</row>
    <row r="34" spans="1:135" s="128" customFormat="1">
      <c r="A34"/>
      <c r="B34" s="837">
        <v>13.1</v>
      </c>
      <c r="C34" s="959" t="s">
        <v>40</v>
      </c>
      <c r="D34" s="818" t="s">
        <v>248</v>
      </c>
      <c r="E34" s="823" t="s">
        <v>251</v>
      </c>
      <c r="F34" s="266"/>
      <c r="G34" s="246"/>
      <c r="H34" s="246"/>
      <c r="I34" s="246"/>
      <c r="J34" s="246"/>
      <c r="K34" s="246"/>
      <c r="L34" s="354"/>
      <c r="M34" s="354"/>
      <c r="N34" s="354"/>
      <c r="O34" s="354"/>
      <c r="P34" s="354"/>
      <c r="Q34" s="354"/>
      <c r="R34" s="355"/>
      <c r="S34" s="356"/>
      <c r="T34" s="357"/>
      <c r="U34" s="917"/>
      <c r="V34" s="358"/>
      <c r="W34" s="935"/>
      <c r="X34" s="936">
        <v>3</v>
      </c>
      <c r="Y34" s="858"/>
      <c r="Z34" s="354"/>
      <c r="AA34" s="354"/>
      <c r="AB34" s="354"/>
      <c r="AC34" s="354"/>
      <c r="AD34" s="354"/>
      <c r="AE34" s="354"/>
      <c r="AF34" s="358"/>
      <c r="AG34" s="859"/>
      <c r="AH34" s="354"/>
      <c r="AI34" s="354"/>
      <c r="AJ34" s="354"/>
      <c r="AK34" s="354"/>
      <c r="AL34" s="354"/>
      <c r="AM34" s="354"/>
      <c r="AN34" s="358"/>
      <c r="AO34" s="859"/>
      <c r="AP34" s="354"/>
      <c r="AQ34" s="354"/>
      <c r="AR34" s="354"/>
      <c r="AS34" s="354"/>
      <c r="AT34" s="354"/>
      <c r="AU34" s="354"/>
      <c r="AV34" s="358"/>
      <c r="AW34" s="859"/>
      <c r="AX34" s="354"/>
      <c r="AY34" s="354"/>
      <c r="AZ34" s="354"/>
      <c r="BA34" s="354"/>
      <c r="BB34" s="354"/>
      <c r="BC34" s="354"/>
      <c r="BD34" s="358"/>
      <c r="BE34" s="97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</row>
    <row r="35" spans="1:135" s="128" customFormat="1" ht="130.5">
      <c r="A35"/>
      <c r="B35" s="837">
        <v>13.2</v>
      </c>
      <c r="C35" s="959" t="s">
        <v>82</v>
      </c>
      <c r="D35" s="818" t="s">
        <v>248</v>
      </c>
      <c r="E35" s="823" t="s">
        <v>251</v>
      </c>
      <c r="F35" s="266">
        <v>2</v>
      </c>
      <c r="G35" s="246">
        <v>3</v>
      </c>
      <c r="H35" s="246">
        <v>2</v>
      </c>
      <c r="I35" s="246">
        <v>5</v>
      </c>
      <c r="J35" s="357"/>
      <c r="K35" s="246">
        <v>2</v>
      </c>
      <c r="L35" s="354"/>
      <c r="M35" s="246">
        <v>1</v>
      </c>
      <c r="N35" s="246"/>
      <c r="O35" s="246"/>
      <c r="P35" s="354"/>
      <c r="Q35" s="354"/>
      <c r="R35" s="355"/>
      <c r="S35" s="362"/>
      <c r="T35" s="246"/>
      <c r="U35" s="268"/>
      <c r="V35" s="358"/>
      <c r="W35" s="935"/>
      <c r="X35" s="936"/>
      <c r="Y35" s="858"/>
      <c r="Z35" s="354"/>
      <c r="AA35" s="354"/>
      <c r="AB35" s="354"/>
      <c r="AC35" s="354"/>
      <c r="AD35" s="354"/>
      <c r="AE35" s="354"/>
      <c r="AF35" s="358"/>
      <c r="AG35" s="859"/>
      <c r="AH35" s="354"/>
      <c r="AI35" s="354"/>
      <c r="AJ35" s="354"/>
      <c r="AK35" s="354"/>
      <c r="AL35" s="354"/>
      <c r="AM35" s="354"/>
      <c r="AN35" s="358"/>
      <c r="AO35" s="859"/>
      <c r="AP35" s="354"/>
      <c r="AQ35" s="354"/>
      <c r="AR35" s="354"/>
      <c r="AS35" s="354"/>
      <c r="AT35" s="354"/>
      <c r="AU35" s="354"/>
      <c r="AV35" s="358"/>
      <c r="AW35" s="859"/>
      <c r="AX35" s="354"/>
      <c r="AY35" s="354"/>
      <c r="AZ35" s="354"/>
      <c r="BA35" s="354"/>
      <c r="BB35" s="354"/>
      <c r="BC35" s="354"/>
      <c r="BD35" s="358"/>
      <c r="BE35" s="974"/>
      <c r="BF35" s="129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</row>
    <row r="36" spans="1:135" s="141" customFormat="1" ht="18.75" customHeight="1">
      <c r="B36" s="837">
        <v>14</v>
      </c>
      <c r="C36" s="960" t="s">
        <v>185</v>
      </c>
      <c r="D36" s="816" t="s">
        <v>248</v>
      </c>
      <c r="E36" s="823" t="s">
        <v>251</v>
      </c>
      <c r="F36" s="266">
        <v>2</v>
      </c>
      <c r="G36" s="892">
        <v>5</v>
      </c>
      <c r="H36" s="246">
        <v>8</v>
      </c>
      <c r="I36" s="246">
        <v>5</v>
      </c>
      <c r="J36" s="246">
        <v>15</v>
      </c>
      <c r="K36" s="1044">
        <v>4</v>
      </c>
      <c r="L36" s="247"/>
      <c r="M36" s="247"/>
      <c r="N36" s="246"/>
      <c r="O36" s="246"/>
      <c r="P36" s="246"/>
      <c r="Q36" s="247"/>
      <c r="R36" s="893"/>
      <c r="S36" s="362"/>
      <c r="T36" s="246"/>
      <c r="U36" s="268"/>
      <c r="V36" s="268"/>
      <c r="W36" s="931"/>
      <c r="X36" s="932"/>
      <c r="Y36" s="362"/>
      <c r="Z36" s="246"/>
      <c r="AA36" s="246"/>
      <c r="AB36" s="246"/>
      <c r="AC36" s="246"/>
      <c r="AD36" s="246"/>
      <c r="AE36" s="246"/>
      <c r="AF36" s="268"/>
      <c r="AG36" s="266"/>
      <c r="AH36" s="246"/>
      <c r="AI36" s="246"/>
      <c r="AJ36" s="246"/>
      <c r="AK36" s="246"/>
      <c r="AL36" s="246"/>
      <c r="AM36" s="246"/>
      <c r="AN36" s="268"/>
      <c r="AO36" s="266"/>
      <c r="AP36" s="246"/>
      <c r="AQ36" s="246"/>
      <c r="AR36" s="246"/>
      <c r="AS36" s="246"/>
      <c r="AT36" s="246"/>
      <c r="AU36" s="246"/>
      <c r="AV36" s="268"/>
      <c r="AW36" s="266"/>
      <c r="AX36" s="246"/>
      <c r="AY36" s="246"/>
      <c r="AZ36" s="246"/>
      <c r="BA36" s="246"/>
      <c r="BB36" s="246"/>
      <c r="BC36" s="246"/>
      <c r="BD36" s="268"/>
      <c r="BE36" s="971"/>
    </row>
    <row r="37" spans="1:135" s="141" customFormat="1" ht="159.75" customHeight="1">
      <c r="B37" s="837">
        <v>15</v>
      </c>
      <c r="C37" s="961" t="s">
        <v>91</v>
      </c>
      <c r="D37" s="895" t="s">
        <v>248</v>
      </c>
      <c r="E37" s="823" t="s">
        <v>251</v>
      </c>
      <c r="F37" s="266">
        <v>0.5</v>
      </c>
      <c r="G37" s="892">
        <v>3</v>
      </c>
      <c r="H37" s="246">
        <v>2</v>
      </c>
      <c r="I37" s="246">
        <v>3</v>
      </c>
      <c r="J37" s="246"/>
      <c r="K37" s="1044"/>
      <c r="L37" s="247"/>
      <c r="M37" s="247"/>
      <c r="N37" s="246"/>
      <c r="O37" s="246"/>
      <c r="P37" s="246"/>
      <c r="Q37" s="246">
        <v>5</v>
      </c>
      <c r="R37" s="893"/>
      <c r="S37" s="362"/>
      <c r="T37" s="246"/>
      <c r="U37" s="268"/>
      <c r="V37" s="268"/>
      <c r="W37" s="931"/>
      <c r="X37" s="932"/>
      <c r="Y37" s="362"/>
      <c r="Z37" s="246"/>
      <c r="AA37" s="246"/>
      <c r="AB37" s="246"/>
      <c r="AC37" s="246"/>
      <c r="AD37" s="246"/>
      <c r="AE37" s="246"/>
      <c r="AF37" s="268"/>
      <c r="AG37" s="266"/>
      <c r="AH37" s="246"/>
      <c r="AI37" s="246"/>
      <c r="AJ37" s="246"/>
      <c r="AK37" s="246"/>
      <c r="AL37" s="246"/>
      <c r="AM37" s="246"/>
      <c r="AN37" s="268"/>
      <c r="AO37" s="266"/>
      <c r="AP37" s="246"/>
      <c r="AQ37" s="246"/>
      <c r="AR37" s="246"/>
      <c r="AS37" s="246"/>
      <c r="AT37" s="246"/>
      <c r="AU37" s="246"/>
      <c r="AV37" s="268"/>
      <c r="AW37" s="266"/>
      <c r="AX37" s="246"/>
      <c r="AY37" s="246"/>
      <c r="AZ37" s="246"/>
      <c r="BA37" s="246"/>
      <c r="BB37" s="246"/>
      <c r="BC37" s="246"/>
      <c r="BD37" s="268"/>
      <c r="BE37" s="971"/>
    </row>
    <row r="38" spans="1:135" s="141" customFormat="1" ht="87">
      <c r="B38" s="837">
        <v>16</v>
      </c>
      <c r="C38" s="960" t="s">
        <v>186</v>
      </c>
      <c r="D38" s="816" t="s">
        <v>248</v>
      </c>
      <c r="E38" s="823" t="s">
        <v>251</v>
      </c>
      <c r="F38" s="266">
        <v>0.5</v>
      </c>
      <c r="G38" s="892">
        <v>2</v>
      </c>
      <c r="H38" s="246">
        <v>2</v>
      </c>
      <c r="I38" s="246">
        <v>0</v>
      </c>
      <c r="J38" s="246">
        <v>7</v>
      </c>
      <c r="K38" s="246"/>
      <c r="L38" s="247"/>
      <c r="M38" s="247"/>
      <c r="N38" s="246"/>
      <c r="O38" s="246"/>
      <c r="P38" s="246"/>
      <c r="Q38" s="247"/>
      <c r="R38" s="893"/>
      <c r="S38" s="362"/>
      <c r="T38" s="246"/>
      <c r="U38" s="268"/>
      <c r="V38" s="268"/>
      <c r="W38" s="931"/>
      <c r="X38" s="932"/>
      <c r="Y38" s="362"/>
      <c r="Z38" s="246"/>
      <c r="AA38" s="246"/>
      <c r="AB38" s="246"/>
      <c r="AC38" s="246"/>
      <c r="AD38" s="246"/>
      <c r="AE38" s="246"/>
      <c r="AF38" s="268"/>
      <c r="AG38" s="266"/>
      <c r="AH38" s="246"/>
      <c r="AI38" s="246"/>
      <c r="AJ38" s="246"/>
      <c r="AK38" s="246"/>
      <c r="AL38" s="246"/>
      <c r="AM38" s="246"/>
      <c r="AN38" s="268"/>
      <c r="AO38" s="266"/>
      <c r="AP38" s="246"/>
      <c r="AQ38" s="246"/>
      <c r="AR38" s="246"/>
      <c r="AS38" s="246"/>
      <c r="AT38" s="246"/>
      <c r="AU38" s="246"/>
      <c r="AV38" s="268"/>
      <c r="AW38" s="266"/>
      <c r="AX38" s="246"/>
      <c r="AY38" s="246"/>
      <c r="AZ38" s="246"/>
      <c r="BA38" s="246"/>
      <c r="BB38" s="246"/>
      <c r="BC38" s="246"/>
      <c r="BD38" s="268"/>
      <c r="BE38" s="971"/>
    </row>
    <row r="39" spans="1:135" ht="18.75" customHeight="1">
      <c r="B39" s="837">
        <v>17</v>
      </c>
      <c r="C39" s="960" t="s">
        <v>94</v>
      </c>
      <c r="D39" s="816" t="s">
        <v>248</v>
      </c>
      <c r="E39" s="823" t="s">
        <v>251</v>
      </c>
      <c r="F39" s="896"/>
      <c r="G39" s="246"/>
      <c r="H39" s="246"/>
      <c r="I39" s="246"/>
      <c r="J39" s="246"/>
      <c r="K39" s="246"/>
      <c r="L39" s="247"/>
      <c r="M39" s="247"/>
      <c r="N39" s="246"/>
      <c r="O39" s="246"/>
      <c r="P39" s="246"/>
      <c r="Q39" s="246"/>
      <c r="R39" s="257"/>
      <c r="S39" s="438"/>
      <c r="T39" s="246"/>
      <c r="U39" s="268"/>
      <c r="V39" s="268"/>
      <c r="W39" s="931"/>
      <c r="X39" s="932"/>
      <c r="Y39" s="362"/>
      <c r="Z39" s="246"/>
      <c r="AA39" s="246"/>
      <c r="AB39" s="246"/>
      <c r="AC39" s="246"/>
      <c r="AD39" s="246"/>
      <c r="AE39" s="246"/>
      <c r="AF39" s="268"/>
      <c r="AG39" s="266"/>
      <c r="AH39" s="246"/>
      <c r="AI39" s="246"/>
      <c r="AJ39" s="246"/>
      <c r="AK39" s="246"/>
      <c r="AL39" s="246"/>
      <c r="AM39" s="246"/>
      <c r="AN39" s="268"/>
      <c r="AO39" s="266"/>
      <c r="AP39" s="246"/>
      <c r="AQ39" s="246"/>
      <c r="AR39" s="246"/>
      <c r="AS39" s="246"/>
      <c r="AT39" s="246"/>
      <c r="AU39" s="246"/>
      <c r="AV39" s="268"/>
      <c r="AW39" s="266"/>
      <c r="AX39" s="246"/>
      <c r="AY39" s="246"/>
      <c r="AZ39" s="246"/>
      <c r="BA39" s="246"/>
      <c r="BB39" s="246"/>
      <c r="BC39" s="246"/>
      <c r="BD39" s="268"/>
      <c r="BE39" s="971"/>
      <c r="BF39" s="141"/>
      <c r="BG39" s="141"/>
      <c r="BH39" s="141"/>
      <c r="BI39" s="141"/>
    </row>
    <row r="40" spans="1:135" ht="18.75" customHeight="1">
      <c r="B40" s="837">
        <v>17.100000000000001</v>
      </c>
      <c r="C40" s="960" t="s">
        <v>95</v>
      </c>
      <c r="D40" s="816" t="s">
        <v>248</v>
      </c>
      <c r="E40" s="823" t="s">
        <v>251</v>
      </c>
      <c r="F40" s="1099">
        <v>1</v>
      </c>
      <c r="G40" s="1081">
        <v>2</v>
      </c>
      <c r="H40" s="1081">
        <v>1</v>
      </c>
      <c r="I40" s="1081">
        <v>1</v>
      </c>
      <c r="J40" s="246"/>
      <c r="K40" s="246"/>
      <c r="L40" s="247"/>
      <c r="M40" s="247"/>
      <c r="N40" s="246"/>
      <c r="O40" s="246"/>
      <c r="P40" s="246"/>
      <c r="Q40" s="246"/>
      <c r="R40" s="257"/>
      <c r="S40" s="438"/>
      <c r="T40" s="246"/>
      <c r="U40" s="268"/>
      <c r="V40" s="268"/>
      <c r="W40" s="931"/>
      <c r="X40" s="932"/>
      <c r="Y40" s="362">
        <v>0.5</v>
      </c>
      <c r="Z40" s="246">
        <v>1</v>
      </c>
      <c r="AA40" s="246"/>
      <c r="AB40" s="246"/>
      <c r="AC40" s="246"/>
      <c r="AD40" s="246">
        <v>1</v>
      </c>
      <c r="AE40" s="246"/>
      <c r="AF40" s="268"/>
      <c r="AG40" s="266"/>
      <c r="AH40" s="246"/>
      <c r="AI40" s="246"/>
      <c r="AJ40" s="246"/>
      <c r="AK40" s="246"/>
      <c r="AL40" s="246"/>
      <c r="AM40" s="246"/>
      <c r="AN40" s="268"/>
      <c r="AO40" s="266"/>
      <c r="AP40" s="246"/>
      <c r="AQ40" s="246"/>
      <c r="AR40" s="246"/>
      <c r="AS40" s="246"/>
      <c r="AT40" s="246"/>
      <c r="AU40" s="246"/>
      <c r="AV40" s="268"/>
      <c r="AW40" s="266"/>
      <c r="AX40" s="246"/>
      <c r="AY40" s="246"/>
      <c r="AZ40" s="246"/>
      <c r="BA40" s="246"/>
      <c r="BB40" s="246"/>
      <c r="BC40" s="246"/>
      <c r="BD40" s="268"/>
      <c r="BE40" s="971"/>
      <c r="BF40" s="141"/>
      <c r="BG40" s="141"/>
      <c r="BH40" s="141"/>
      <c r="BI40" s="141"/>
    </row>
    <row r="41" spans="1:135" ht="18.649999999999999" customHeight="1">
      <c r="B41" s="837">
        <v>17.2</v>
      </c>
      <c r="C41" s="960" t="s">
        <v>96</v>
      </c>
      <c r="D41" s="816" t="s">
        <v>248</v>
      </c>
      <c r="E41" s="823" t="s">
        <v>251</v>
      </c>
      <c r="F41" s="1100"/>
      <c r="G41" s="1104"/>
      <c r="H41" s="1104"/>
      <c r="I41" s="1104"/>
      <c r="J41" s="246"/>
      <c r="K41" s="246"/>
      <c r="L41" s="247"/>
      <c r="M41" s="247"/>
      <c r="N41" s="246"/>
      <c r="O41" s="246"/>
      <c r="P41" s="246"/>
      <c r="Q41" s="246"/>
      <c r="R41" s="257"/>
      <c r="S41" s="438"/>
      <c r="T41" s="246"/>
      <c r="U41" s="268"/>
      <c r="V41" s="268"/>
      <c r="W41" s="931"/>
      <c r="X41" s="932"/>
      <c r="Y41" s="362"/>
      <c r="Z41" s="246"/>
      <c r="AA41" s="246"/>
      <c r="AB41" s="246"/>
      <c r="AC41" s="246"/>
      <c r="AD41" s="246"/>
      <c r="AE41" s="246"/>
      <c r="AF41" s="268"/>
      <c r="AG41" s="266"/>
      <c r="AH41" s="246">
        <v>1</v>
      </c>
      <c r="AI41" s="246"/>
      <c r="AJ41" s="246"/>
      <c r="AK41" s="246"/>
      <c r="AL41" s="246">
        <v>1</v>
      </c>
      <c r="AM41" s="246"/>
      <c r="AN41" s="268"/>
      <c r="AO41" s="266"/>
      <c r="AP41" s="246"/>
      <c r="AQ41" s="246"/>
      <c r="AR41" s="246"/>
      <c r="AS41" s="246"/>
      <c r="AT41" s="246"/>
      <c r="AU41" s="246"/>
      <c r="AV41" s="268"/>
      <c r="AW41" s="266"/>
      <c r="AX41" s="246"/>
      <c r="AY41" s="246"/>
      <c r="AZ41" s="246"/>
      <c r="BA41" s="246"/>
      <c r="BB41" s="246"/>
      <c r="BC41" s="246"/>
      <c r="BD41" s="268"/>
      <c r="BE41" s="971"/>
      <c r="BF41" s="141"/>
      <c r="BG41" s="141"/>
      <c r="BH41" s="141"/>
      <c r="BI41" s="141"/>
    </row>
    <row r="42" spans="1:135" ht="18.75" customHeight="1">
      <c r="B42" s="837">
        <v>17.3</v>
      </c>
      <c r="C42" s="960" t="s">
        <v>97</v>
      </c>
      <c r="D42" s="816" t="s">
        <v>248</v>
      </c>
      <c r="E42" s="823" t="s">
        <v>251</v>
      </c>
      <c r="F42" s="1103"/>
      <c r="G42" s="1082"/>
      <c r="H42" s="1082"/>
      <c r="I42" s="1082"/>
      <c r="J42" s="246"/>
      <c r="K42" s="246"/>
      <c r="L42" s="247"/>
      <c r="M42" s="247"/>
      <c r="N42" s="246"/>
      <c r="O42" s="246"/>
      <c r="P42" s="246"/>
      <c r="Q42" s="246"/>
      <c r="R42" s="257"/>
      <c r="S42" s="438"/>
      <c r="T42" s="246"/>
      <c r="U42" s="268"/>
      <c r="V42" s="268"/>
      <c r="W42" s="931"/>
      <c r="X42" s="932"/>
      <c r="Y42" s="362"/>
      <c r="Z42" s="246"/>
      <c r="AA42" s="246"/>
      <c r="AB42" s="246"/>
      <c r="AC42" s="246"/>
      <c r="AD42" s="246"/>
      <c r="AE42" s="246"/>
      <c r="AF42" s="268"/>
      <c r="AG42" s="266"/>
      <c r="AH42" s="246"/>
      <c r="AI42" s="246"/>
      <c r="AJ42" s="246"/>
      <c r="AK42" s="246"/>
      <c r="AL42" s="246"/>
      <c r="AM42" s="246"/>
      <c r="AN42" s="268"/>
      <c r="AO42" s="266"/>
      <c r="AP42" s="246">
        <v>1</v>
      </c>
      <c r="AQ42" s="246"/>
      <c r="AR42" s="246"/>
      <c r="AS42" s="246"/>
      <c r="AT42" s="246">
        <v>1</v>
      </c>
      <c r="AU42" s="246"/>
      <c r="AV42" s="268"/>
      <c r="AW42" s="266"/>
      <c r="AX42" s="246"/>
      <c r="AY42" s="246"/>
      <c r="AZ42" s="246"/>
      <c r="BA42" s="246"/>
      <c r="BB42" s="246"/>
      <c r="BC42" s="246"/>
      <c r="BD42" s="268"/>
      <c r="BE42" s="971"/>
      <c r="BF42" s="141"/>
      <c r="BG42" s="141"/>
      <c r="BH42" s="141"/>
      <c r="BI42" s="141"/>
    </row>
    <row r="43" spans="1:135" ht="18.75" customHeight="1">
      <c r="B43" s="837">
        <v>17.399999999999999</v>
      </c>
      <c r="C43" s="960" t="s">
        <v>98</v>
      </c>
      <c r="D43" s="816" t="s">
        <v>248</v>
      </c>
      <c r="E43" s="823" t="s">
        <v>251</v>
      </c>
      <c r="F43" s="995"/>
      <c r="G43" s="492"/>
      <c r="H43" s="492"/>
      <c r="I43" s="492"/>
      <c r="J43" s="246"/>
      <c r="K43" s="246"/>
      <c r="L43" s="247"/>
      <c r="M43" s="247"/>
      <c r="N43" s="246"/>
      <c r="O43" s="246"/>
      <c r="P43" s="246"/>
      <c r="Q43" s="246"/>
      <c r="R43" s="257"/>
      <c r="S43" s="438"/>
      <c r="T43" s="246"/>
      <c r="U43" s="268"/>
      <c r="V43" s="268"/>
      <c r="W43" s="931"/>
      <c r="X43" s="932"/>
      <c r="Y43" s="362"/>
      <c r="Z43" s="246"/>
      <c r="AA43" s="246"/>
      <c r="AB43" s="246"/>
      <c r="AC43" s="246"/>
      <c r="AD43" s="246"/>
      <c r="AE43" s="246"/>
      <c r="AF43" s="268"/>
      <c r="AG43" s="266"/>
      <c r="AH43" s="246"/>
      <c r="AI43" s="246"/>
      <c r="AJ43" s="246"/>
      <c r="AK43" s="246"/>
      <c r="AL43" s="246"/>
      <c r="AM43" s="246"/>
      <c r="AN43" s="268"/>
      <c r="AO43" s="266"/>
      <c r="AP43" s="246"/>
      <c r="AQ43" s="246"/>
      <c r="AR43" s="246"/>
      <c r="AS43" s="246"/>
      <c r="AT43" s="246"/>
      <c r="AU43" s="246"/>
      <c r="AV43" s="268"/>
      <c r="AW43" s="266"/>
      <c r="AX43" s="246"/>
      <c r="AY43" s="246">
        <v>0.25</v>
      </c>
      <c r="AZ43" s="246">
        <v>0.5</v>
      </c>
      <c r="BA43" s="246"/>
      <c r="BB43" s="246"/>
      <c r="BC43" s="246">
        <v>1</v>
      </c>
      <c r="BD43" s="257"/>
      <c r="BE43" s="971"/>
      <c r="BF43" s="141"/>
      <c r="BG43" s="141"/>
      <c r="BH43" s="141"/>
      <c r="BI43" s="141"/>
    </row>
    <row r="44" spans="1:135" ht="18.649999999999999" customHeight="1">
      <c r="B44" s="837">
        <v>17.5</v>
      </c>
      <c r="C44" s="960" t="s">
        <v>66</v>
      </c>
      <c r="D44" s="816" t="s">
        <v>248</v>
      </c>
      <c r="E44" s="823" t="s">
        <v>251</v>
      </c>
      <c r="F44" s="995"/>
      <c r="G44" s="492"/>
      <c r="H44" s="492"/>
      <c r="I44" s="492"/>
      <c r="J44" s="246"/>
      <c r="K44" s="246"/>
      <c r="L44" s="247"/>
      <c r="M44" s="247"/>
      <c r="N44" s="246"/>
      <c r="O44" s="246"/>
      <c r="P44" s="246"/>
      <c r="Q44" s="246"/>
      <c r="R44" s="257"/>
      <c r="S44" s="438"/>
      <c r="T44" s="246"/>
      <c r="U44" s="268"/>
      <c r="V44" s="268"/>
      <c r="W44" s="931"/>
      <c r="X44" s="932"/>
      <c r="Y44" s="362"/>
      <c r="Z44" s="246"/>
      <c r="AA44" s="246"/>
      <c r="AB44" s="246"/>
      <c r="AC44" s="246"/>
      <c r="AD44" s="246"/>
      <c r="AE44" s="246"/>
      <c r="AF44" s="268"/>
      <c r="AG44" s="266"/>
      <c r="AH44" s="246"/>
      <c r="AI44" s="246"/>
      <c r="AJ44" s="246"/>
      <c r="AK44" s="246"/>
      <c r="AL44" s="246"/>
      <c r="AM44" s="246"/>
      <c r="AN44" s="268"/>
      <c r="AO44" s="266"/>
      <c r="AP44" s="246"/>
      <c r="AQ44" s="246"/>
      <c r="AR44" s="246"/>
      <c r="AS44" s="246"/>
      <c r="AT44" s="246"/>
      <c r="AU44" s="246"/>
      <c r="AV44" s="268"/>
      <c r="AW44" s="266"/>
      <c r="AX44" s="246"/>
      <c r="AY44" s="246"/>
      <c r="AZ44" s="246"/>
      <c r="BA44" s="246"/>
      <c r="BB44" s="246"/>
      <c r="BC44" s="246"/>
      <c r="BD44" s="257"/>
      <c r="BE44" s="971">
        <v>3</v>
      </c>
      <c r="BF44" s="141"/>
      <c r="BG44" s="141"/>
      <c r="BH44" s="141"/>
      <c r="BI44" s="141"/>
    </row>
    <row r="45" spans="1:135">
      <c r="B45" s="837">
        <v>18</v>
      </c>
      <c r="C45" s="957" t="s">
        <v>53</v>
      </c>
      <c r="D45" s="819" t="s">
        <v>248</v>
      </c>
      <c r="E45" s="823" t="s">
        <v>251</v>
      </c>
      <c r="F45" s="811">
        <v>1</v>
      </c>
      <c r="G45" s="886"/>
      <c r="H45" s="886"/>
      <c r="I45" s="886"/>
      <c r="J45" s="886"/>
      <c r="K45" s="886"/>
      <c r="L45" s="886"/>
      <c r="M45" s="886"/>
      <c r="N45" s="886"/>
      <c r="O45" s="886"/>
      <c r="P45" s="886"/>
      <c r="Q45" s="886"/>
      <c r="R45" s="887"/>
      <c r="S45" s="810"/>
      <c r="T45" s="886">
        <v>2</v>
      </c>
      <c r="U45" s="888"/>
      <c r="V45" s="888"/>
      <c r="W45" s="933"/>
      <c r="X45" s="934"/>
      <c r="Y45" s="810"/>
      <c r="Z45" s="886"/>
      <c r="AA45" s="886"/>
      <c r="AB45" s="886"/>
      <c r="AC45" s="886"/>
      <c r="AD45" s="886"/>
      <c r="AE45" s="886"/>
      <c r="AF45" s="888"/>
      <c r="AG45" s="811"/>
      <c r="AH45" s="886"/>
      <c r="AI45" s="886"/>
      <c r="AJ45" s="886"/>
      <c r="AK45" s="886"/>
      <c r="AL45" s="886"/>
      <c r="AM45" s="886"/>
      <c r="AN45" s="888"/>
      <c r="AO45" s="811"/>
      <c r="AP45" s="886"/>
      <c r="AQ45" s="886"/>
      <c r="AR45" s="886"/>
      <c r="AS45" s="886"/>
      <c r="AT45" s="886"/>
      <c r="AU45" s="886"/>
      <c r="AV45" s="888"/>
      <c r="AW45" s="811"/>
      <c r="AX45" s="886"/>
      <c r="AY45" s="886"/>
      <c r="AZ45" s="886"/>
      <c r="BA45" s="886"/>
      <c r="BB45" s="886"/>
      <c r="BC45" s="886"/>
      <c r="BD45" s="887"/>
      <c r="BE45" s="973"/>
      <c r="BF45" s="20"/>
    </row>
    <row r="46" spans="1:135">
      <c r="B46" s="837">
        <v>19</v>
      </c>
      <c r="C46" s="957" t="s">
        <v>54</v>
      </c>
      <c r="D46" s="819" t="s">
        <v>248</v>
      </c>
      <c r="E46" s="823" t="s">
        <v>251</v>
      </c>
      <c r="F46" s="811">
        <v>1</v>
      </c>
      <c r="G46" s="886">
        <v>1</v>
      </c>
      <c r="H46" s="886">
        <v>1</v>
      </c>
      <c r="I46" s="886">
        <v>2</v>
      </c>
      <c r="J46" s="886"/>
      <c r="K46" s="886">
        <v>1</v>
      </c>
      <c r="L46" s="886"/>
      <c r="M46" s="886"/>
      <c r="N46" s="886"/>
      <c r="O46" s="886"/>
      <c r="P46" s="886"/>
      <c r="Q46" s="886"/>
      <c r="R46" s="887"/>
      <c r="S46" s="810"/>
      <c r="T46" s="886">
        <v>2</v>
      </c>
      <c r="U46" s="888"/>
      <c r="V46" s="888"/>
      <c r="W46" s="933"/>
      <c r="X46" s="934"/>
      <c r="Y46" s="810">
        <v>0.25</v>
      </c>
      <c r="Z46" s="886">
        <v>0.25</v>
      </c>
      <c r="AA46" s="886"/>
      <c r="AB46" s="886"/>
      <c r="AC46" s="886"/>
      <c r="AD46" s="886"/>
      <c r="AE46" s="886"/>
      <c r="AF46" s="888"/>
      <c r="AG46" s="811"/>
      <c r="AH46" s="886">
        <v>0.25</v>
      </c>
      <c r="AI46" s="886"/>
      <c r="AJ46" s="886"/>
      <c r="AK46" s="886"/>
      <c r="AL46" s="886"/>
      <c r="AM46" s="886"/>
      <c r="AN46" s="888"/>
      <c r="AO46" s="811"/>
      <c r="AP46" s="886">
        <v>0.25</v>
      </c>
      <c r="AQ46" s="886"/>
      <c r="AR46" s="886"/>
      <c r="AS46" s="886"/>
      <c r="AT46" s="886"/>
      <c r="AU46" s="886"/>
      <c r="AV46" s="888"/>
      <c r="AW46" s="811"/>
      <c r="AX46" s="886"/>
      <c r="AY46" s="886"/>
      <c r="AZ46" s="886">
        <v>0.5</v>
      </c>
      <c r="BA46" s="886"/>
      <c r="BB46" s="886"/>
      <c r="BC46" s="886"/>
      <c r="BD46" s="887"/>
      <c r="BE46" s="973"/>
      <c r="BF46" s="20"/>
    </row>
    <row r="47" spans="1:135">
      <c r="B47" s="837">
        <v>20</v>
      </c>
      <c r="C47" s="957" t="s">
        <v>55</v>
      </c>
      <c r="D47" s="819" t="s">
        <v>248</v>
      </c>
      <c r="E47" s="823" t="s">
        <v>251</v>
      </c>
      <c r="F47" s="811">
        <v>1</v>
      </c>
      <c r="G47" s="886">
        <v>1</v>
      </c>
      <c r="H47" s="886">
        <v>1</v>
      </c>
      <c r="I47" s="886">
        <v>1</v>
      </c>
      <c r="J47" s="886"/>
      <c r="K47" s="886">
        <v>1</v>
      </c>
      <c r="L47" s="886"/>
      <c r="M47" s="886"/>
      <c r="N47" s="886"/>
      <c r="O47" s="886"/>
      <c r="P47" s="886"/>
      <c r="Q47" s="886"/>
      <c r="R47" s="887"/>
      <c r="S47" s="810"/>
      <c r="T47" s="886">
        <v>1</v>
      </c>
      <c r="U47" s="888"/>
      <c r="V47" s="888"/>
      <c r="W47" s="933"/>
      <c r="X47" s="934"/>
      <c r="Y47" s="810">
        <v>0.25</v>
      </c>
      <c r="Z47" s="886">
        <v>0.25</v>
      </c>
      <c r="AA47" s="886"/>
      <c r="AB47" s="886"/>
      <c r="AC47" s="886"/>
      <c r="AD47" s="886"/>
      <c r="AE47" s="886"/>
      <c r="AF47" s="888"/>
      <c r="AG47" s="811"/>
      <c r="AH47" s="886">
        <v>0.25</v>
      </c>
      <c r="AI47" s="886"/>
      <c r="AJ47" s="886"/>
      <c r="AK47" s="886"/>
      <c r="AL47" s="886"/>
      <c r="AM47" s="886"/>
      <c r="AN47" s="888"/>
      <c r="AO47" s="811"/>
      <c r="AP47" s="886">
        <v>0.25</v>
      </c>
      <c r="AQ47" s="886"/>
      <c r="AR47" s="886"/>
      <c r="AS47" s="886"/>
      <c r="AT47" s="886"/>
      <c r="AU47" s="886"/>
      <c r="AV47" s="888"/>
      <c r="AW47" s="811"/>
      <c r="AX47" s="886"/>
      <c r="AY47" s="886"/>
      <c r="AZ47" s="886">
        <v>0.5</v>
      </c>
      <c r="BA47" s="886"/>
      <c r="BB47" s="886"/>
      <c r="BC47" s="886"/>
      <c r="BD47" s="887"/>
      <c r="BE47" s="973"/>
      <c r="BF47" s="20"/>
    </row>
    <row r="48" spans="1:135">
      <c r="B48" s="837">
        <v>21</v>
      </c>
      <c r="C48" s="957" t="s">
        <v>56</v>
      </c>
      <c r="D48" s="819" t="s">
        <v>248</v>
      </c>
      <c r="E48" s="823" t="s">
        <v>251</v>
      </c>
      <c r="F48" s="811"/>
      <c r="G48" s="886"/>
      <c r="H48" s="886"/>
      <c r="I48" s="886"/>
      <c r="J48" s="886"/>
      <c r="K48" s="886"/>
      <c r="L48" s="886"/>
      <c r="M48" s="886"/>
      <c r="N48" s="886"/>
      <c r="O48" s="886"/>
      <c r="P48" s="886"/>
      <c r="Q48" s="886"/>
      <c r="R48" s="887"/>
      <c r="S48" s="810"/>
      <c r="T48" s="886"/>
      <c r="U48" s="888"/>
      <c r="V48" s="888"/>
      <c r="W48" s="933"/>
      <c r="X48" s="934"/>
      <c r="Y48" s="810"/>
      <c r="Z48" s="886">
        <v>0.25</v>
      </c>
      <c r="AA48" s="886">
        <v>0.5</v>
      </c>
      <c r="AB48" s="886"/>
      <c r="AC48" s="886"/>
      <c r="AD48" s="886"/>
      <c r="AE48" s="886"/>
      <c r="AF48" s="888"/>
      <c r="AG48" s="811"/>
      <c r="AH48" s="886">
        <v>0.25</v>
      </c>
      <c r="AI48" s="886">
        <v>0.5</v>
      </c>
      <c r="AJ48" s="886"/>
      <c r="AK48" s="886"/>
      <c r="AL48" s="886"/>
      <c r="AM48" s="886"/>
      <c r="AN48" s="888"/>
      <c r="AO48" s="811"/>
      <c r="AP48" s="886">
        <v>0.25</v>
      </c>
      <c r="AQ48" s="886">
        <v>0.5</v>
      </c>
      <c r="AR48" s="886"/>
      <c r="AS48" s="886"/>
      <c r="AT48" s="886"/>
      <c r="AU48" s="886"/>
      <c r="AV48" s="888"/>
      <c r="AW48" s="811"/>
      <c r="AX48" s="886"/>
      <c r="AY48" s="886"/>
      <c r="AZ48" s="886">
        <v>1</v>
      </c>
      <c r="BA48" s="886">
        <v>0.5</v>
      </c>
      <c r="BB48" s="886"/>
      <c r="BC48" s="886"/>
      <c r="BD48" s="887"/>
      <c r="BE48" s="973"/>
      <c r="BF48" s="20"/>
    </row>
    <row r="49" spans="2:60">
      <c r="B49" s="837">
        <v>22</v>
      </c>
      <c r="C49" s="957" t="s">
        <v>57</v>
      </c>
      <c r="D49" s="819" t="s">
        <v>248</v>
      </c>
      <c r="E49" s="823" t="s">
        <v>251</v>
      </c>
      <c r="F49" s="811"/>
      <c r="G49" s="886"/>
      <c r="H49" s="886"/>
      <c r="I49" s="886"/>
      <c r="J49" s="886"/>
      <c r="K49" s="886"/>
      <c r="L49" s="886"/>
      <c r="M49" s="886"/>
      <c r="N49" s="886"/>
      <c r="O49" s="886"/>
      <c r="P49" s="886"/>
      <c r="Q49" s="886"/>
      <c r="R49" s="887"/>
      <c r="S49" s="810"/>
      <c r="T49" s="886"/>
      <c r="U49" s="888"/>
      <c r="V49" s="888"/>
      <c r="W49" s="933"/>
      <c r="X49" s="934"/>
      <c r="Y49" s="810"/>
      <c r="Z49" s="886">
        <v>0.25</v>
      </c>
      <c r="AA49" s="886">
        <v>0.5</v>
      </c>
      <c r="AB49" s="886"/>
      <c r="AC49" s="886"/>
      <c r="AD49" s="886"/>
      <c r="AE49" s="886">
        <v>3</v>
      </c>
      <c r="AF49" s="888"/>
      <c r="AG49" s="811"/>
      <c r="AH49" s="886">
        <v>0.25</v>
      </c>
      <c r="AI49" s="886">
        <v>0.5</v>
      </c>
      <c r="AJ49" s="886"/>
      <c r="AK49" s="886"/>
      <c r="AL49" s="886"/>
      <c r="AM49" s="886">
        <v>3</v>
      </c>
      <c r="AN49" s="888"/>
      <c r="AO49" s="811"/>
      <c r="AP49" s="886">
        <v>0.25</v>
      </c>
      <c r="AQ49" s="886">
        <v>0.5</v>
      </c>
      <c r="AR49" s="886">
        <v>0.25</v>
      </c>
      <c r="AS49" s="886"/>
      <c r="AT49" s="886"/>
      <c r="AU49" s="886">
        <v>3</v>
      </c>
      <c r="AV49" s="888"/>
      <c r="AW49" s="811"/>
      <c r="AX49" s="886"/>
      <c r="AY49" s="886"/>
      <c r="AZ49" s="886"/>
      <c r="BA49" s="886"/>
      <c r="BB49" s="886"/>
      <c r="BC49" s="886"/>
      <c r="BD49" s="887">
        <v>3</v>
      </c>
      <c r="BE49" s="973"/>
      <c r="BF49" s="20"/>
    </row>
    <row r="50" spans="2:60">
      <c r="B50" s="897">
        <v>23</v>
      </c>
      <c r="C50" s="962" t="s">
        <v>106</v>
      </c>
      <c r="D50" s="819" t="s">
        <v>248</v>
      </c>
      <c r="E50" s="823" t="s">
        <v>251</v>
      </c>
      <c r="F50" s="811">
        <v>0.5</v>
      </c>
      <c r="G50" s="886">
        <f>2+5</f>
        <v>7</v>
      </c>
      <c r="H50" s="886"/>
      <c r="I50" s="886">
        <f>2+2</f>
        <v>4</v>
      </c>
      <c r="J50" s="886"/>
      <c r="K50" s="886"/>
      <c r="L50" s="886"/>
      <c r="M50" s="886"/>
      <c r="N50" s="886"/>
      <c r="O50" s="886"/>
      <c r="P50" s="886"/>
      <c r="Q50" s="886"/>
      <c r="R50" s="887"/>
      <c r="S50" s="810"/>
      <c r="T50" s="886">
        <v>1</v>
      </c>
      <c r="U50" s="888"/>
      <c r="V50" s="888">
        <v>0.5</v>
      </c>
      <c r="W50" s="933"/>
      <c r="X50" s="934"/>
      <c r="Y50" s="810"/>
      <c r="Z50" s="886"/>
      <c r="AA50" s="886"/>
      <c r="AB50" s="886"/>
      <c r="AC50" s="886"/>
      <c r="AD50" s="886"/>
      <c r="AE50" s="886"/>
      <c r="AF50" s="888"/>
      <c r="AG50" s="811"/>
      <c r="AH50" s="886"/>
      <c r="AI50" s="886"/>
      <c r="AJ50" s="886"/>
      <c r="AK50" s="886"/>
      <c r="AL50" s="886"/>
      <c r="AM50" s="886"/>
      <c r="AN50" s="888"/>
      <c r="AO50" s="811"/>
      <c r="AP50" s="886"/>
      <c r="AQ50" s="886"/>
      <c r="AR50" s="886"/>
      <c r="AS50" s="886"/>
      <c r="AT50" s="886"/>
      <c r="AU50" s="886"/>
      <c r="AV50" s="888"/>
      <c r="AW50" s="811"/>
      <c r="AX50" s="886"/>
      <c r="AY50" s="886"/>
      <c r="AZ50" s="886"/>
      <c r="BA50" s="886"/>
      <c r="BB50" s="886"/>
      <c r="BC50" s="886"/>
      <c r="BD50" s="887"/>
      <c r="BE50" s="973"/>
      <c r="BF50" s="20"/>
    </row>
    <row r="51" spans="2:60" ht="15" thickBot="1">
      <c r="B51" s="987">
        <v>24</v>
      </c>
      <c r="C51" s="988" t="s">
        <v>113</v>
      </c>
      <c r="D51" s="989" t="s">
        <v>247</v>
      </c>
      <c r="E51" s="997" t="s">
        <v>247</v>
      </c>
      <c r="F51" s="901">
        <v>6</v>
      </c>
      <c r="G51" s="902">
        <v>9.5</v>
      </c>
      <c r="H51" s="902">
        <v>5</v>
      </c>
      <c r="I51" s="902">
        <v>9.5</v>
      </c>
      <c r="J51" s="902">
        <v>4</v>
      </c>
      <c r="K51" s="902">
        <v>4.5</v>
      </c>
      <c r="L51" s="902"/>
      <c r="M51" s="902"/>
      <c r="N51" s="902"/>
      <c r="O51" s="902"/>
      <c r="P51" s="902"/>
      <c r="Q51" s="902">
        <v>2</v>
      </c>
      <c r="R51" s="903"/>
      <c r="S51" s="904"/>
      <c r="T51" s="902">
        <v>5</v>
      </c>
      <c r="U51" s="905"/>
      <c r="V51" s="905">
        <v>0.5</v>
      </c>
      <c r="W51" s="937"/>
      <c r="X51" s="938"/>
      <c r="Y51" s="904">
        <v>0.5</v>
      </c>
      <c r="Z51" s="902">
        <v>0</v>
      </c>
      <c r="AA51" s="902">
        <v>0.25</v>
      </c>
      <c r="AB51" s="902"/>
      <c r="AC51" s="902"/>
      <c r="AD51" s="902"/>
      <c r="AE51" s="902"/>
      <c r="AF51" s="905"/>
      <c r="AG51" s="901"/>
      <c r="AH51" s="902">
        <v>0.75</v>
      </c>
      <c r="AI51" s="902">
        <v>0.75</v>
      </c>
      <c r="AJ51" s="902">
        <v>0.25</v>
      </c>
      <c r="AK51" s="902"/>
      <c r="AL51" s="902"/>
      <c r="AM51" s="902"/>
      <c r="AN51" s="905"/>
      <c r="AO51" s="901"/>
      <c r="AP51" s="902">
        <v>0.75</v>
      </c>
      <c r="AQ51" s="902">
        <v>0.75</v>
      </c>
      <c r="AR51" s="902"/>
      <c r="AS51" s="902"/>
      <c r="AT51" s="902"/>
      <c r="AU51" s="902"/>
      <c r="AV51" s="905"/>
      <c r="AW51" s="901"/>
      <c r="AX51" s="902"/>
      <c r="AY51" s="902">
        <v>0.25</v>
      </c>
      <c r="AZ51" s="902">
        <v>1.5</v>
      </c>
      <c r="BA51" s="902">
        <v>0.5</v>
      </c>
      <c r="BB51" s="902"/>
      <c r="BC51" s="902"/>
      <c r="BD51" s="903"/>
      <c r="BE51" s="975">
        <v>1</v>
      </c>
      <c r="BF51" s="20"/>
    </row>
    <row r="52" spans="2:60">
      <c r="B52" s="983"/>
      <c r="C52" s="946" t="s">
        <v>26</v>
      </c>
      <c r="D52" s="947"/>
      <c r="E52" s="947"/>
      <c r="F52" s="914">
        <f t="shared" ref="F52:AK52" si="0">SUM(F3:F51)</f>
        <v>43</v>
      </c>
      <c r="G52" s="914">
        <f t="shared" si="0"/>
        <v>66</v>
      </c>
      <c r="H52" s="914">
        <f t="shared" si="0"/>
        <v>36</v>
      </c>
      <c r="I52" s="914">
        <f t="shared" si="0"/>
        <v>65</v>
      </c>
      <c r="J52" s="914">
        <f t="shared" si="0"/>
        <v>26</v>
      </c>
      <c r="K52" s="914">
        <f t="shared" si="0"/>
        <v>26</v>
      </c>
      <c r="L52" s="914">
        <f t="shared" si="0"/>
        <v>0</v>
      </c>
      <c r="M52" s="914">
        <f t="shared" si="0"/>
        <v>1</v>
      </c>
      <c r="N52" s="914">
        <f t="shared" si="0"/>
        <v>4.5</v>
      </c>
      <c r="O52" s="914">
        <f t="shared" si="0"/>
        <v>0.5</v>
      </c>
      <c r="P52" s="914">
        <f t="shared" si="0"/>
        <v>0</v>
      </c>
      <c r="Q52" s="914">
        <f t="shared" si="0"/>
        <v>9</v>
      </c>
      <c r="R52" s="914">
        <f t="shared" si="0"/>
        <v>3</v>
      </c>
      <c r="S52" s="914">
        <f t="shared" si="0"/>
        <v>0</v>
      </c>
      <c r="T52" s="914">
        <f t="shared" si="0"/>
        <v>27</v>
      </c>
      <c r="U52" s="914">
        <f t="shared" si="0"/>
        <v>1</v>
      </c>
      <c r="V52" s="914">
        <f t="shared" si="0"/>
        <v>5</v>
      </c>
      <c r="W52" s="914">
        <f t="shared" si="0"/>
        <v>0</v>
      </c>
      <c r="X52" s="914">
        <f t="shared" si="0"/>
        <v>3</v>
      </c>
      <c r="Y52" s="914">
        <f t="shared" si="0"/>
        <v>2</v>
      </c>
      <c r="Z52" s="914">
        <f t="shared" si="0"/>
        <v>4.75</v>
      </c>
      <c r="AA52" s="914">
        <f t="shared" si="0"/>
        <v>2.75</v>
      </c>
      <c r="AB52" s="914">
        <f t="shared" si="0"/>
        <v>0</v>
      </c>
      <c r="AC52" s="914">
        <f t="shared" si="0"/>
        <v>0</v>
      </c>
      <c r="AD52" s="914">
        <f t="shared" si="0"/>
        <v>1</v>
      </c>
      <c r="AE52" s="914">
        <f t="shared" si="0"/>
        <v>3</v>
      </c>
      <c r="AF52" s="914">
        <f t="shared" si="0"/>
        <v>0</v>
      </c>
      <c r="AG52" s="914">
        <f t="shared" si="0"/>
        <v>0</v>
      </c>
      <c r="AH52" s="914">
        <f t="shared" si="0"/>
        <v>5.5</v>
      </c>
      <c r="AI52" s="914">
        <f t="shared" si="0"/>
        <v>4</v>
      </c>
      <c r="AJ52" s="914">
        <f t="shared" si="0"/>
        <v>0.5</v>
      </c>
      <c r="AK52" s="914">
        <f t="shared" si="0"/>
        <v>0</v>
      </c>
      <c r="AL52" s="914">
        <f t="shared" ref="AL52:BE52" si="1">SUM(AL3:AL51)</f>
        <v>1</v>
      </c>
      <c r="AM52" s="914">
        <f t="shared" si="1"/>
        <v>3</v>
      </c>
      <c r="AN52" s="914">
        <f t="shared" si="1"/>
        <v>0</v>
      </c>
      <c r="AO52" s="914">
        <f t="shared" si="1"/>
        <v>0</v>
      </c>
      <c r="AP52" s="914">
        <f t="shared" si="1"/>
        <v>6</v>
      </c>
      <c r="AQ52" s="914">
        <f t="shared" si="1"/>
        <v>4.5</v>
      </c>
      <c r="AR52" s="914">
        <f t="shared" si="1"/>
        <v>1</v>
      </c>
      <c r="AS52" s="914">
        <f t="shared" si="1"/>
        <v>0</v>
      </c>
      <c r="AT52" s="914">
        <f t="shared" si="1"/>
        <v>1</v>
      </c>
      <c r="AU52" s="914">
        <f t="shared" si="1"/>
        <v>3</v>
      </c>
      <c r="AV52" s="914">
        <f t="shared" si="1"/>
        <v>0</v>
      </c>
      <c r="AW52" s="914">
        <f t="shared" si="1"/>
        <v>0</v>
      </c>
      <c r="AX52" s="914">
        <f t="shared" si="1"/>
        <v>0</v>
      </c>
      <c r="AY52" s="914">
        <f t="shared" si="1"/>
        <v>2</v>
      </c>
      <c r="AZ52" s="914">
        <f t="shared" si="1"/>
        <v>10</v>
      </c>
      <c r="BA52" s="914">
        <f t="shared" si="1"/>
        <v>2</v>
      </c>
      <c r="BB52" s="914">
        <f t="shared" si="1"/>
        <v>0</v>
      </c>
      <c r="BC52" s="914">
        <f t="shared" si="1"/>
        <v>1</v>
      </c>
      <c r="BD52" s="976">
        <f t="shared" si="1"/>
        <v>3</v>
      </c>
      <c r="BE52" s="977">
        <f t="shared" si="1"/>
        <v>6</v>
      </c>
      <c r="BF52" s="915">
        <f>SUM(F52:BE52)</f>
        <v>383</v>
      </c>
    </row>
    <row r="53" spans="2:60">
      <c r="B53" s="838"/>
      <c r="C53" s="852" t="s">
        <v>27</v>
      </c>
      <c r="D53" s="819"/>
      <c r="E53" s="819"/>
      <c r="F53" s="727">
        <v>8500</v>
      </c>
      <c r="G53" s="453">
        <v>8500</v>
      </c>
      <c r="H53" s="453">
        <v>14000</v>
      </c>
      <c r="I53" s="453">
        <v>14000</v>
      </c>
      <c r="J53" s="453">
        <v>8500</v>
      </c>
      <c r="K53" s="453">
        <v>8500</v>
      </c>
      <c r="L53" s="453">
        <v>8500</v>
      </c>
      <c r="M53" s="453">
        <v>8500</v>
      </c>
      <c r="N53" s="453">
        <v>8500</v>
      </c>
      <c r="O53" s="453">
        <v>14000</v>
      </c>
      <c r="P53" s="453">
        <v>8500</v>
      </c>
      <c r="Q53" s="453">
        <v>8500</v>
      </c>
      <c r="R53" s="453">
        <v>8500</v>
      </c>
      <c r="S53" s="453">
        <v>14000</v>
      </c>
      <c r="T53" s="453">
        <v>14000</v>
      </c>
      <c r="U53" s="453">
        <v>14000</v>
      </c>
      <c r="V53" s="453">
        <v>7500</v>
      </c>
      <c r="W53" s="453">
        <v>8500</v>
      </c>
      <c r="X53" s="453">
        <v>14000</v>
      </c>
      <c r="Y53" s="453">
        <v>14000</v>
      </c>
      <c r="Z53" s="453">
        <v>8500</v>
      </c>
      <c r="AA53" s="453">
        <v>14000</v>
      </c>
      <c r="AB53" s="453">
        <v>8500</v>
      </c>
      <c r="AC53" s="453">
        <v>8500</v>
      </c>
      <c r="AD53" s="453">
        <v>8500</v>
      </c>
      <c r="AE53" s="453">
        <v>8500</v>
      </c>
      <c r="AF53" s="453">
        <v>8500</v>
      </c>
      <c r="AG53" s="453">
        <v>14000</v>
      </c>
      <c r="AH53" s="453">
        <v>8500</v>
      </c>
      <c r="AI53" s="453">
        <v>14000</v>
      </c>
      <c r="AJ53" s="453">
        <v>8500</v>
      </c>
      <c r="AK53" s="453">
        <v>8500</v>
      </c>
      <c r="AL53" s="453">
        <v>8500</v>
      </c>
      <c r="AM53" s="453">
        <v>8500</v>
      </c>
      <c r="AN53" s="453">
        <v>8500</v>
      </c>
      <c r="AO53" s="453">
        <v>14000</v>
      </c>
      <c r="AP53" s="453">
        <v>8500</v>
      </c>
      <c r="AQ53" s="453">
        <v>14000</v>
      </c>
      <c r="AR53" s="453">
        <v>8500</v>
      </c>
      <c r="AS53" s="453">
        <v>8500</v>
      </c>
      <c r="AT53" s="453">
        <v>8500</v>
      </c>
      <c r="AU53" s="453">
        <v>8500</v>
      </c>
      <c r="AV53" s="453">
        <v>8500</v>
      </c>
      <c r="AW53" s="453">
        <v>14000</v>
      </c>
      <c r="AX53" s="453">
        <v>8500</v>
      </c>
      <c r="AY53" s="453">
        <v>14000</v>
      </c>
      <c r="AZ53" s="453">
        <v>8500</v>
      </c>
      <c r="BA53" s="453">
        <v>8500</v>
      </c>
      <c r="BB53" s="453">
        <v>8500</v>
      </c>
      <c r="BC53" s="453">
        <v>8500</v>
      </c>
      <c r="BD53" s="743">
        <v>8500</v>
      </c>
      <c r="BE53" s="978">
        <v>8500</v>
      </c>
    </row>
    <row r="54" spans="2:60" ht="15" thickBot="1">
      <c r="B54" s="840"/>
      <c r="C54" s="853" t="s">
        <v>28</v>
      </c>
      <c r="D54" s="829"/>
      <c r="E54" s="829"/>
      <c r="F54" s="728">
        <f>F52*F53</f>
        <v>365500</v>
      </c>
      <c r="G54" s="459">
        <f t="shared" ref="G54:BE54" si="2">G52*G53</f>
        <v>561000</v>
      </c>
      <c r="H54" s="459">
        <f t="shared" si="2"/>
        <v>504000</v>
      </c>
      <c r="I54" s="459">
        <f t="shared" si="2"/>
        <v>910000</v>
      </c>
      <c r="J54" s="459">
        <f t="shared" si="2"/>
        <v>221000</v>
      </c>
      <c r="K54" s="459">
        <f t="shared" si="2"/>
        <v>221000</v>
      </c>
      <c r="L54" s="459">
        <f t="shared" si="2"/>
        <v>0</v>
      </c>
      <c r="M54" s="459">
        <f t="shared" si="2"/>
        <v>8500</v>
      </c>
      <c r="N54" s="459">
        <f t="shared" si="2"/>
        <v>38250</v>
      </c>
      <c r="O54" s="459">
        <f t="shared" si="2"/>
        <v>7000</v>
      </c>
      <c r="P54" s="459">
        <f t="shared" si="2"/>
        <v>0</v>
      </c>
      <c r="Q54" s="459">
        <f t="shared" si="2"/>
        <v>76500</v>
      </c>
      <c r="R54" s="459">
        <f t="shared" si="2"/>
        <v>25500</v>
      </c>
      <c r="S54" s="459">
        <f t="shared" si="2"/>
        <v>0</v>
      </c>
      <c r="T54" s="459">
        <f t="shared" si="2"/>
        <v>378000</v>
      </c>
      <c r="U54" s="459">
        <f t="shared" si="2"/>
        <v>14000</v>
      </c>
      <c r="V54" s="459">
        <f t="shared" si="2"/>
        <v>37500</v>
      </c>
      <c r="W54" s="459">
        <f t="shared" si="2"/>
        <v>0</v>
      </c>
      <c r="X54" s="459">
        <f t="shared" si="2"/>
        <v>42000</v>
      </c>
      <c r="Y54" s="459">
        <f t="shared" si="2"/>
        <v>28000</v>
      </c>
      <c r="Z54" s="459">
        <f t="shared" si="2"/>
        <v>40375</v>
      </c>
      <c r="AA54" s="459">
        <f t="shared" si="2"/>
        <v>38500</v>
      </c>
      <c r="AB54" s="459">
        <f t="shared" si="2"/>
        <v>0</v>
      </c>
      <c r="AC54" s="459">
        <f t="shared" si="2"/>
        <v>0</v>
      </c>
      <c r="AD54" s="459">
        <f t="shared" si="2"/>
        <v>8500</v>
      </c>
      <c r="AE54" s="459">
        <f t="shared" si="2"/>
        <v>25500</v>
      </c>
      <c r="AF54" s="459">
        <f>AF52*AF53</f>
        <v>0</v>
      </c>
      <c r="AG54" s="459">
        <f>AG52*AG53</f>
        <v>0</v>
      </c>
      <c r="AH54" s="459">
        <f>AH52*AH53</f>
        <v>46750</v>
      </c>
      <c r="AI54" s="459">
        <f t="shared" si="2"/>
        <v>56000</v>
      </c>
      <c r="AJ54" s="459">
        <f>AJ52*AJ53</f>
        <v>4250</v>
      </c>
      <c r="AK54" s="459">
        <f t="shared" si="2"/>
        <v>0</v>
      </c>
      <c r="AL54" s="459">
        <f t="shared" si="2"/>
        <v>8500</v>
      </c>
      <c r="AM54" s="459">
        <f t="shared" si="2"/>
        <v>25500</v>
      </c>
      <c r="AN54" s="459">
        <f>AN52*AN53</f>
        <v>0</v>
      </c>
      <c r="AO54" s="459">
        <f t="shared" si="2"/>
        <v>0</v>
      </c>
      <c r="AP54" s="459">
        <f>AP52*AP53</f>
        <v>51000</v>
      </c>
      <c r="AQ54" s="459">
        <f t="shared" si="2"/>
        <v>63000</v>
      </c>
      <c r="AR54" s="459">
        <f t="shared" si="2"/>
        <v>8500</v>
      </c>
      <c r="AS54" s="459">
        <f t="shared" si="2"/>
        <v>0</v>
      </c>
      <c r="AT54" s="459">
        <f t="shared" si="2"/>
        <v>8500</v>
      </c>
      <c r="AU54" s="459">
        <f t="shared" si="2"/>
        <v>25500</v>
      </c>
      <c r="AV54" s="459">
        <f>AV52*AV53</f>
        <v>0</v>
      </c>
      <c r="AW54" s="459">
        <f t="shared" si="2"/>
        <v>0</v>
      </c>
      <c r="AX54" s="459">
        <f t="shared" si="2"/>
        <v>0</v>
      </c>
      <c r="AY54" s="459">
        <f t="shared" si="2"/>
        <v>28000</v>
      </c>
      <c r="AZ54" s="459">
        <f t="shared" si="2"/>
        <v>85000</v>
      </c>
      <c r="BA54" s="459">
        <f>BA52*BA53</f>
        <v>17000</v>
      </c>
      <c r="BB54" s="459">
        <f>BB52*BB53</f>
        <v>0</v>
      </c>
      <c r="BC54" s="459">
        <f>BC52*BC53</f>
        <v>8500</v>
      </c>
      <c r="BD54" s="744">
        <f>BD52*BD53</f>
        <v>25500</v>
      </c>
      <c r="BE54" s="979">
        <f t="shared" si="2"/>
        <v>51000</v>
      </c>
      <c r="BF54" s="511">
        <f>SUM(F54:BE54)</f>
        <v>4063125</v>
      </c>
      <c r="BG54" s="281"/>
      <c r="BH54" s="281"/>
    </row>
    <row r="55" spans="2:60" ht="13.5" customHeight="1">
      <c r="F55" s="19" t="s">
        <v>124</v>
      </c>
      <c r="G55" s="19" t="s">
        <v>124</v>
      </c>
      <c r="H55" s="19" t="s">
        <v>124</v>
      </c>
      <c r="I55" s="19" t="s">
        <v>124</v>
      </c>
      <c r="K55" s="19" t="s">
        <v>124</v>
      </c>
      <c r="N55" s="19" t="s">
        <v>124</v>
      </c>
      <c r="O55" s="19" t="s">
        <v>124</v>
      </c>
      <c r="Q55" s="19" t="s">
        <v>124</v>
      </c>
      <c r="R55" s="19" t="s">
        <v>124</v>
      </c>
      <c r="Y55" s="19" t="s">
        <v>124</v>
      </c>
      <c r="Z55" s="19" t="s">
        <v>124</v>
      </c>
      <c r="AH55" s="19" t="s">
        <v>124</v>
      </c>
      <c r="AP55" s="19" t="s">
        <v>124</v>
      </c>
      <c r="AQ55" s="19" t="s">
        <v>124</v>
      </c>
      <c r="AX55" s="19" t="s">
        <v>124</v>
      </c>
      <c r="BE55" s="19" t="s">
        <v>124</v>
      </c>
      <c r="BH55" s="281"/>
    </row>
    <row r="56" spans="2:60">
      <c r="C56" s="20" t="s">
        <v>125</v>
      </c>
      <c r="F56" s="19">
        <f t="shared" ref="F56:R56" si="3">F52*8</f>
        <v>344</v>
      </c>
      <c r="G56" s="19">
        <f t="shared" si="3"/>
        <v>528</v>
      </c>
      <c r="H56" s="19">
        <f t="shared" si="3"/>
        <v>288</v>
      </c>
      <c r="I56" s="19">
        <f t="shared" si="3"/>
        <v>520</v>
      </c>
      <c r="J56" s="19">
        <f t="shared" si="3"/>
        <v>208</v>
      </c>
      <c r="K56" s="19">
        <f t="shared" si="3"/>
        <v>208</v>
      </c>
      <c r="L56" s="19">
        <f t="shared" si="3"/>
        <v>0</v>
      </c>
      <c r="M56" s="19">
        <f t="shared" si="3"/>
        <v>8</v>
      </c>
      <c r="N56" s="19">
        <f t="shared" si="3"/>
        <v>36</v>
      </c>
      <c r="O56" s="19">
        <f t="shared" si="3"/>
        <v>4</v>
      </c>
      <c r="P56" s="19">
        <f t="shared" si="3"/>
        <v>0</v>
      </c>
      <c r="Q56" s="19">
        <f t="shared" si="3"/>
        <v>72</v>
      </c>
      <c r="R56" s="19">
        <f t="shared" si="3"/>
        <v>24</v>
      </c>
      <c r="T56" s="19">
        <f>T52*8</f>
        <v>216</v>
      </c>
      <c r="V56" s="19">
        <f>V52*8</f>
        <v>40</v>
      </c>
      <c r="Y56" s="19">
        <f>Y52*8</f>
        <v>16</v>
      </c>
      <c r="Z56" s="19">
        <f>Z52*8</f>
        <v>38</v>
      </c>
      <c r="AE56" s="19">
        <f>AE52*8</f>
        <v>24</v>
      </c>
      <c r="AG56" s="19">
        <f>AG52*8</f>
        <v>0</v>
      </c>
      <c r="AH56" s="19">
        <f>AH52*8</f>
        <v>44</v>
      </c>
      <c r="AM56" s="19">
        <f>AM52*8</f>
        <v>24</v>
      </c>
      <c r="AO56" s="19">
        <f>AO52*8</f>
        <v>0</v>
      </c>
      <c r="AP56" s="19">
        <f>AP52*8</f>
        <v>48</v>
      </c>
      <c r="AU56" s="19">
        <f>AU52*8</f>
        <v>24</v>
      </c>
      <c r="AW56" s="19">
        <f>AW52*8</f>
        <v>0</v>
      </c>
      <c r="AX56" s="19">
        <f>AX52*8</f>
        <v>0</v>
      </c>
      <c r="BD56" s="19">
        <f>BD52*8</f>
        <v>24</v>
      </c>
      <c r="BE56" s="19">
        <f>BE52*8</f>
        <v>48</v>
      </c>
    </row>
    <row r="57" spans="2:60" ht="13.5" customHeight="1"/>
    <row r="58" spans="2:60" ht="20.5">
      <c r="C58" s="1018" t="s">
        <v>346</v>
      </c>
      <c r="D58" s="1018"/>
      <c r="F58" s="22" t="s">
        <v>127</v>
      </c>
      <c r="G58" s="22" t="s">
        <v>128</v>
      </c>
      <c r="H58" s="22" t="s">
        <v>129</v>
      </c>
      <c r="I58" s="22" t="s">
        <v>130</v>
      </c>
      <c r="J58" s="22" t="s">
        <v>131</v>
      </c>
      <c r="L58" s="1019" t="s">
        <v>132</v>
      </c>
      <c r="M58" s="1019" t="s">
        <v>133</v>
      </c>
      <c r="N58" s="1019" t="s">
        <v>134</v>
      </c>
      <c r="O58" s="1019" t="s">
        <v>135</v>
      </c>
      <c r="P58" s="1019" t="s">
        <v>136</v>
      </c>
      <c r="R58" s="20"/>
      <c r="S58" s="1023" t="s">
        <v>132</v>
      </c>
      <c r="T58" s="1023" t="s">
        <v>133</v>
      </c>
      <c r="U58" s="1023" t="s">
        <v>134</v>
      </c>
      <c r="V58" s="1023" t="s">
        <v>135</v>
      </c>
      <c r="W58" s="1023" t="s">
        <v>136</v>
      </c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</row>
    <row r="59" spans="2:60" ht="21.5">
      <c r="F59" s="22" t="s">
        <v>137</v>
      </c>
      <c r="G59" s="22" t="s">
        <v>138</v>
      </c>
      <c r="H59" s="22">
        <v>20</v>
      </c>
      <c r="I59" s="508">
        <v>8500</v>
      </c>
      <c r="J59" s="508">
        <f>H59*I59</f>
        <v>170000</v>
      </c>
      <c r="L59" s="1016" t="s">
        <v>139</v>
      </c>
      <c r="M59" s="1017" t="s">
        <v>140</v>
      </c>
      <c r="N59" s="1014">
        <f>F52</f>
        <v>43</v>
      </c>
      <c r="O59" s="508">
        <v>8500</v>
      </c>
      <c r="P59" s="508">
        <f>N59*O59</f>
        <v>365500</v>
      </c>
      <c r="Q59" s="1031" t="s">
        <v>253</v>
      </c>
      <c r="R59" s="20"/>
      <c r="S59" s="1024" t="s">
        <v>139</v>
      </c>
      <c r="T59" s="1025" t="s">
        <v>140</v>
      </c>
      <c r="U59" s="1026">
        <f t="shared" ref="U59:U72" si="4">N59</f>
        <v>43</v>
      </c>
      <c r="V59" s="1027">
        <v>8500</v>
      </c>
      <c r="W59" s="1027">
        <f>U59*V59</f>
        <v>365500</v>
      </c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</row>
    <row r="60" spans="2:60" ht="21.5">
      <c r="F60" s="22" t="s">
        <v>141</v>
      </c>
      <c r="G60" s="22" t="s">
        <v>142</v>
      </c>
      <c r="H60" s="22">
        <v>37.5</v>
      </c>
      <c r="I60" s="508">
        <v>8500</v>
      </c>
      <c r="J60" s="508">
        <f t="shared" ref="J60:J76" si="5">H60*I60</f>
        <v>318750</v>
      </c>
      <c r="L60" s="1016" t="s">
        <v>143</v>
      </c>
      <c r="M60" s="1017" t="s">
        <v>144</v>
      </c>
      <c r="N60" s="1014">
        <f>G52</f>
        <v>66</v>
      </c>
      <c r="O60" s="508">
        <v>8500</v>
      </c>
      <c r="P60" s="508">
        <f t="shared" ref="P60:P83" si="6">N60*O60</f>
        <v>561000</v>
      </c>
      <c r="Q60" s="1031"/>
      <c r="R60" s="20"/>
      <c r="S60" s="1024" t="s">
        <v>143</v>
      </c>
      <c r="T60" s="1025" t="s">
        <v>144</v>
      </c>
      <c r="U60" s="1026">
        <f t="shared" si="4"/>
        <v>66</v>
      </c>
      <c r="V60" s="1027">
        <v>8500</v>
      </c>
      <c r="W60" s="1027">
        <f t="shared" ref="W60:W82" si="7">U60*V60</f>
        <v>561000</v>
      </c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</row>
    <row r="61" spans="2:60" ht="21.5">
      <c r="F61" s="22" t="s">
        <v>141</v>
      </c>
      <c r="G61" s="22" t="s">
        <v>5</v>
      </c>
      <c r="H61" s="22">
        <v>13.5</v>
      </c>
      <c r="I61" s="508">
        <v>14000</v>
      </c>
      <c r="J61" s="508">
        <f t="shared" si="5"/>
        <v>189000</v>
      </c>
      <c r="L61" s="1016" t="s">
        <v>145</v>
      </c>
      <c r="M61" s="1017" t="s">
        <v>146</v>
      </c>
      <c r="N61" s="1014">
        <f>H52</f>
        <v>36</v>
      </c>
      <c r="O61" s="508">
        <v>14000</v>
      </c>
      <c r="P61" s="508">
        <f t="shared" si="6"/>
        <v>504000</v>
      </c>
      <c r="Q61" s="1031"/>
      <c r="R61" s="20"/>
      <c r="S61" s="1024" t="s">
        <v>145</v>
      </c>
      <c r="T61" s="1025" t="s">
        <v>146</v>
      </c>
      <c r="U61" s="1026">
        <f t="shared" si="4"/>
        <v>36</v>
      </c>
      <c r="V61" s="1027">
        <v>14000</v>
      </c>
      <c r="W61" s="1027">
        <f t="shared" si="7"/>
        <v>504000</v>
      </c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</row>
    <row r="62" spans="2:60" ht="21.5">
      <c r="F62" s="22" t="s">
        <v>141</v>
      </c>
      <c r="G62" s="22" t="s">
        <v>108</v>
      </c>
      <c r="H62" s="22">
        <v>35</v>
      </c>
      <c r="I62" s="508">
        <v>14000</v>
      </c>
      <c r="J62" s="508">
        <f t="shared" si="5"/>
        <v>490000</v>
      </c>
      <c r="L62" s="1016" t="s">
        <v>147</v>
      </c>
      <c r="M62" s="1017" t="s">
        <v>148</v>
      </c>
      <c r="N62" s="1014">
        <f>I52</f>
        <v>65</v>
      </c>
      <c r="O62" s="508">
        <v>14000</v>
      </c>
      <c r="P62" s="508">
        <f t="shared" si="6"/>
        <v>910000</v>
      </c>
      <c r="Q62" s="1031"/>
      <c r="R62" s="20"/>
      <c r="S62" s="1024" t="s">
        <v>147</v>
      </c>
      <c r="T62" s="1025" t="s">
        <v>148</v>
      </c>
      <c r="U62" s="1026">
        <f t="shared" si="4"/>
        <v>65</v>
      </c>
      <c r="V62" s="1027">
        <v>14000</v>
      </c>
      <c r="W62" s="1027">
        <f t="shared" si="7"/>
        <v>910000</v>
      </c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</row>
    <row r="63" spans="2:60" ht="21.5">
      <c r="F63" s="22" t="s">
        <v>141</v>
      </c>
      <c r="G63" s="505" t="s">
        <v>7</v>
      </c>
      <c r="H63" s="22">
        <v>13</v>
      </c>
      <c r="I63" s="508">
        <v>8500</v>
      </c>
      <c r="J63" s="508">
        <f t="shared" si="5"/>
        <v>110500</v>
      </c>
      <c r="L63" s="1016" t="s">
        <v>254</v>
      </c>
      <c r="M63" s="1017" t="s">
        <v>163</v>
      </c>
      <c r="N63" s="1015">
        <f>J52</f>
        <v>26</v>
      </c>
      <c r="O63" s="508">
        <v>8500</v>
      </c>
      <c r="P63" s="508">
        <f t="shared" si="6"/>
        <v>221000</v>
      </c>
      <c r="Q63" s="1031"/>
      <c r="R63" s="20"/>
      <c r="S63" s="1024" t="s">
        <v>254</v>
      </c>
      <c r="T63" s="1025" t="s">
        <v>163</v>
      </c>
      <c r="U63" s="1026">
        <f t="shared" si="4"/>
        <v>26</v>
      </c>
      <c r="V63" s="1027">
        <v>8500</v>
      </c>
      <c r="W63" s="1027">
        <f t="shared" si="7"/>
        <v>221000</v>
      </c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</row>
    <row r="64" spans="2:60" ht="21.5">
      <c r="F64" s="22" t="s">
        <v>60</v>
      </c>
      <c r="G64" s="505" t="s">
        <v>71</v>
      </c>
      <c r="H64" s="22">
        <v>17</v>
      </c>
      <c r="I64" s="508">
        <v>14000</v>
      </c>
      <c r="J64" s="508">
        <f t="shared" si="5"/>
        <v>238000</v>
      </c>
      <c r="L64" s="1016" t="s">
        <v>149</v>
      </c>
      <c r="M64" s="1017" t="s">
        <v>150</v>
      </c>
      <c r="N64" s="1014">
        <f>K52</f>
        <v>26</v>
      </c>
      <c r="O64" s="508">
        <v>8500</v>
      </c>
      <c r="P64" s="508">
        <f t="shared" si="6"/>
        <v>221000</v>
      </c>
      <c r="Q64" s="1031"/>
      <c r="R64" s="20"/>
      <c r="S64" s="1024" t="s">
        <v>149</v>
      </c>
      <c r="T64" s="1025" t="s">
        <v>150</v>
      </c>
      <c r="U64" s="1026">
        <f t="shared" si="4"/>
        <v>26</v>
      </c>
      <c r="V64" s="1027">
        <v>8500</v>
      </c>
      <c r="W64" s="1027">
        <f t="shared" si="7"/>
        <v>221000</v>
      </c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</row>
    <row r="65" spans="6:58" ht="21.5">
      <c r="F65" s="22" t="s">
        <v>60</v>
      </c>
      <c r="G65" s="22" t="s">
        <v>153</v>
      </c>
      <c r="H65" s="22">
        <v>5</v>
      </c>
      <c r="I65" s="508">
        <v>7500</v>
      </c>
      <c r="J65" s="508">
        <f t="shared" si="5"/>
        <v>37500</v>
      </c>
      <c r="L65" s="1016" t="s">
        <v>255</v>
      </c>
      <c r="M65" s="1017" t="s">
        <v>256</v>
      </c>
      <c r="N65" s="1015">
        <f>M52</f>
        <v>1</v>
      </c>
      <c r="O65" s="508">
        <v>8500</v>
      </c>
      <c r="P65" s="508">
        <f t="shared" si="6"/>
        <v>8500</v>
      </c>
      <c r="Q65" s="1031"/>
      <c r="R65" s="20"/>
      <c r="S65" s="1024" t="s">
        <v>255</v>
      </c>
      <c r="T65" s="1025" t="s">
        <v>256</v>
      </c>
      <c r="U65" s="1026">
        <f t="shared" si="4"/>
        <v>1</v>
      </c>
      <c r="V65" s="1027">
        <v>8500</v>
      </c>
      <c r="W65" s="1027">
        <f t="shared" si="7"/>
        <v>8500</v>
      </c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</row>
    <row r="66" spans="6:58" ht="21.5">
      <c r="F66" s="22" t="s">
        <v>155</v>
      </c>
      <c r="G66" s="22" t="s">
        <v>74</v>
      </c>
      <c r="H66" s="22">
        <v>0.5</v>
      </c>
      <c r="I66" s="508">
        <v>14000</v>
      </c>
      <c r="J66" s="508">
        <f t="shared" si="5"/>
        <v>7000</v>
      </c>
      <c r="L66" s="1016" t="s">
        <v>167</v>
      </c>
      <c r="M66" s="1017" t="s">
        <v>168</v>
      </c>
      <c r="N66" s="1014">
        <f>N52</f>
        <v>4.5</v>
      </c>
      <c r="O66" s="508">
        <v>8500</v>
      </c>
      <c r="P66" s="508">
        <f t="shared" si="6"/>
        <v>38250</v>
      </c>
      <c r="Q66" s="1031"/>
      <c r="R66" s="20"/>
      <c r="S66" s="1024" t="s">
        <v>167</v>
      </c>
      <c r="T66" s="1025" t="s">
        <v>168</v>
      </c>
      <c r="U66" s="1026">
        <f t="shared" si="4"/>
        <v>4.5</v>
      </c>
      <c r="V66" s="1027">
        <v>8500</v>
      </c>
      <c r="W66" s="1027">
        <f t="shared" si="7"/>
        <v>38250</v>
      </c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</row>
    <row r="67" spans="6:58" ht="21.5">
      <c r="F67" s="22" t="s">
        <v>155</v>
      </c>
      <c r="G67" s="22" t="s">
        <v>142</v>
      </c>
      <c r="H67" s="22">
        <v>0.75</v>
      </c>
      <c r="I67" s="508">
        <v>8500</v>
      </c>
      <c r="J67" s="508">
        <f t="shared" si="5"/>
        <v>6375</v>
      </c>
      <c r="L67" s="1016" t="s">
        <v>170</v>
      </c>
      <c r="M67" s="1017" t="s">
        <v>171</v>
      </c>
      <c r="N67" s="1014">
        <f>O52</f>
        <v>0.5</v>
      </c>
      <c r="O67" s="508">
        <v>14000</v>
      </c>
      <c r="P67" s="508">
        <f t="shared" si="6"/>
        <v>7000</v>
      </c>
      <c r="Q67" s="1031"/>
      <c r="R67" s="20"/>
      <c r="S67" s="1024" t="s">
        <v>170</v>
      </c>
      <c r="T67" s="1025" t="s">
        <v>171</v>
      </c>
      <c r="U67" s="1026">
        <f t="shared" si="4"/>
        <v>0.5</v>
      </c>
      <c r="V67" s="1027">
        <v>14000</v>
      </c>
      <c r="W67" s="1027">
        <f t="shared" si="7"/>
        <v>7000</v>
      </c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</row>
    <row r="68" spans="6:58" ht="21.5">
      <c r="F68" s="22" t="s">
        <v>63</v>
      </c>
      <c r="G68" s="22" t="s">
        <v>142</v>
      </c>
      <c r="H68" s="22">
        <v>0.5</v>
      </c>
      <c r="I68" s="508">
        <v>8500</v>
      </c>
      <c r="J68" s="508">
        <f t="shared" si="5"/>
        <v>4250</v>
      </c>
      <c r="L68" s="1016" t="s">
        <v>347</v>
      </c>
      <c r="M68" s="1017" t="s">
        <v>176</v>
      </c>
      <c r="N68" s="1014">
        <f>Q52+AD52+AL52+AT52+BC52</f>
        <v>13</v>
      </c>
      <c r="O68" s="508">
        <v>8500</v>
      </c>
      <c r="P68" s="508">
        <f t="shared" si="6"/>
        <v>110500</v>
      </c>
      <c r="Q68" s="1031"/>
      <c r="R68" s="20"/>
      <c r="S68" s="1024" t="s">
        <v>347</v>
      </c>
      <c r="T68" s="1025" t="s">
        <v>176</v>
      </c>
      <c r="U68" s="1026">
        <f t="shared" si="4"/>
        <v>13</v>
      </c>
      <c r="V68" s="1027">
        <v>8500</v>
      </c>
      <c r="W68" s="1027">
        <f t="shared" si="7"/>
        <v>110500</v>
      </c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</row>
    <row r="69" spans="6:58" ht="21.5">
      <c r="F69" s="22" t="s">
        <v>64</v>
      </c>
      <c r="G69" s="22" t="s">
        <v>142</v>
      </c>
      <c r="H69" s="22">
        <v>0.75</v>
      </c>
      <c r="I69" s="508">
        <v>8500</v>
      </c>
      <c r="J69" s="508">
        <f t="shared" si="5"/>
        <v>6375</v>
      </c>
      <c r="L69" s="1016" t="s">
        <v>183</v>
      </c>
      <c r="M69" s="1017" t="s">
        <v>178</v>
      </c>
      <c r="N69" s="1014">
        <f>R52+AE52+AM52+AU52+BD52</f>
        <v>15</v>
      </c>
      <c r="O69" s="508">
        <v>8500</v>
      </c>
      <c r="P69" s="508">
        <f t="shared" si="6"/>
        <v>127500</v>
      </c>
      <c r="Q69" s="1031"/>
      <c r="R69" s="20"/>
      <c r="S69" s="1024" t="s">
        <v>183</v>
      </c>
      <c r="T69" s="1025" t="s">
        <v>178</v>
      </c>
      <c r="U69" s="1026">
        <f t="shared" si="4"/>
        <v>15</v>
      </c>
      <c r="V69" s="1027">
        <v>8500</v>
      </c>
      <c r="W69" s="1027">
        <f t="shared" si="7"/>
        <v>127500</v>
      </c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</row>
    <row r="70" spans="6:58" ht="21.5">
      <c r="F70" s="22" t="s">
        <v>160</v>
      </c>
      <c r="G70" s="22" t="s">
        <v>161</v>
      </c>
      <c r="H70" s="22">
        <v>0.5</v>
      </c>
      <c r="I70" s="508">
        <v>8500</v>
      </c>
      <c r="J70" s="508">
        <f t="shared" si="5"/>
        <v>4250</v>
      </c>
      <c r="L70" s="1016" t="s">
        <v>182</v>
      </c>
      <c r="M70" s="1017" t="s">
        <v>152</v>
      </c>
      <c r="N70" s="1014">
        <f>T52</f>
        <v>27</v>
      </c>
      <c r="O70" s="508">
        <v>14000</v>
      </c>
      <c r="P70" s="508">
        <f t="shared" si="6"/>
        <v>378000</v>
      </c>
      <c r="Q70" s="1031" t="s">
        <v>60</v>
      </c>
      <c r="R70" s="20"/>
      <c r="S70" s="1024" t="s">
        <v>182</v>
      </c>
      <c r="T70" s="1025" t="s">
        <v>152</v>
      </c>
      <c r="U70" s="1026">
        <f t="shared" si="4"/>
        <v>27</v>
      </c>
      <c r="V70" s="1027">
        <v>14000</v>
      </c>
      <c r="W70" s="1027">
        <f t="shared" si="7"/>
        <v>378000</v>
      </c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</row>
    <row r="71" spans="6:58" ht="21.5">
      <c r="F71" s="22" t="s">
        <v>164</v>
      </c>
      <c r="G71" s="22" t="s">
        <v>142</v>
      </c>
      <c r="H71" s="22">
        <v>0.5</v>
      </c>
      <c r="I71" s="508">
        <v>8500</v>
      </c>
      <c r="J71" s="508">
        <f t="shared" si="5"/>
        <v>4250</v>
      </c>
      <c r="L71" s="1016" t="s">
        <v>257</v>
      </c>
      <c r="M71" s="1017" t="s">
        <v>230</v>
      </c>
      <c r="N71" s="1014">
        <f>U52</f>
        <v>1</v>
      </c>
      <c r="O71" s="508">
        <v>14000</v>
      </c>
      <c r="P71" s="508">
        <f t="shared" si="6"/>
        <v>14000</v>
      </c>
      <c r="Q71" s="1031"/>
      <c r="R71" s="20"/>
      <c r="S71" s="1024" t="s">
        <v>257</v>
      </c>
      <c r="T71" s="1025" t="s">
        <v>258</v>
      </c>
      <c r="U71" s="1026">
        <f t="shared" si="4"/>
        <v>1</v>
      </c>
      <c r="V71" s="1027">
        <v>14000</v>
      </c>
      <c r="W71" s="1027">
        <f t="shared" si="7"/>
        <v>14000</v>
      </c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</row>
    <row r="72" spans="6:58" ht="21.5">
      <c r="F72" s="22" t="s">
        <v>137</v>
      </c>
      <c r="G72" s="22" t="s">
        <v>166</v>
      </c>
      <c r="H72" s="22">
        <v>6</v>
      </c>
      <c r="I72" s="508">
        <v>8500</v>
      </c>
      <c r="J72" s="508">
        <f t="shared" si="5"/>
        <v>51000</v>
      </c>
      <c r="L72" s="1016" t="s">
        <v>154</v>
      </c>
      <c r="M72" s="1017" t="s">
        <v>153</v>
      </c>
      <c r="N72" s="1014">
        <f>V52</f>
        <v>5</v>
      </c>
      <c r="O72" s="508">
        <v>7500</v>
      </c>
      <c r="P72" s="508">
        <f t="shared" si="6"/>
        <v>37500</v>
      </c>
      <c r="Q72" s="1031"/>
      <c r="R72" s="20"/>
      <c r="S72" s="1024" t="s">
        <v>154</v>
      </c>
      <c r="T72" s="1025" t="s">
        <v>153</v>
      </c>
      <c r="U72" s="1026">
        <f t="shared" si="4"/>
        <v>5</v>
      </c>
      <c r="V72" s="1027">
        <v>7500</v>
      </c>
      <c r="W72" s="1027">
        <f t="shared" si="7"/>
        <v>37500</v>
      </c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</row>
    <row r="73" spans="6:58" ht="21.5">
      <c r="F73" s="22" t="s">
        <v>137</v>
      </c>
      <c r="G73" s="22" t="s">
        <v>169</v>
      </c>
      <c r="H73" s="22">
        <v>0.5</v>
      </c>
      <c r="I73" s="508">
        <v>14000</v>
      </c>
      <c r="J73" s="508">
        <f t="shared" si="5"/>
        <v>7000</v>
      </c>
      <c r="L73" s="1016"/>
      <c r="M73" s="1017" t="s">
        <v>61</v>
      </c>
      <c r="N73" s="22"/>
      <c r="O73" s="508">
        <v>8500</v>
      </c>
      <c r="P73" s="508">
        <f t="shared" si="6"/>
        <v>0</v>
      </c>
      <c r="Q73" s="1031" t="s">
        <v>61</v>
      </c>
      <c r="R73" s="20"/>
      <c r="S73" s="1024" t="s">
        <v>259</v>
      </c>
      <c r="T73" s="1025" t="s">
        <v>260</v>
      </c>
      <c r="U73" s="1026">
        <f>N74</f>
        <v>3</v>
      </c>
      <c r="V73" s="1120">
        <v>14000</v>
      </c>
      <c r="W73" s="1027">
        <f t="shared" si="7"/>
        <v>42000</v>
      </c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</row>
    <row r="74" spans="6:58" ht="21.5">
      <c r="F74" s="22" t="s">
        <v>137</v>
      </c>
      <c r="G74" s="22" t="s">
        <v>172</v>
      </c>
      <c r="H74" s="22">
        <v>3</v>
      </c>
      <c r="I74" s="508">
        <v>8500</v>
      </c>
      <c r="J74" s="508">
        <f t="shared" si="5"/>
        <v>25500</v>
      </c>
      <c r="L74" s="1016" t="s">
        <v>259</v>
      </c>
      <c r="M74" s="1017" t="s">
        <v>261</v>
      </c>
      <c r="N74" s="1015">
        <f>X52</f>
        <v>3</v>
      </c>
      <c r="O74" s="508">
        <v>14000</v>
      </c>
      <c r="P74" s="508">
        <f t="shared" si="6"/>
        <v>42000</v>
      </c>
      <c r="Q74" s="1031"/>
      <c r="R74" s="20"/>
      <c r="S74" s="1024" t="s">
        <v>156</v>
      </c>
      <c r="T74" s="1025" t="s">
        <v>157</v>
      </c>
      <c r="U74" s="1026">
        <f>N75</f>
        <v>2</v>
      </c>
      <c r="V74" s="1027">
        <v>14000</v>
      </c>
      <c r="W74" s="1027">
        <f t="shared" si="7"/>
        <v>28000</v>
      </c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</row>
    <row r="75" spans="6:58" ht="21.5">
      <c r="F75" s="22" t="s">
        <v>137</v>
      </c>
      <c r="G75" s="22" t="s">
        <v>35</v>
      </c>
      <c r="H75" s="22">
        <v>2</v>
      </c>
      <c r="I75" s="508">
        <v>8500</v>
      </c>
      <c r="J75" s="508">
        <f t="shared" si="5"/>
        <v>17000</v>
      </c>
      <c r="L75" s="1016" t="s">
        <v>156</v>
      </c>
      <c r="M75" s="1017" t="s">
        <v>157</v>
      </c>
      <c r="N75" s="1014">
        <f>Y52</f>
        <v>2</v>
      </c>
      <c r="O75" s="508">
        <v>14000</v>
      </c>
      <c r="P75" s="508">
        <f t="shared" si="6"/>
        <v>28000</v>
      </c>
      <c r="Q75" s="1031" t="s">
        <v>262</v>
      </c>
      <c r="R75" s="20"/>
      <c r="S75" s="1024" t="s">
        <v>158</v>
      </c>
      <c r="T75" s="1025" t="s">
        <v>150</v>
      </c>
      <c r="U75" s="1026">
        <f>N76</f>
        <v>4.75</v>
      </c>
      <c r="V75" s="1027">
        <v>8500</v>
      </c>
      <c r="W75" s="1027">
        <f t="shared" si="7"/>
        <v>40375</v>
      </c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</row>
    <row r="76" spans="6:58" ht="21.5">
      <c r="F76" s="22" t="s">
        <v>137</v>
      </c>
      <c r="G76" s="22" t="s">
        <v>11</v>
      </c>
      <c r="H76" s="22">
        <v>3</v>
      </c>
      <c r="I76" s="508">
        <v>8500</v>
      </c>
      <c r="J76" s="508">
        <f t="shared" si="5"/>
        <v>25500</v>
      </c>
      <c r="L76" s="1016" t="s">
        <v>158</v>
      </c>
      <c r="M76" s="1017" t="s">
        <v>150</v>
      </c>
      <c r="N76" s="1014">
        <f>Z52</f>
        <v>4.75</v>
      </c>
      <c r="O76" s="508">
        <v>8500</v>
      </c>
      <c r="P76" s="508">
        <f t="shared" si="6"/>
        <v>40375</v>
      </c>
      <c r="Q76" s="1031"/>
      <c r="R76" s="20"/>
      <c r="S76" s="1024" t="s">
        <v>263</v>
      </c>
      <c r="T76" s="1025" t="s">
        <v>148</v>
      </c>
      <c r="U76" s="1026">
        <f>N77</f>
        <v>2.75</v>
      </c>
      <c r="V76" s="1027">
        <v>14000</v>
      </c>
      <c r="W76" s="1027">
        <f t="shared" si="7"/>
        <v>38500</v>
      </c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</row>
    <row r="77" spans="6:58" ht="21.5">
      <c r="H77" s="507">
        <f>SUM(H59:H76)</f>
        <v>159</v>
      </c>
      <c r="I77" s="509"/>
      <c r="J77" s="510">
        <f>SUM(J59:J76)</f>
        <v>1712250</v>
      </c>
      <c r="L77" s="1016" t="s">
        <v>263</v>
      </c>
      <c r="M77" s="1017" t="s">
        <v>264</v>
      </c>
      <c r="N77" s="1015">
        <f>AA52</f>
        <v>2.75</v>
      </c>
      <c r="O77" s="508">
        <v>14000</v>
      </c>
      <c r="P77" s="508">
        <f t="shared" si="6"/>
        <v>38500</v>
      </c>
      <c r="Q77" s="1031"/>
      <c r="R77" s="20"/>
      <c r="S77" s="1024" t="s">
        <v>159</v>
      </c>
      <c r="T77" s="1025" t="s">
        <v>144</v>
      </c>
      <c r="U77" s="1026">
        <f>N78+N81</f>
        <v>11.5</v>
      </c>
      <c r="V77" s="1027">
        <v>8500</v>
      </c>
      <c r="W77" s="1027">
        <f t="shared" si="7"/>
        <v>97750</v>
      </c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</row>
    <row r="78" spans="6:58" ht="21.5">
      <c r="J78" s="512">
        <f>J77-BC54</f>
        <v>1703750</v>
      </c>
      <c r="L78" s="1016" t="s">
        <v>159</v>
      </c>
      <c r="M78" s="1017" t="s">
        <v>142</v>
      </c>
      <c r="N78" s="1014">
        <f>AH52</f>
        <v>5.5</v>
      </c>
      <c r="O78" s="508">
        <v>8500</v>
      </c>
      <c r="P78" s="508">
        <f t="shared" si="6"/>
        <v>46750</v>
      </c>
      <c r="Q78" s="1031" t="s">
        <v>265</v>
      </c>
      <c r="R78" s="20"/>
      <c r="S78" s="1024" t="s">
        <v>266</v>
      </c>
      <c r="T78" s="1025" t="s">
        <v>148</v>
      </c>
      <c r="U78" s="1026">
        <f>N79+N82</f>
        <v>8.5</v>
      </c>
      <c r="V78" s="1027">
        <v>14000</v>
      </c>
      <c r="W78" s="1027">
        <f t="shared" si="7"/>
        <v>119000</v>
      </c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</row>
    <row r="79" spans="6:58" ht="21.5">
      <c r="L79" s="1016" t="s">
        <v>266</v>
      </c>
      <c r="M79" s="1017" t="s">
        <v>264</v>
      </c>
      <c r="N79" s="1015">
        <f>AI52</f>
        <v>4</v>
      </c>
      <c r="O79" s="508">
        <v>14000</v>
      </c>
      <c r="P79" s="508">
        <f t="shared" si="6"/>
        <v>56000</v>
      </c>
      <c r="Q79" s="1031"/>
      <c r="R79" s="20"/>
      <c r="S79" s="1024" t="s">
        <v>267</v>
      </c>
      <c r="T79" s="1025" t="s">
        <v>163</v>
      </c>
      <c r="U79" s="1026">
        <f>N80+N83</f>
        <v>1.5</v>
      </c>
      <c r="V79" s="1027">
        <v>8500</v>
      </c>
      <c r="W79" s="1027">
        <f t="shared" si="7"/>
        <v>12750</v>
      </c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</row>
    <row r="80" spans="6:58" ht="21.5">
      <c r="L80" s="1016" t="s">
        <v>267</v>
      </c>
      <c r="M80" s="1017" t="s">
        <v>268</v>
      </c>
      <c r="N80" s="1015">
        <f>AJ52</f>
        <v>0.5</v>
      </c>
      <c r="O80" s="508">
        <v>8500</v>
      </c>
      <c r="P80" s="508">
        <f t="shared" si="6"/>
        <v>4250</v>
      </c>
      <c r="Q80" s="1031"/>
      <c r="R80" s="20"/>
      <c r="S80" s="1024" t="s">
        <v>269</v>
      </c>
      <c r="T80" s="1025" t="s">
        <v>148</v>
      </c>
      <c r="U80" s="1026">
        <f>N84</f>
        <v>2</v>
      </c>
      <c r="V80" s="1027">
        <v>14000</v>
      </c>
      <c r="W80" s="1027">
        <f t="shared" si="7"/>
        <v>28000</v>
      </c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</row>
    <row r="81" spans="12:58" ht="21.5">
      <c r="L81" s="1016" t="s">
        <v>159</v>
      </c>
      <c r="M81" s="1017" t="s">
        <v>142</v>
      </c>
      <c r="N81" s="1014">
        <f>AP52</f>
        <v>6</v>
      </c>
      <c r="O81" s="508">
        <v>8500</v>
      </c>
      <c r="P81" s="508">
        <f t="shared" si="6"/>
        <v>51000</v>
      </c>
      <c r="Q81" s="1031" t="s">
        <v>270</v>
      </c>
      <c r="R81" s="20"/>
      <c r="S81" s="1024" t="s">
        <v>165</v>
      </c>
      <c r="T81" s="1025" t="s">
        <v>144</v>
      </c>
      <c r="U81" s="1026">
        <f>N85</f>
        <v>10</v>
      </c>
      <c r="V81" s="1027">
        <v>8500</v>
      </c>
      <c r="W81" s="1027">
        <f t="shared" si="7"/>
        <v>85000</v>
      </c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</row>
    <row r="82" spans="12:58" ht="21.5">
      <c r="L82" s="1016" t="s">
        <v>266</v>
      </c>
      <c r="M82" s="1017" t="s">
        <v>264</v>
      </c>
      <c r="N82" s="1015">
        <f>AQ52</f>
        <v>4.5</v>
      </c>
      <c r="O82" s="508">
        <v>14000</v>
      </c>
      <c r="P82" s="508">
        <f t="shared" si="6"/>
        <v>63000</v>
      </c>
      <c r="Q82" s="1031"/>
      <c r="R82" s="20"/>
      <c r="S82" s="1024" t="s">
        <v>271</v>
      </c>
      <c r="T82" s="1025" t="s">
        <v>178</v>
      </c>
      <c r="U82" s="1026">
        <f>N86</f>
        <v>2</v>
      </c>
      <c r="V82" s="1027">
        <v>8500</v>
      </c>
      <c r="W82" s="1027">
        <f t="shared" si="7"/>
        <v>17000</v>
      </c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</row>
    <row r="83" spans="12:58" ht="21.5">
      <c r="L83" s="1016" t="s">
        <v>267</v>
      </c>
      <c r="M83" s="1017" t="s">
        <v>268</v>
      </c>
      <c r="N83" s="1015">
        <f>AR52</f>
        <v>1</v>
      </c>
      <c r="O83" s="508">
        <v>8500</v>
      </c>
      <c r="P83" s="508">
        <f t="shared" si="6"/>
        <v>8500</v>
      </c>
      <c r="Q83" s="1031"/>
      <c r="R83" s="20"/>
      <c r="S83" s="1024" t="s">
        <v>173</v>
      </c>
      <c r="T83" s="1025" t="s">
        <v>272</v>
      </c>
      <c r="U83" s="1026">
        <f>N87</f>
        <v>6</v>
      </c>
      <c r="V83" s="1027">
        <v>8500</v>
      </c>
      <c r="W83" s="1027">
        <f>U83*V83</f>
        <v>51000</v>
      </c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</row>
    <row r="84" spans="12:58" ht="21.5">
      <c r="L84" s="1016" t="s">
        <v>269</v>
      </c>
      <c r="M84" s="1017" t="s">
        <v>148</v>
      </c>
      <c r="N84" s="1015">
        <f>AY52</f>
        <v>2</v>
      </c>
      <c r="O84" s="508">
        <v>14000</v>
      </c>
      <c r="P84" s="508">
        <f t="shared" ref="P84:P86" si="8">N84*O84</f>
        <v>28000</v>
      </c>
      <c r="R84" s="20"/>
      <c r="S84" s="1105" t="s">
        <v>184</v>
      </c>
      <c r="T84" s="1105"/>
      <c r="U84" s="1026">
        <f>SUM(U59:U83)</f>
        <v>383</v>
      </c>
      <c r="V84" s="1028"/>
      <c r="W84" s="1027">
        <f>SUM(W59:W83)</f>
        <v>4063125</v>
      </c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</row>
    <row r="85" spans="12:58" ht="21.5">
      <c r="L85" s="1016" t="s">
        <v>165</v>
      </c>
      <c r="M85" s="1017" t="s">
        <v>144</v>
      </c>
      <c r="N85" s="1015">
        <f>AZ52</f>
        <v>10</v>
      </c>
      <c r="O85" s="508">
        <v>8500</v>
      </c>
      <c r="P85" s="508">
        <f t="shared" si="8"/>
        <v>85000</v>
      </c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</row>
    <row r="86" spans="12:58" ht="21.5">
      <c r="L86" s="1016" t="s">
        <v>271</v>
      </c>
      <c r="M86" s="1017" t="s">
        <v>345</v>
      </c>
      <c r="N86" s="1014">
        <f>BA52</f>
        <v>2</v>
      </c>
      <c r="O86" s="508">
        <v>8500</v>
      </c>
      <c r="P86" s="508">
        <f t="shared" si="8"/>
        <v>17000</v>
      </c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</row>
    <row r="87" spans="12:58" ht="21.5">
      <c r="L87" s="1016" t="s">
        <v>173</v>
      </c>
      <c r="M87" s="1017" t="s">
        <v>163</v>
      </c>
      <c r="N87" s="1014">
        <f>BE52</f>
        <v>6</v>
      </c>
      <c r="O87" s="508">
        <v>8500</v>
      </c>
      <c r="P87" s="508">
        <f>N87*O87</f>
        <v>51000</v>
      </c>
      <c r="Q87" s="1020" t="s">
        <v>275</v>
      </c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</row>
    <row r="88" spans="12:58">
      <c r="N88" s="1021">
        <f>SUM(N59:N87)</f>
        <v>383</v>
      </c>
      <c r="P88" s="1022">
        <f>SUM(P59:P87)</f>
        <v>4063125</v>
      </c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</row>
    <row r="89" spans="12:58"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</row>
    <row r="90" spans="12:58"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</row>
    <row r="91" spans="12:58"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</row>
    <row r="92" spans="12:58"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</row>
    <row r="93" spans="12:58">
      <c r="O93" s="513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</row>
    <row r="94" spans="12:58" ht="13.5" customHeight="1"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</row>
    <row r="95" spans="12:58" ht="13.5" customHeight="1"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</row>
    <row r="96" spans="12:58" ht="13.5" customHeight="1">
      <c r="Q96" s="509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</row>
    <row r="97" spans="14:58" ht="13.5" customHeight="1"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</row>
    <row r="98" spans="14:58" ht="13.5" customHeight="1"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</row>
    <row r="99" spans="14:58" ht="13.5" customHeight="1"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</row>
    <row r="100" spans="14:58" ht="13.5" customHeight="1"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</row>
    <row r="101" spans="14:58" ht="13.5" customHeight="1"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</row>
    <row r="102" spans="14:58" ht="13.5" customHeight="1"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</row>
    <row r="103" spans="14:58" ht="13.5" customHeight="1"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</row>
    <row r="104" spans="14:58" ht="13.5" customHeight="1"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</row>
    <row r="105" spans="14:58" ht="13.5" customHeight="1"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</row>
    <row r="106" spans="14:58" ht="13.5" customHeight="1"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</row>
    <row r="107" spans="14:58" ht="13.5" customHeight="1"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</row>
    <row r="108" spans="14:58" ht="13.5" customHeight="1"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</row>
    <row r="109" spans="14:58" ht="13.5" customHeight="1">
      <c r="N109" s="513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</row>
    <row r="110" spans="14:58" ht="13.5" customHeight="1"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</row>
    <row r="111" spans="14:58" ht="13.5" customHeight="1"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</row>
    <row r="112" spans="14:58" ht="13.5" customHeight="1"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</row>
    <row r="113" spans="16:58" ht="13.5" customHeight="1"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</row>
    <row r="114" spans="16:58" ht="13.5" customHeight="1"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</row>
    <row r="115" spans="16:58" ht="13.5" customHeight="1"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</row>
    <row r="116" spans="16:58" ht="13.5" customHeight="1"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</row>
    <row r="117" spans="16:58" ht="13.5" customHeight="1"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</row>
    <row r="118" spans="16:58" ht="13.5" customHeight="1"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</row>
    <row r="119" spans="16:58" ht="13.5" customHeight="1"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</row>
    <row r="120" spans="16:58" ht="13.5" customHeight="1"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</row>
    <row r="121" spans="16:58" ht="13.5" customHeight="1"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</row>
    <row r="122" spans="16:58" ht="13.5" customHeight="1"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</row>
    <row r="123" spans="16:58" ht="13.5" customHeight="1"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</row>
    <row r="124" spans="16:58" ht="13.5" customHeight="1"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</row>
    <row r="125" spans="16:58" ht="13.5" customHeight="1"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</row>
    <row r="126" spans="16:58" ht="13.5" customHeight="1"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</row>
    <row r="127" spans="16:58" ht="13.5" customHeight="1"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</row>
    <row r="128" spans="16:58" ht="13.5" customHeight="1"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</row>
    <row r="129" spans="16:58" ht="13.5" customHeight="1"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</row>
    <row r="130" spans="16:58" ht="13.5" customHeight="1"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</row>
    <row r="131" spans="16:58" ht="13.5" customHeight="1"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</row>
    <row r="132" spans="16:58" ht="13.5" customHeight="1"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</row>
    <row r="133" spans="16:58" ht="13.5" customHeight="1"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</row>
    <row r="134" spans="16:58" ht="13.5" customHeight="1"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</row>
    <row r="135" spans="16:58" ht="13.5" customHeight="1"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</row>
    <row r="136" spans="16:58" ht="13.5" customHeight="1">
      <c r="P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</row>
    <row r="137" spans="16:58" ht="13.5" customHeight="1">
      <c r="P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</row>
    <row r="138" spans="16:58" ht="13.5" customHeight="1"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</row>
  </sheetData>
  <autoFilter ref="A2:EE56" xr:uid="{481CC179-ECF6-4748-96A9-1D852131BE18}"/>
  <mergeCells count="23">
    <mergeCell ref="Q81:Q83"/>
    <mergeCell ref="S84:T84"/>
    <mergeCell ref="A1:C1"/>
    <mergeCell ref="F20:F25"/>
    <mergeCell ref="Q59:Q69"/>
    <mergeCell ref="Q70:Q72"/>
    <mergeCell ref="Q73:Q74"/>
    <mergeCell ref="Q75:Q77"/>
    <mergeCell ref="Q78:Q80"/>
    <mergeCell ref="AW1:BD1"/>
    <mergeCell ref="F8:F18"/>
    <mergeCell ref="K36:K37"/>
    <mergeCell ref="F40:F42"/>
    <mergeCell ref="G40:G42"/>
    <mergeCell ref="H40:H42"/>
    <mergeCell ref="I40:I42"/>
    <mergeCell ref="AZ25:AZ26"/>
    <mergeCell ref="F1:R1"/>
    <mergeCell ref="S1:V1"/>
    <mergeCell ref="W1:X1"/>
    <mergeCell ref="Y1:AF1"/>
    <mergeCell ref="AG1:AN1"/>
    <mergeCell ref="AO1:AV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9978A-4363-4FF6-BC9F-AD5537CF7A76}">
  <dimension ref="B1:Z58"/>
  <sheetViews>
    <sheetView showGridLines="0" topLeftCell="A39" workbookViewId="0">
      <selection activeCell="AD50" sqref="AD50"/>
    </sheetView>
  </sheetViews>
  <sheetFormatPr defaultColWidth="8.90625" defaultRowHeight="13.5" customHeight="1"/>
  <cols>
    <col min="2" max="2" width="27.36328125" customWidth="1"/>
    <col min="3" max="3" width="18.36328125" bestFit="1" customWidth="1"/>
    <col min="4" max="23" width="4.90625" customWidth="1"/>
    <col min="24" max="24" width="2.7265625" customWidth="1"/>
  </cols>
  <sheetData>
    <row r="1" spans="2:23" ht="15" thickBot="1"/>
    <row r="2" spans="2:23" ht="14.5">
      <c r="B2" s="1117" t="s">
        <v>307</v>
      </c>
      <c r="C2" s="1119" t="s">
        <v>128</v>
      </c>
      <c r="D2" s="1115" t="s">
        <v>308</v>
      </c>
      <c r="E2" s="1116"/>
      <c r="F2" s="1116"/>
      <c r="G2" s="1116"/>
      <c r="H2" s="1115" t="s">
        <v>309</v>
      </c>
      <c r="I2" s="1116"/>
      <c r="J2" s="1116"/>
      <c r="K2" s="1116"/>
      <c r="L2" s="1115" t="s">
        <v>310</v>
      </c>
      <c r="M2" s="1116"/>
      <c r="N2" s="1116"/>
      <c r="O2" s="1116"/>
      <c r="P2" s="795"/>
      <c r="Q2" s="795"/>
      <c r="R2" s="795"/>
      <c r="S2" s="795"/>
      <c r="T2" s="795"/>
      <c r="U2" s="795"/>
      <c r="V2" s="795"/>
      <c r="W2" s="795"/>
    </row>
    <row r="3" spans="2:23" ht="15" thickBot="1">
      <c r="B3" s="1118"/>
      <c r="C3" s="1114"/>
      <c r="D3" s="30" t="s">
        <v>312</v>
      </c>
      <c r="E3" s="31" t="s">
        <v>313</v>
      </c>
      <c r="F3" s="31" t="s">
        <v>314</v>
      </c>
      <c r="G3" s="32" t="s">
        <v>315</v>
      </c>
      <c r="H3" s="30" t="s">
        <v>312</v>
      </c>
      <c r="I3" s="31" t="s">
        <v>313</v>
      </c>
      <c r="J3" s="31" t="s">
        <v>314</v>
      </c>
      <c r="K3" s="32" t="s">
        <v>315</v>
      </c>
      <c r="L3" s="30" t="s">
        <v>312</v>
      </c>
      <c r="M3" s="31" t="s">
        <v>313</v>
      </c>
      <c r="N3" s="31" t="s">
        <v>314</v>
      </c>
      <c r="O3" s="32" t="s">
        <v>315</v>
      </c>
      <c r="P3" s="798"/>
      <c r="Q3" s="798"/>
      <c r="R3" s="798"/>
      <c r="S3" s="798"/>
      <c r="T3" s="798"/>
      <c r="U3" s="798"/>
      <c r="V3" s="798"/>
      <c r="W3" s="798"/>
    </row>
    <row r="4" spans="2:23" ht="18">
      <c r="B4" s="33" t="s">
        <v>316</v>
      </c>
      <c r="C4" s="33"/>
      <c r="D4" s="34"/>
      <c r="E4" s="35"/>
      <c r="F4" s="36"/>
      <c r="G4" s="37"/>
      <c r="H4" s="36"/>
      <c r="I4" s="35"/>
      <c r="J4" s="37"/>
      <c r="K4" s="37"/>
      <c r="L4" s="36"/>
      <c r="M4" s="35"/>
      <c r="N4" s="37"/>
      <c r="O4" s="37"/>
      <c r="P4" s="37"/>
      <c r="Q4" s="37"/>
      <c r="R4" s="37"/>
      <c r="S4" s="37"/>
      <c r="T4" s="37"/>
      <c r="U4" s="37"/>
      <c r="V4" s="37"/>
      <c r="W4" s="37"/>
    </row>
    <row r="5" spans="2:23" ht="18.5" thickBot="1">
      <c r="B5" s="38" t="s">
        <v>317</v>
      </c>
      <c r="C5" s="38" t="s">
        <v>318</v>
      </c>
      <c r="D5" s="34"/>
      <c r="E5" s="39"/>
      <c r="F5" s="39"/>
      <c r="G5" s="39"/>
      <c r="H5" s="40"/>
      <c r="I5" s="40"/>
      <c r="J5" s="39"/>
      <c r="K5" s="39"/>
      <c r="L5" s="40"/>
      <c r="M5" s="40"/>
      <c r="N5" s="39"/>
      <c r="O5" s="39"/>
      <c r="P5" s="39"/>
      <c r="Q5" s="39"/>
      <c r="R5" s="39"/>
      <c r="S5" s="39"/>
      <c r="T5" s="39"/>
      <c r="U5" s="39"/>
      <c r="V5" s="39"/>
      <c r="W5" s="39"/>
    </row>
    <row r="6" spans="2:23" ht="18">
      <c r="B6" s="33" t="s">
        <v>319</v>
      </c>
      <c r="C6" s="33"/>
      <c r="D6" s="36"/>
      <c r="E6" s="36"/>
      <c r="F6" s="35"/>
      <c r="G6" s="36"/>
      <c r="H6" s="36"/>
      <c r="I6" s="35"/>
      <c r="J6" s="36"/>
      <c r="K6" s="35"/>
      <c r="L6" s="36"/>
      <c r="M6" s="35"/>
      <c r="N6" s="36"/>
      <c r="O6" s="35"/>
      <c r="P6" s="35"/>
      <c r="Q6" s="35"/>
      <c r="R6" s="35"/>
      <c r="S6" s="35"/>
      <c r="T6" s="35"/>
      <c r="U6" s="35"/>
      <c r="V6" s="35"/>
      <c r="W6" s="35"/>
    </row>
    <row r="7" spans="2:23" ht="18.5" thickBot="1">
      <c r="B7" s="41" t="s">
        <v>320</v>
      </c>
      <c r="C7" s="41" t="s">
        <v>321</v>
      </c>
      <c r="D7" s="42"/>
      <c r="E7" s="42"/>
      <c r="F7" s="42"/>
      <c r="G7" s="42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</row>
    <row r="8" spans="2:23" ht="18">
      <c r="B8" s="33" t="s">
        <v>322</v>
      </c>
      <c r="C8" s="33"/>
      <c r="D8" s="44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</row>
    <row r="9" spans="2:23" ht="18">
      <c r="B9" s="38" t="s">
        <v>323</v>
      </c>
      <c r="C9" s="38" t="s">
        <v>324</v>
      </c>
      <c r="D9" s="45"/>
      <c r="E9" s="40"/>
      <c r="F9" s="34"/>
      <c r="G9" s="46"/>
      <c r="H9" s="34"/>
      <c r="I9" s="34"/>
      <c r="J9" s="34"/>
      <c r="K9" s="34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</row>
    <row r="10" spans="2:23" ht="18.5" thickBot="1">
      <c r="B10" s="41" t="s">
        <v>325</v>
      </c>
      <c r="C10" s="41" t="s">
        <v>326</v>
      </c>
      <c r="D10" s="47"/>
      <c r="E10" s="43"/>
      <c r="F10" s="43"/>
      <c r="G10" s="43"/>
      <c r="H10" s="48"/>
      <c r="I10" s="48"/>
      <c r="J10" s="42"/>
      <c r="K10" s="42"/>
      <c r="L10" s="42"/>
      <c r="M10" s="42"/>
      <c r="N10" s="43"/>
      <c r="O10" s="43"/>
      <c r="P10" s="43"/>
      <c r="Q10" s="43"/>
      <c r="R10" s="43"/>
      <c r="S10" s="43"/>
      <c r="T10" s="43"/>
      <c r="U10" s="43"/>
      <c r="V10" s="43"/>
      <c r="W10" s="43"/>
    </row>
    <row r="11" spans="2:23" ht="18">
      <c r="B11" s="33" t="s">
        <v>327</v>
      </c>
      <c r="C11" s="33"/>
      <c r="D11" s="44"/>
      <c r="E11" s="35"/>
      <c r="F11" s="35"/>
      <c r="G11" s="35"/>
      <c r="H11" s="37"/>
      <c r="I11" s="37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</row>
    <row r="12" spans="2:23" ht="18">
      <c r="B12" s="38" t="s">
        <v>328</v>
      </c>
      <c r="C12" s="38" t="s">
        <v>329</v>
      </c>
      <c r="D12" s="45"/>
      <c r="E12" s="40"/>
      <c r="F12" s="40"/>
      <c r="G12" s="40"/>
      <c r="H12" s="39"/>
      <c r="I12" s="39"/>
      <c r="J12" s="40"/>
      <c r="K12" s="40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</row>
    <row r="13" spans="2:23" ht="18">
      <c r="B13" s="38" t="s">
        <v>330</v>
      </c>
      <c r="C13" s="38" t="s">
        <v>329</v>
      </c>
      <c r="D13" s="45"/>
      <c r="E13" s="40"/>
      <c r="F13" s="40"/>
      <c r="G13" s="40"/>
      <c r="H13" s="39"/>
      <c r="I13" s="39"/>
      <c r="J13" s="40"/>
      <c r="K13" s="40"/>
      <c r="L13" s="40"/>
      <c r="M13" s="40"/>
      <c r="N13" s="40"/>
      <c r="O13" s="34"/>
      <c r="P13" s="34"/>
      <c r="Q13" s="34"/>
      <c r="R13" s="34"/>
      <c r="S13" s="34"/>
      <c r="T13" s="34"/>
      <c r="U13" s="34"/>
      <c r="V13" s="34"/>
      <c r="W13" s="34"/>
    </row>
    <row r="14" spans="2:23" ht="18">
      <c r="B14" s="49" t="s">
        <v>331</v>
      </c>
      <c r="C14" s="49" t="s">
        <v>332</v>
      </c>
      <c r="D14" s="45"/>
      <c r="E14" s="40"/>
      <c r="F14" s="40"/>
      <c r="G14" s="40"/>
      <c r="H14" s="39"/>
      <c r="I14" s="39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</row>
    <row r="15" spans="2:23" ht="18.5" thickBot="1">
      <c r="B15" s="41" t="s">
        <v>333</v>
      </c>
      <c r="C15" s="41" t="s">
        <v>334</v>
      </c>
      <c r="D15" s="47"/>
      <c r="E15" s="43"/>
      <c r="F15" s="43"/>
      <c r="G15" s="43"/>
      <c r="H15" s="48"/>
      <c r="I15" s="48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</row>
    <row r="16" spans="2:23" ht="18">
      <c r="B16" s="33" t="s">
        <v>335</v>
      </c>
      <c r="C16" s="33"/>
      <c r="D16" s="44"/>
      <c r="E16" s="35"/>
      <c r="F16" s="35"/>
      <c r="G16" s="35"/>
      <c r="H16" s="37"/>
      <c r="I16" s="37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</row>
    <row r="17" spans="2:23" ht="18">
      <c r="B17" s="38" t="s">
        <v>336</v>
      </c>
      <c r="C17" s="50" t="s">
        <v>337</v>
      </c>
      <c r="D17" s="45"/>
      <c r="E17" s="40"/>
      <c r="F17" s="40"/>
      <c r="G17" s="40"/>
      <c r="H17" s="39"/>
      <c r="I17" s="39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</row>
    <row r="18" spans="2:23" ht="18.5" thickBot="1">
      <c r="B18" s="41" t="s">
        <v>338</v>
      </c>
      <c r="C18" s="41" t="s">
        <v>339</v>
      </c>
      <c r="D18" s="47"/>
      <c r="E18" s="43"/>
      <c r="F18" s="43"/>
      <c r="G18" s="43"/>
      <c r="H18" s="48"/>
      <c r="I18" s="48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</row>
    <row r="21" spans="2:23" ht="14.5">
      <c r="B21" s="1111" t="s">
        <v>307</v>
      </c>
      <c r="C21" s="1113" t="s">
        <v>128</v>
      </c>
      <c r="D21" s="1108" t="s">
        <v>308</v>
      </c>
      <c r="E21" s="1109"/>
      <c r="F21" s="1109"/>
      <c r="G21" s="1109"/>
      <c r="H21" s="1108" t="s">
        <v>309</v>
      </c>
      <c r="I21" s="1109"/>
      <c r="J21" s="1109"/>
      <c r="K21" s="1110"/>
    </row>
    <row r="22" spans="2:23" ht="15" thickBot="1">
      <c r="B22" s="1112"/>
      <c r="C22" s="1114"/>
      <c r="D22" s="30" t="s">
        <v>312</v>
      </c>
      <c r="E22" s="31" t="s">
        <v>313</v>
      </c>
      <c r="F22" s="31" t="s">
        <v>314</v>
      </c>
      <c r="G22" s="32" t="s">
        <v>315</v>
      </c>
      <c r="H22" s="30" t="s">
        <v>312</v>
      </c>
      <c r="I22" s="31" t="s">
        <v>313</v>
      </c>
      <c r="J22" s="31" t="s">
        <v>314</v>
      </c>
      <c r="K22" s="471" t="s">
        <v>315</v>
      </c>
    </row>
    <row r="23" spans="2:23" ht="18">
      <c r="B23" s="472" t="s">
        <v>316</v>
      </c>
      <c r="C23" s="33"/>
      <c r="D23" s="40"/>
      <c r="E23" s="35"/>
      <c r="F23" s="36"/>
      <c r="G23" s="37"/>
      <c r="H23" s="36"/>
      <c r="I23" s="35"/>
      <c r="J23" s="37"/>
      <c r="K23" s="473"/>
    </row>
    <row r="24" spans="2:23" ht="18.5" thickBot="1">
      <c r="B24" s="474" t="s">
        <v>317</v>
      </c>
      <c r="C24" s="38" t="s">
        <v>318</v>
      </c>
      <c r="D24" s="34"/>
      <c r="E24" s="39"/>
      <c r="F24" s="39"/>
      <c r="G24" s="39"/>
      <c r="H24" s="40"/>
      <c r="I24" s="40"/>
      <c r="J24" s="39"/>
      <c r="K24" s="475"/>
    </row>
    <row r="25" spans="2:23" ht="18">
      <c r="B25" s="472" t="s">
        <v>319</v>
      </c>
      <c r="C25" s="33"/>
      <c r="D25" s="36"/>
      <c r="E25" s="36"/>
      <c r="F25" s="35"/>
      <c r="G25" s="36"/>
      <c r="H25" s="36"/>
      <c r="I25" s="35"/>
      <c r="J25" s="36"/>
      <c r="K25" s="476"/>
    </row>
    <row r="26" spans="2:23" ht="18.5" thickBot="1">
      <c r="B26" s="477" t="s">
        <v>320</v>
      </c>
      <c r="C26" s="41" t="s">
        <v>321</v>
      </c>
      <c r="D26" s="42"/>
      <c r="E26" s="42"/>
      <c r="F26" s="43"/>
      <c r="G26" s="43"/>
      <c r="H26" s="43"/>
      <c r="I26" s="43"/>
      <c r="J26" s="43"/>
      <c r="K26" s="478"/>
    </row>
    <row r="27" spans="2:23" ht="18">
      <c r="B27" s="472" t="s">
        <v>322</v>
      </c>
      <c r="C27" s="33"/>
      <c r="D27" s="44"/>
      <c r="E27" s="35"/>
      <c r="F27" s="35"/>
      <c r="G27" s="35"/>
      <c r="H27" s="35"/>
      <c r="I27" s="35"/>
      <c r="J27" s="35"/>
      <c r="K27" s="476"/>
    </row>
    <row r="28" spans="2:23" ht="18">
      <c r="B28" s="474" t="s">
        <v>323</v>
      </c>
      <c r="C28" s="38" t="s">
        <v>324</v>
      </c>
      <c r="D28" s="45"/>
      <c r="E28" s="34"/>
      <c r="F28" s="34"/>
      <c r="G28" s="46"/>
      <c r="H28" s="34"/>
      <c r="I28" s="40"/>
      <c r="J28" s="40"/>
      <c r="K28" s="479"/>
    </row>
    <row r="29" spans="2:23" ht="18.5" thickBot="1">
      <c r="B29" s="477" t="s">
        <v>325</v>
      </c>
      <c r="C29" s="41" t="s">
        <v>326</v>
      </c>
      <c r="D29" s="47"/>
      <c r="E29" s="43"/>
      <c r="F29" s="43"/>
      <c r="G29" s="42"/>
      <c r="H29" s="469"/>
      <c r="I29" s="48"/>
      <c r="J29" s="43"/>
      <c r="K29" s="478"/>
    </row>
    <row r="30" spans="2:23" ht="18">
      <c r="B30" s="472" t="s">
        <v>327</v>
      </c>
      <c r="C30" s="33"/>
      <c r="D30" s="44"/>
      <c r="E30" s="35"/>
      <c r="F30" s="35"/>
      <c r="G30" s="35"/>
      <c r="H30" s="37"/>
      <c r="I30" s="37"/>
      <c r="J30" s="35"/>
      <c r="K30" s="476"/>
    </row>
    <row r="31" spans="2:23" ht="18">
      <c r="B31" s="474" t="s">
        <v>328</v>
      </c>
      <c r="C31" s="38" t="s">
        <v>329</v>
      </c>
      <c r="D31" s="45"/>
      <c r="E31" s="40"/>
      <c r="F31" s="40"/>
      <c r="G31" s="40"/>
      <c r="H31" s="470"/>
      <c r="I31" s="470"/>
      <c r="J31" s="40"/>
      <c r="K31" s="479"/>
    </row>
    <row r="32" spans="2:23" ht="18">
      <c r="B32" s="474" t="s">
        <v>330</v>
      </c>
      <c r="C32" s="38" t="s">
        <v>329</v>
      </c>
      <c r="D32" s="45"/>
      <c r="E32" s="40"/>
      <c r="F32" s="40"/>
      <c r="G32" s="40"/>
      <c r="H32" s="470"/>
      <c r="I32" s="470"/>
      <c r="J32" s="40"/>
      <c r="K32" s="479"/>
    </row>
    <row r="33" spans="2:26" ht="18">
      <c r="B33" s="480" t="s">
        <v>331</v>
      </c>
      <c r="C33" s="49" t="s">
        <v>332</v>
      </c>
      <c r="D33" s="45"/>
      <c r="E33" s="40"/>
      <c r="F33" s="40"/>
      <c r="G33" s="40"/>
      <c r="H33" s="39"/>
      <c r="I33" s="470"/>
      <c r="J33" s="34"/>
      <c r="K33" s="479"/>
    </row>
    <row r="34" spans="2:26" ht="18.5" thickBot="1">
      <c r="B34" s="477" t="s">
        <v>333</v>
      </c>
      <c r="C34" s="41" t="s">
        <v>334</v>
      </c>
      <c r="D34" s="47"/>
      <c r="E34" s="43"/>
      <c r="F34" s="43"/>
      <c r="G34" s="43"/>
      <c r="H34" s="48"/>
      <c r="I34" s="469"/>
      <c r="J34" s="42"/>
      <c r="K34" s="478"/>
    </row>
    <row r="35" spans="2:26" ht="18">
      <c r="B35" s="472" t="s">
        <v>335</v>
      </c>
      <c r="C35" s="33"/>
      <c r="D35" s="44"/>
      <c r="E35" s="35"/>
      <c r="F35" s="35"/>
      <c r="G35" s="35"/>
      <c r="H35" s="37"/>
      <c r="I35" s="37"/>
      <c r="J35" s="35"/>
      <c r="K35" s="476"/>
    </row>
    <row r="36" spans="2:26" ht="18">
      <c r="B36" s="474" t="s">
        <v>336</v>
      </c>
      <c r="C36" s="50" t="s">
        <v>337</v>
      </c>
      <c r="D36" s="45"/>
      <c r="E36" s="40"/>
      <c r="F36" s="40"/>
      <c r="G36" s="40"/>
      <c r="H36" s="39"/>
      <c r="I36" s="39"/>
      <c r="J36" s="34"/>
      <c r="K36" s="481"/>
    </row>
    <row r="37" spans="2:26" ht="18.5" thickBot="1">
      <c r="B37" s="482" t="s">
        <v>338</v>
      </c>
      <c r="C37" s="483" t="s">
        <v>339</v>
      </c>
      <c r="D37" s="484"/>
      <c r="E37" s="485"/>
      <c r="F37" s="485"/>
      <c r="G37" s="485"/>
      <c r="H37" s="486"/>
      <c r="I37" s="486"/>
      <c r="J37" s="485"/>
      <c r="K37" s="487"/>
    </row>
    <row r="40" spans="2:26" ht="15" thickBot="1"/>
    <row r="41" spans="2:26" ht="14.5">
      <c r="B41" s="1111" t="s">
        <v>307</v>
      </c>
      <c r="C41" s="1113" t="s">
        <v>128</v>
      </c>
      <c r="D41" s="1108" t="s">
        <v>308</v>
      </c>
      <c r="E41" s="1109"/>
      <c r="F41" s="1109"/>
      <c r="G41" s="1109"/>
      <c r="H41" s="1108" t="s">
        <v>309</v>
      </c>
      <c r="I41" s="1109"/>
      <c r="J41" s="1109"/>
      <c r="K41" s="1110"/>
      <c r="L41" s="1108" t="s">
        <v>310</v>
      </c>
      <c r="M41" s="1109"/>
      <c r="N41" s="1109"/>
      <c r="O41" s="1110"/>
      <c r="P41" s="1108" t="s">
        <v>311</v>
      </c>
      <c r="Q41" s="1109"/>
      <c r="R41" s="1109"/>
      <c r="S41" s="1110"/>
      <c r="T41" s="1108" t="s">
        <v>340</v>
      </c>
      <c r="U41" s="1109"/>
      <c r="V41" s="1109"/>
      <c r="W41" s="1110"/>
    </row>
    <row r="42" spans="2:26" ht="15" thickBot="1">
      <c r="B42" s="1112"/>
      <c r="C42" s="1114"/>
      <c r="D42" s="30" t="s">
        <v>312</v>
      </c>
      <c r="E42" s="31" t="s">
        <v>313</v>
      </c>
      <c r="F42" s="31" t="s">
        <v>314</v>
      </c>
      <c r="G42" s="32" t="s">
        <v>315</v>
      </c>
      <c r="H42" s="30" t="s">
        <v>312</v>
      </c>
      <c r="I42" s="31" t="s">
        <v>313</v>
      </c>
      <c r="J42" s="31" t="s">
        <v>314</v>
      </c>
      <c r="K42" s="471" t="s">
        <v>315</v>
      </c>
      <c r="L42" s="30" t="s">
        <v>312</v>
      </c>
      <c r="M42" s="31" t="s">
        <v>313</v>
      </c>
      <c r="N42" s="31" t="s">
        <v>314</v>
      </c>
      <c r="O42" s="471" t="s">
        <v>315</v>
      </c>
      <c r="P42" s="30" t="s">
        <v>312</v>
      </c>
      <c r="Q42" s="31" t="s">
        <v>313</v>
      </c>
      <c r="R42" s="31" t="s">
        <v>314</v>
      </c>
      <c r="S42" s="471" t="s">
        <v>315</v>
      </c>
      <c r="T42" s="30" t="s">
        <v>312</v>
      </c>
      <c r="U42" s="31" t="s">
        <v>313</v>
      </c>
      <c r="V42" s="31" t="s">
        <v>314</v>
      </c>
      <c r="W42" s="471" t="s">
        <v>315</v>
      </c>
    </row>
    <row r="43" spans="2:26" ht="18">
      <c r="B43" s="472" t="s">
        <v>316</v>
      </c>
      <c r="C43" s="33"/>
      <c r="D43" s="40"/>
      <c r="E43" s="35"/>
      <c r="F43" s="36"/>
      <c r="G43" s="37"/>
      <c r="H43" s="36"/>
      <c r="I43" s="35"/>
      <c r="J43" s="37"/>
      <c r="K43" s="473"/>
      <c r="L43" s="36"/>
      <c r="M43" s="35"/>
      <c r="N43" s="37"/>
      <c r="O43" s="473"/>
      <c r="P43" s="36"/>
      <c r="Q43" s="35"/>
      <c r="R43" s="37"/>
      <c r="S43" s="473"/>
      <c r="T43" s="36"/>
      <c r="U43" s="35"/>
      <c r="V43" s="37"/>
      <c r="W43" s="473"/>
      <c r="Y43" s="800"/>
      <c r="Z43" t="s">
        <v>341</v>
      </c>
    </row>
    <row r="44" spans="2:26" ht="18.5" thickBot="1">
      <c r="B44" s="474" t="s">
        <v>317</v>
      </c>
      <c r="C44" s="38" t="s">
        <v>318</v>
      </c>
      <c r="D44" s="34"/>
      <c r="E44" s="39"/>
      <c r="F44" s="39"/>
      <c r="G44" s="39"/>
      <c r="H44" s="40"/>
      <c r="I44" s="40"/>
      <c r="J44" s="39"/>
      <c r="K44" s="809"/>
      <c r="L44" s="802"/>
      <c r="M44" s="40"/>
      <c r="N44" s="39"/>
      <c r="O44" s="475"/>
      <c r="P44" s="40"/>
      <c r="Q44" s="40"/>
      <c r="R44" s="39"/>
      <c r="S44" s="475"/>
      <c r="T44" s="40"/>
      <c r="U44" s="40"/>
      <c r="V44" s="39"/>
      <c r="W44" s="475"/>
      <c r="Y44" s="801"/>
      <c r="Z44" s="1" t="s">
        <v>342</v>
      </c>
    </row>
    <row r="45" spans="2:26" ht="18">
      <c r="B45" s="472" t="s">
        <v>319</v>
      </c>
      <c r="C45" s="33"/>
      <c r="D45" s="36"/>
      <c r="E45" s="36"/>
      <c r="F45" s="35"/>
      <c r="G45" s="36"/>
      <c r="H45" s="36"/>
      <c r="I45" s="35"/>
      <c r="J45" s="36"/>
      <c r="K45" s="476"/>
      <c r="L45" s="36"/>
      <c r="M45" s="35"/>
      <c r="N45" s="36"/>
      <c r="O45" s="476"/>
      <c r="P45" s="36"/>
      <c r="Q45" s="35"/>
      <c r="R45" s="36"/>
      <c r="S45" s="476"/>
      <c r="T45" s="36"/>
      <c r="U45" s="35"/>
      <c r="V45" s="36"/>
      <c r="W45" s="476"/>
    </row>
    <row r="46" spans="2:26" ht="18.5" thickBot="1">
      <c r="B46" s="477" t="s">
        <v>320</v>
      </c>
      <c r="C46" s="41" t="s">
        <v>321</v>
      </c>
      <c r="D46" s="42"/>
      <c r="E46" s="42"/>
      <c r="F46" s="43"/>
      <c r="G46" s="43"/>
      <c r="H46" s="43"/>
      <c r="I46" s="43"/>
      <c r="J46" s="43"/>
      <c r="K46" s="478"/>
      <c r="L46" s="804"/>
      <c r="M46" s="804"/>
      <c r="N46" s="43"/>
      <c r="O46" s="478"/>
      <c r="P46" s="43"/>
      <c r="Q46" s="43"/>
      <c r="R46" s="43"/>
      <c r="S46" s="478"/>
      <c r="T46" s="43"/>
      <c r="U46" s="43"/>
      <c r="V46" s="43"/>
      <c r="W46" s="478"/>
    </row>
    <row r="47" spans="2:26" ht="18">
      <c r="B47" s="472" t="s">
        <v>322</v>
      </c>
      <c r="C47" s="33"/>
      <c r="D47" s="44"/>
      <c r="E47" s="35"/>
      <c r="F47" s="35"/>
      <c r="G47" s="35"/>
      <c r="H47" s="35"/>
      <c r="I47" s="35"/>
      <c r="J47" s="35"/>
      <c r="K47" s="476"/>
      <c r="L47" s="35"/>
      <c r="M47" s="35"/>
      <c r="N47" s="35"/>
      <c r="O47" s="476"/>
      <c r="P47" s="35"/>
      <c r="Q47" s="35"/>
      <c r="R47" s="35"/>
      <c r="S47" s="476"/>
      <c r="T47" s="35"/>
      <c r="U47" s="35"/>
      <c r="V47" s="35"/>
      <c r="W47" s="476"/>
    </row>
    <row r="48" spans="2:26" ht="18">
      <c r="B48" s="474" t="s">
        <v>323</v>
      </c>
      <c r="C48" s="38" t="s">
        <v>324</v>
      </c>
      <c r="D48" s="45"/>
      <c r="E48" s="34"/>
      <c r="F48" s="34"/>
      <c r="G48" s="46"/>
      <c r="H48" s="34"/>
      <c r="I48" s="34"/>
      <c r="J48" s="34"/>
      <c r="K48" s="481"/>
      <c r="L48" s="40"/>
      <c r="M48" s="802"/>
      <c r="N48" s="802"/>
      <c r="O48" s="803"/>
      <c r="P48" s="802"/>
      <c r="Q48" s="802"/>
      <c r="R48" s="802"/>
      <c r="S48" s="479"/>
      <c r="T48" s="40"/>
      <c r="U48" s="40"/>
      <c r="V48" s="40"/>
      <c r="W48" s="479"/>
    </row>
    <row r="49" spans="2:23" ht="18.5" thickBot="1">
      <c r="B49" s="477" t="s">
        <v>325</v>
      </c>
      <c r="C49" s="41" t="s">
        <v>326</v>
      </c>
      <c r="D49" s="47"/>
      <c r="E49" s="43"/>
      <c r="F49" s="43"/>
      <c r="G49" s="43"/>
      <c r="H49" s="48"/>
      <c r="I49" s="48"/>
      <c r="J49" s="42"/>
      <c r="K49" s="1029"/>
      <c r="L49" s="48"/>
      <c r="M49" s="48"/>
      <c r="N49" s="43"/>
      <c r="O49" s="478"/>
      <c r="P49" s="48"/>
      <c r="Q49" s="805"/>
      <c r="R49" s="804"/>
      <c r="S49" s="806"/>
      <c r="T49" s="48"/>
      <c r="U49" s="48"/>
      <c r="V49" s="43"/>
      <c r="W49" s="478"/>
    </row>
    <row r="50" spans="2:23" ht="18">
      <c r="B50" s="472" t="s">
        <v>327</v>
      </c>
      <c r="C50" s="33"/>
      <c r="D50" s="44"/>
      <c r="E50" s="35"/>
      <c r="F50" s="35"/>
      <c r="G50" s="35"/>
      <c r="H50" s="37"/>
      <c r="I50" s="37"/>
      <c r="J50" s="35"/>
      <c r="K50" s="476"/>
      <c r="L50" s="37"/>
      <c r="M50" s="37"/>
      <c r="N50" s="35"/>
      <c r="O50" s="476"/>
      <c r="P50" s="37"/>
      <c r="Q50" s="37"/>
      <c r="R50" s="35"/>
      <c r="S50" s="476"/>
      <c r="T50" s="37"/>
      <c r="U50" s="37"/>
      <c r="V50" s="35"/>
      <c r="W50" s="476"/>
    </row>
    <row r="51" spans="2:23" ht="18">
      <c r="B51" s="474" t="s">
        <v>328</v>
      </c>
      <c r="C51" s="38" t="s">
        <v>329</v>
      </c>
      <c r="D51" s="45"/>
      <c r="E51" s="40"/>
      <c r="F51" s="40"/>
      <c r="G51" s="40"/>
      <c r="H51" s="39"/>
      <c r="I51" s="39"/>
      <c r="J51" s="40"/>
      <c r="K51" s="479"/>
      <c r="L51" s="470"/>
      <c r="M51" s="470"/>
      <c r="N51" s="40"/>
      <c r="O51" s="479"/>
      <c r="P51" s="39"/>
      <c r="Q51" s="39"/>
      <c r="R51" s="40"/>
      <c r="S51" s="803"/>
      <c r="T51" s="807"/>
      <c r="U51" s="39"/>
      <c r="V51" s="40"/>
      <c r="W51" s="479"/>
    </row>
    <row r="52" spans="2:23" ht="18">
      <c r="B52" s="474" t="s">
        <v>330</v>
      </c>
      <c r="C52" s="38" t="s">
        <v>329</v>
      </c>
      <c r="D52" s="45"/>
      <c r="E52" s="40"/>
      <c r="F52" s="40"/>
      <c r="G52" s="40"/>
      <c r="H52" s="39"/>
      <c r="I52" s="39"/>
      <c r="J52" s="40"/>
      <c r="K52" s="479"/>
      <c r="L52" s="470"/>
      <c r="M52" s="470"/>
      <c r="N52" s="40"/>
      <c r="O52" s="479"/>
      <c r="P52" s="39"/>
      <c r="Q52" s="39"/>
      <c r="R52" s="40"/>
      <c r="S52" s="803"/>
      <c r="T52" s="807"/>
      <c r="U52" s="39"/>
      <c r="V52" s="40"/>
      <c r="W52" s="479"/>
    </row>
    <row r="53" spans="2:23" ht="18">
      <c r="B53" s="480" t="s">
        <v>331</v>
      </c>
      <c r="C53" s="49" t="s">
        <v>332</v>
      </c>
      <c r="D53" s="45"/>
      <c r="E53" s="40"/>
      <c r="F53" s="40"/>
      <c r="G53" s="40"/>
      <c r="H53" s="39"/>
      <c r="I53" s="39"/>
      <c r="J53" s="40"/>
      <c r="K53" s="479"/>
      <c r="L53" s="39"/>
      <c r="M53" s="470"/>
      <c r="N53" s="34"/>
      <c r="O53" s="479"/>
      <c r="P53" s="39"/>
      <c r="Q53" s="39"/>
      <c r="R53" s="40"/>
      <c r="S53" s="479"/>
      <c r="T53" s="807"/>
      <c r="U53" s="39"/>
      <c r="V53" s="40"/>
      <c r="W53" s="479"/>
    </row>
    <row r="54" spans="2:23" ht="18.5" thickBot="1">
      <c r="B54" s="477" t="s">
        <v>333</v>
      </c>
      <c r="C54" s="41" t="s">
        <v>334</v>
      </c>
      <c r="D54" s="47"/>
      <c r="E54" s="43"/>
      <c r="F54" s="43"/>
      <c r="G54" s="43"/>
      <c r="H54" s="48"/>
      <c r="I54" s="48"/>
      <c r="J54" s="43"/>
      <c r="K54" s="478"/>
      <c r="L54" s="48"/>
      <c r="M54" s="469"/>
      <c r="N54" s="42"/>
      <c r="O54" s="478"/>
      <c r="P54" s="48"/>
      <c r="Q54" s="48"/>
      <c r="R54" s="43"/>
      <c r="S54" s="478"/>
      <c r="T54" s="805"/>
      <c r="U54" s="805"/>
      <c r="V54" s="804"/>
      <c r="W54" s="806"/>
    </row>
    <row r="55" spans="2:23" ht="18">
      <c r="B55" s="472" t="s">
        <v>335</v>
      </c>
      <c r="C55" s="33"/>
      <c r="D55" s="44"/>
      <c r="E55" s="35"/>
      <c r="F55" s="35"/>
      <c r="G55" s="35"/>
      <c r="H55" s="37"/>
      <c r="I55" s="37"/>
      <c r="J55" s="35"/>
      <c r="K55" s="476"/>
      <c r="L55" s="37"/>
      <c r="M55" s="37"/>
      <c r="N55" s="35"/>
      <c r="O55" s="476"/>
      <c r="P55" s="37"/>
      <c r="Q55" s="37"/>
      <c r="R55" s="35"/>
      <c r="S55" s="476"/>
      <c r="T55" s="37"/>
      <c r="U55" s="37"/>
      <c r="V55" s="35"/>
      <c r="W55" s="476"/>
    </row>
    <row r="56" spans="2:23" ht="18">
      <c r="B56" s="474" t="s">
        <v>336</v>
      </c>
      <c r="C56" s="50" t="s">
        <v>337</v>
      </c>
      <c r="D56" s="45"/>
      <c r="E56" s="40"/>
      <c r="F56" s="40"/>
      <c r="G56" s="40"/>
      <c r="H56" s="39"/>
      <c r="I56" s="39"/>
      <c r="J56" s="40"/>
      <c r="K56" s="479"/>
      <c r="L56" s="39"/>
      <c r="M56" s="39"/>
      <c r="N56" s="34"/>
      <c r="O56" s="481"/>
      <c r="P56" s="39"/>
      <c r="Q56" s="39"/>
      <c r="R56" s="40"/>
      <c r="S56" s="479"/>
      <c r="T56" s="39"/>
      <c r="U56" s="39"/>
      <c r="V56" s="802"/>
      <c r="W56" s="803"/>
    </row>
    <row r="57" spans="2:23" ht="18.5" thickBot="1">
      <c r="B57" s="482" t="s">
        <v>338</v>
      </c>
      <c r="C57" s="483" t="s">
        <v>339</v>
      </c>
      <c r="D57" s="484"/>
      <c r="E57" s="485"/>
      <c r="F57" s="485"/>
      <c r="G57" s="485"/>
      <c r="H57" s="486"/>
      <c r="I57" s="486"/>
      <c r="J57" s="485"/>
      <c r="K57" s="799"/>
      <c r="L57" s="486"/>
      <c r="M57" s="486"/>
      <c r="N57" s="485"/>
      <c r="O57" s="487"/>
      <c r="P57" s="486"/>
      <c r="Q57" s="486"/>
      <c r="R57" s="485"/>
      <c r="S57" s="799"/>
      <c r="T57" s="486"/>
      <c r="U57" s="486"/>
      <c r="V57" s="485"/>
      <c r="W57" s="808"/>
    </row>
    <row r="58" spans="2:23" ht="14.5"/>
  </sheetData>
  <mergeCells count="16">
    <mergeCell ref="L2:O2"/>
    <mergeCell ref="B21:B22"/>
    <mergeCell ref="C21:C22"/>
    <mergeCell ref="D21:G21"/>
    <mergeCell ref="H21:K21"/>
    <mergeCell ref="B2:B3"/>
    <mergeCell ref="C2:C3"/>
    <mergeCell ref="D2:G2"/>
    <mergeCell ref="H2:K2"/>
    <mergeCell ref="L41:O41"/>
    <mergeCell ref="T41:W41"/>
    <mergeCell ref="P41:S41"/>
    <mergeCell ref="B41:B42"/>
    <mergeCell ref="C41:C42"/>
    <mergeCell ref="D41:G41"/>
    <mergeCell ref="H41:K4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53330AF424484386F0A03DE1C50FEE" ma:contentTypeVersion="0" ma:contentTypeDescription="Create a new document." ma:contentTypeScope="" ma:versionID="2b372ff3092c8c37f3982edabca5620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BD26F7-787D-455A-8DC0-2B4995299347}"/>
</file>

<file path=customXml/itemProps2.xml><?xml version="1.0" encoding="utf-8"?>
<ds:datastoreItem xmlns:ds="http://schemas.openxmlformats.org/officeDocument/2006/customXml" ds:itemID="{C0E841C8-C712-4E3D-A7CC-607D8123DEDF}">
  <ds:schemaRefs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388a6dd2-0068-422f-bd95-4168ce8f21a2"/>
    <ds:schemaRef ds:uri="9aee4a77-b159-4437-8ae5-fe9e09a4627d"/>
  </ds:schemaRefs>
</ds:datastoreItem>
</file>

<file path=customXml/itemProps3.xml><?xml version="1.0" encoding="utf-8"?>
<ds:datastoreItem xmlns:ds="http://schemas.openxmlformats.org/officeDocument/2006/customXml" ds:itemID="{5B80BF0E-A0E4-4336-A2A6-AA9D67B3B16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Requirement &amp; Action Plan</vt:lpstr>
      <vt:lpstr>ICT manday</vt:lpstr>
      <vt:lpstr>Sheet1</vt:lpstr>
      <vt:lpstr>enh2026 เพิ่มแก้ไข PIPO</vt:lpstr>
      <vt:lpstr>enh2026 เพิ่มแก้ไข PIPO PJ</vt:lpstr>
      <vt:lpstr>enh2026 เพิ่มแก้ไข PIPO PJ V.2</vt:lpstr>
      <vt:lpstr>enh2026</vt:lpstr>
      <vt:lpstr>enh2026(Interface SAP DIY)</vt:lpstr>
      <vt:lpstr>enh2026(Interface SAP DIY) (Re)</vt:lpstr>
      <vt:lpstr>enh202(Re)+security</vt:lpstr>
      <vt:lpstr>enh2026(Interface SAP DIY) CR</vt:lpstr>
      <vt:lpstr>enh2026(Interface SAP DIY) CPI</vt:lpstr>
      <vt:lpstr>enh202(Re)+security+CR</vt:lpstr>
      <vt:lpstr>enh2026(Interface SAP DIY bk</vt:lpstr>
      <vt:lpstr>enh2026(Interface SAP DIY) BK</vt:lpstr>
      <vt:lpstr>enh2026(security)</vt:lpstr>
      <vt:lpstr>enh2026 คงเงินกองทุน</vt:lpstr>
      <vt:lpstr>enh 2026_bk</vt:lpstr>
      <vt:lpstr>enh202(Re)+security+CR-HRcb</vt:lpstr>
      <vt:lpstr>enh202(Re)+security+CR V2</vt:lpstr>
      <vt:lpstr>timeline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Gedsarin Kitsirijaroenchai</cp:lastModifiedBy>
  <cp:revision/>
  <dcterms:created xsi:type="dcterms:W3CDTF">2022-08-23T15:47:36Z</dcterms:created>
  <dcterms:modified xsi:type="dcterms:W3CDTF">2026-05-14T07:53:13Z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0x010100DB53330AF424484386F0A03DE1C50FEE</vt:lpwstr>
  </property>
  <property fmtid="{D5CDD505-2E9C-101B-9397-08002B2CF9AE}" pid="3" name="MediaServiceImageTags">
    <vt:lpwstr/>
  </property>
</Properties>
</file>